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B2CF29-858E-4FB5-9B53-08EAEC31E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سماء الموظفين" sheetId="1" r:id="rId1"/>
    <sheet name="بـيـان مرتبات" sheetId="2" r:id="rId2"/>
    <sheet name="تكاليف السعودة" sheetId="3" r:id="rId3"/>
    <sheet name="تكاليف المقيمين" sheetId="4" r:id="rId4"/>
    <sheet name="تقارير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'اسماء الموظفين'!$A$3:$AL$605</definedName>
    <definedName name="_xlnm._FilterDatabase" localSheetId="1" hidden="1">'بـيـان مرتبات'!$A$3:$M$606</definedName>
    <definedName name="_xlnm._FilterDatabase" localSheetId="2" hidden="1">'تكاليف السعودة'!$A$3:$H$64</definedName>
    <definedName name="_xlnm._FilterDatabase" localSheetId="3" hidden="1">'تكاليف المقيمين'!$A$3:$T$325</definedName>
    <definedName name="_xlnm.Print_Titles" localSheetId="3">'تكاليف المقيمين'!$1:$3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H366" i="4"/>
  <c r="H374" i="4" s="1"/>
  <c r="D357" i="4"/>
  <c r="I335" i="4"/>
  <c r="I334" i="4"/>
  <c r="I332" i="4"/>
  <c r="I331" i="4"/>
  <c r="I329" i="4"/>
  <c r="A323" i="4"/>
  <c r="G322" i="4"/>
  <c r="L322" i="4" s="1"/>
  <c r="F322" i="4"/>
  <c r="E322" i="4"/>
  <c r="D322" i="4"/>
  <c r="C322" i="4"/>
  <c r="A322" i="4"/>
  <c r="G321" i="4"/>
  <c r="K321" i="4" s="1"/>
  <c r="F321" i="4"/>
  <c r="E321" i="4"/>
  <c r="D321" i="4"/>
  <c r="C321" i="4"/>
  <c r="A321" i="4"/>
  <c r="L320" i="4"/>
  <c r="K320" i="4"/>
  <c r="H320" i="4"/>
  <c r="S320" i="4" s="1"/>
  <c r="T320" i="4" s="1"/>
  <c r="G320" i="4"/>
  <c r="F320" i="4"/>
  <c r="E320" i="4"/>
  <c r="D320" i="4"/>
  <c r="C320" i="4"/>
  <c r="A320" i="4"/>
  <c r="H319" i="4"/>
  <c r="G319" i="4"/>
  <c r="K319" i="4" s="1"/>
  <c r="F319" i="4"/>
  <c r="E319" i="4"/>
  <c r="D319" i="4"/>
  <c r="C319" i="4"/>
  <c r="A319" i="4"/>
  <c r="H318" i="4"/>
  <c r="G318" i="4"/>
  <c r="L318" i="4" s="1"/>
  <c r="F318" i="4"/>
  <c r="E318" i="4"/>
  <c r="D318" i="4"/>
  <c r="C318" i="4"/>
  <c r="A318" i="4"/>
  <c r="H317" i="4"/>
  <c r="G317" i="4"/>
  <c r="L317" i="4" s="1"/>
  <c r="F317" i="4"/>
  <c r="E317" i="4"/>
  <c r="D317" i="4"/>
  <c r="C317" i="4"/>
  <c r="A317" i="4"/>
  <c r="P316" i="4"/>
  <c r="O316" i="4"/>
  <c r="N316" i="4"/>
  <c r="M316" i="4"/>
  <c r="H316" i="4"/>
  <c r="G316" i="4"/>
  <c r="K316" i="4" s="1"/>
  <c r="F316" i="4"/>
  <c r="E316" i="4"/>
  <c r="D316" i="4"/>
  <c r="C316" i="4"/>
  <c r="A316" i="4"/>
  <c r="M315" i="4"/>
  <c r="H315" i="4"/>
  <c r="G315" i="4"/>
  <c r="K315" i="4" s="1"/>
  <c r="F315" i="4"/>
  <c r="E315" i="4"/>
  <c r="D315" i="4"/>
  <c r="C315" i="4"/>
  <c r="A315" i="4"/>
  <c r="H314" i="4"/>
  <c r="G314" i="4"/>
  <c r="L314" i="4" s="1"/>
  <c r="F314" i="4"/>
  <c r="E314" i="4"/>
  <c r="D314" i="4"/>
  <c r="C314" i="4"/>
  <c r="A314" i="4"/>
  <c r="H313" i="4"/>
  <c r="G313" i="4"/>
  <c r="L313" i="4" s="1"/>
  <c r="F313" i="4"/>
  <c r="E313" i="4"/>
  <c r="D313" i="4"/>
  <c r="C313" i="4"/>
  <c r="A313" i="4"/>
  <c r="P312" i="4"/>
  <c r="O312" i="4"/>
  <c r="N312" i="4"/>
  <c r="M312" i="4"/>
  <c r="H312" i="4"/>
  <c r="G312" i="4"/>
  <c r="K312" i="4" s="1"/>
  <c r="F312" i="4"/>
  <c r="E312" i="4"/>
  <c r="D312" i="4"/>
  <c r="C312" i="4"/>
  <c r="A312" i="4"/>
  <c r="P311" i="4"/>
  <c r="O311" i="4"/>
  <c r="N311" i="4"/>
  <c r="M311" i="4"/>
  <c r="H311" i="4"/>
  <c r="G311" i="4"/>
  <c r="F311" i="4"/>
  <c r="E311" i="4"/>
  <c r="D311" i="4"/>
  <c r="C311" i="4"/>
  <c r="A311" i="4"/>
  <c r="P310" i="4"/>
  <c r="O310" i="4"/>
  <c r="N310" i="4"/>
  <c r="M310" i="4"/>
  <c r="G310" i="4"/>
  <c r="L310" i="4" s="1"/>
  <c r="F310" i="4"/>
  <c r="E310" i="4"/>
  <c r="D310" i="4"/>
  <c r="C310" i="4"/>
  <c r="A310" i="4"/>
  <c r="P309" i="4"/>
  <c r="O309" i="4"/>
  <c r="N309" i="4"/>
  <c r="M309" i="4"/>
  <c r="G309" i="4"/>
  <c r="L309" i="4" s="1"/>
  <c r="F309" i="4"/>
  <c r="E309" i="4"/>
  <c r="D309" i="4"/>
  <c r="C309" i="4"/>
  <c r="A309" i="4"/>
  <c r="P308" i="4"/>
  <c r="O308" i="4"/>
  <c r="N308" i="4"/>
  <c r="M308" i="4"/>
  <c r="G308" i="4"/>
  <c r="L308" i="4" s="1"/>
  <c r="F308" i="4"/>
  <c r="E308" i="4"/>
  <c r="D308" i="4"/>
  <c r="C308" i="4"/>
  <c r="A308" i="4"/>
  <c r="P307" i="4"/>
  <c r="O307" i="4"/>
  <c r="N307" i="4"/>
  <c r="M307" i="4"/>
  <c r="H307" i="4"/>
  <c r="G307" i="4"/>
  <c r="L307" i="4" s="1"/>
  <c r="F307" i="4"/>
  <c r="E307" i="4"/>
  <c r="D307" i="4"/>
  <c r="C307" i="4"/>
  <c r="A307" i="4"/>
  <c r="M306" i="4"/>
  <c r="L306" i="4"/>
  <c r="G306" i="4"/>
  <c r="K306" i="4" s="1"/>
  <c r="F306" i="4"/>
  <c r="E306" i="4"/>
  <c r="D306" i="4"/>
  <c r="C306" i="4"/>
  <c r="A306" i="4"/>
  <c r="H305" i="4"/>
  <c r="G305" i="4"/>
  <c r="F305" i="4"/>
  <c r="E305" i="4"/>
  <c r="D305" i="4"/>
  <c r="C305" i="4"/>
  <c r="A305" i="4"/>
  <c r="S304" i="4"/>
  <c r="T304" i="4" s="1"/>
  <c r="H304" i="4"/>
  <c r="G304" i="4"/>
  <c r="F304" i="4"/>
  <c r="E304" i="4"/>
  <c r="D304" i="4"/>
  <c r="C304" i="4"/>
  <c r="A304" i="4"/>
  <c r="M303" i="4"/>
  <c r="G303" i="4"/>
  <c r="F303" i="4"/>
  <c r="E303" i="4"/>
  <c r="D303" i="4"/>
  <c r="C303" i="4"/>
  <c r="A303" i="4"/>
  <c r="G302" i="4"/>
  <c r="S302" i="4" s="1"/>
  <c r="T302" i="4" s="1"/>
  <c r="F302" i="4"/>
  <c r="E302" i="4"/>
  <c r="D302" i="4"/>
  <c r="C302" i="4"/>
  <c r="A302" i="4"/>
  <c r="M301" i="4"/>
  <c r="G301" i="4"/>
  <c r="L301" i="4" s="1"/>
  <c r="F301" i="4"/>
  <c r="E301" i="4"/>
  <c r="D301" i="4"/>
  <c r="C301" i="4"/>
  <c r="A301" i="4"/>
  <c r="M300" i="4"/>
  <c r="G300" i="4"/>
  <c r="L300" i="4" s="1"/>
  <c r="F300" i="4"/>
  <c r="E300" i="4"/>
  <c r="D300" i="4"/>
  <c r="C300" i="4"/>
  <c r="A300" i="4"/>
  <c r="M299" i="4"/>
  <c r="L299" i="4"/>
  <c r="G299" i="4"/>
  <c r="K299" i="4" s="1"/>
  <c r="F299" i="4"/>
  <c r="E299" i="4"/>
  <c r="D299" i="4"/>
  <c r="C299" i="4"/>
  <c r="A299" i="4"/>
  <c r="M298" i="4"/>
  <c r="G298" i="4"/>
  <c r="L298" i="4" s="1"/>
  <c r="F298" i="4"/>
  <c r="E298" i="4"/>
  <c r="D298" i="4"/>
  <c r="C298" i="4"/>
  <c r="A298" i="4"/>
  <c r="M297" i="4"/>
  <c r="G297" i="4"/>
  <c r="L297" i="4" s="1"/>
  <c r="F297" i="4"/>
  <c r="E297" i="4"/>
  <c r="D297" i="4"/>
  <c r="C297" i="4"/>
  <c r="A297" i="4"/>
  <c r="H296" i="4"/>
  <c r="G296" i="4"/>
  <c r="F296" i="4"/>
  <c r="E296" i="4"/>
  <c r="D296" i="4"/>
  <c r="C296" i="4"/>
  <c r="A296" i="4"/>
  <c r="G295" i="4"/>
  <c r="S295" i="4" s="1"/>
  <c r="T295" i="4" s="1"/>
  <c r="F295" i="4"/>
  <c r="E295" i="4"/>
  <c r="D295" i="4"/>
  <c r="C295" i="4"/>
  <c r="A295" i="4"/>
  <c r="M294" i="4"/>
  <c r="G294" i="4"/>
  <c r="L294" i="4" s="1"/>
  <c r="F294" i="4"/>
  <c r="E294" i="4"/>
  <c r="D294" i="4"/>
  <c r="C294" i="4"/>
  <c r="A294" i="4"/>
  <c r="G293" i="4"/>
  <c r="S293" i="4" s="1"/>
  <c r="T293" i="4" s="1"/>
  <c r="F293" i="4"/>
  <c r="E293" i="4"/>
  <c r="D293" i="4"/>
  <c r="C293" i="4"/>
  <c r="A293" i="4"/>
  <c r="H292" i="4"/>
  <c r="G292" i="4"/>
  <c r="F292" i="4"/>
  <c r="E292" i="4"/>
  <c r="D292" i="4"/>
  <c r="C292" i="4"/>
  <c r="A292" i="4"/>
  <c r="H291" i="4"/>
  <c r="G291" i="4"/>
  <c r="F291" i="4"/>
  <c r="E291" i="4"/>
  <c r="D291" i="4"/>
  <c r="C291" i="4"/>
  <c r="A291" i="4"/>
  <c r="H290" i="4"/>
  <c r="G290" i="4"/>
  <c r="F290" i="4"/>
  <c r="E290" i="4"/>
  <c r="D290" i="4"/>
  <c r="C290" i="4"/>
  <c r="A290" i="4"/>
  <c r="H289" i="4"/>
  <c r="G289" i="4"/>
  <c r="F289" i="4"/>
  <c r="E289" i="4"/>
  <c r="D289" i="4"/>
  <c r="C289" i="4"/>
  <c r="A289" i="4"/>
  <c r="M288" i="4"/>
  <c r="H288" i="4"/>
  <c r="G288" i="4"/>
  <c r="F288" i="4"/>
  <c r="E288" i="4"/>
  <c r="D288" i="4"/>
  <c r="C288" i="4"/>
  <c r="A288" i="4"/>
  <c r="M287" i="4"/>
  <c r="H287" i="4"/>
  <c r="G287" i="4"/>
  <c r="L287" i="4" s="1"/>
  <c r="F287" i="4"/>
  <c r="E287" i="4"/>
  <c r="D287" i="4"/>
  <c r="C287" i="4"/>
  <c r="A287" i="4"/>
  <c r="M286" i="4"/>
  <c r="H286" i="4"/>
  <c r="G286" i="4"/>
  <c r="L286" i="4" s="1"/>
  <c r="F286" i="4"/>
  <c r="E286" i="4"/>
  <c r="D286" i="4"/>
  <c r="C286" i="4"/>
  <c r="A286" i="4"/>
  <c r="M285" i="4"/>
  <c r="H285" i="4"/>
  <c r="G285" i="4"/>
  <c r="F285" i="4"/>
  <c r="E285" i="4"/>
  <c r="D285" i="4"/>
  <c r="C285" i="4"/>
  <c r="A285" i="4"/>
  <c r="M284" i="4"/>
  <c r="H284" i="4"/>
  <c r="G284" i="4"/>
  <c r="L284" i="4" s="1"/>
  <c r="F284" i="4"/>
  <c r="E284" i="4"/>
  <c r="D284" i="4"/>
  <c r="C284" i="4"/>
  <c r="A284" i="4"/>
  <c r="M283" i="4"/>
  <c r="H283" i="4"/>
  <c r="G283" i="4"/>
  <c r="L283" i="4" s="1"/>
  <c r="F283" i="4"/>
  <c r="E283" i="4"/>
  <c r="D283" i="4"/>
  <c r="C283" i="4"/>
  <c r="A283" i="4"/>
  <c r="M282" i="4"/>
  <c r="H282" i="4"/>
  <c r="G282" i="4"/>
  <c r="L282" i="4" s="1"/>
  <c r="F282" i="4"/>
  <c r="E282" i="4"/>
  <c r="D282" i="4"/>
  <c r="C282" i="4"/>
  <c r="A282" i="4"/>
  <c r="M281" i="4"/>
  <c r="H281" i="4"/>
  <c r="G281" i="4"/>
  <c r="L281" i="4" s="1"/>
  <c r="F281" i="4"/>
  <c r="E281" i="4"/>
  <c r="D281" i="4"/>
  <c r="C281" i="4"/>
  <c r="A281" i="4"/>
  <c r="M280" i="4"/>
  <c r="H280" i="4"/>
  <c r="G280" i="4"/>
  <c r="L280" i="4" s="1"/>
  <c r="F280" i="4"/>
  <c r="E280" i="4"/>
  <c r="D280" i="4"/>
  <c r="C280" i="4"/>
  <c r="A280" i="4"/>
  <c r="M279" i="4"/>
  <c r="H279" i="4"/>
  <c r="G279" i="4"/>
  <c r="L279" i="4" s="1"/>
  <c r="F279" i="4"/>
  <c r="E279" i="4"/>
  <c r="D279" i="4"/>
  <c r="C279" i="4"/>
  <c r="A279" i="4"/>
  <c r="M278" i="4"/>
  <c r="H278" i="4"/>
  <c r="G278" i="4"/>
  <c r="L278" i="4" s="1"/>
  <c r="F278" i="4"/>
  <c r="E278" i="4"/>
  <c r="D278" i="4"/>
  <c r="C278" i="4"/>
  <c r="A278" i="4"/>
  <c r="M277" i="4"/>
  <c r="H277" i="4"/>
  <c r="G277" i="4"/>
  <c r="F277" i="4"/>
  <c r="E277" i="4"/>
  <c r="D277" i="4"/>
  <c r="C277" i="4"/>
  <c r="A277" i="4"/>
  <c r="M276" i="4"/>
  <c r="H276" i="4"/>
  <c r="G276" i="4"/>
  <c r="F276" i="4"/>
  <c r="E276" i="4"/>
  <c r="D276" i="4"/>
  <c r="C276" i="4"/>
  <c r="A276" i="4"/>
  <c r="M275" i="4"/>
  <c r="H275" i="4"/>
  <c r="G275" i="4"/>
  <c r="L275" i="4" s="1"/>
  <c r="F275" i="4"/>
  <c r="E275" i="4"/>
  <c r="D275" i="4"/>
  <c r="C275" i="4"/>
  <c r="A275" i="4"/>
  <c r="M274" i="4"/>
  <c r="H274" i="4"/>
  <c r="G274" i="4"/>
  <c r="L274" i="4" s="1"/>
  <c r="F274" i="4"/>
  <c r="E274" i="4"/>
  <c r="D274" i="4"/>
  <c r="C274" i="4"/>
  <c r="A274" i="4"/>
  <c r="M273" i="4"/>
  <c r="H273" i="4"/>
  <c r="G273" i="4"/>
  <c r="K273" i="4" s="1"/>
  <c r="F273" i="4"/>
  <c r="E273" i="4"/>
  <c r="D273" i="4"/>
  <c r="C273" i="4"/>
  <c r="A273" i="4"/>
  <c r="M272" i="4"/>
  <c r="H272" i="4"/>
  <c r="G272" i="4"/>
  <c r="L272" i="4" s="1"/>
  <c r="F272" i="4"/>
  <c r="E272" i="4"/>
  <c r="D272" i="4"/>
  <c r="C272" i="4"/>
  <c r="A272" i="4"/>
  <c r="M271" i="4"/>
  <c r="H271" i="4"/>
  <c r="G271" i="4"/>
  <c r="F271" i="4"/>
  <c r="E271" i="4"/>
  <c r="D271" i="4"/>
  <c r="C271" i="4"/>
  <c r="A271" i="4"/>
  <c r="M270" i="4"/>
  <c r="G270" i="4"/>
  <c r="L270" i="4" s="1"/>
  <c r="F270" i="4"/>
  <c r="E270" i="4"/>
  <c r="D270" i="4"/>
  <c r="C270" i="4"/>
  <c r="A270" i="4"/>
  <c r="M269" i="4"/>
  <c r="L269" i="4"/>
  <c r="H269" i="4"/>
  <c r="G269" i="4"/>
  <c r="K269" i="4" s="1"/>
  <c r="F269" i="4"/>
  <c r="E269" i="4"/>
  <c r="D269" i="4"/>
  <c r="C269" i="4"/>
  <c r="A269" i="4"/>
  <c r="M268" i="4"/>
  <c r="H268" i="4"/>
  <c r="G268" i="4"/>
  <c r="L268" i="4" s="1"/>
  <c r="F268" i="4"/>
  <c r="E268" i="4"/>
  <c r="D268" i="4"/>
  <c r="C268" i="4"/>
  <c r="A268" i="4"/>
  <c r="M267" i="4"/>
  <c r="G267" i="4"/>
  <c r="L267" i="4" s="1"/>
  <c r="F267" i="4"/>
  <c r="E267" i="4"/>
  <c r="D267" i="4"/>
  <c r="C267" i="4"/>
  <c r="A267" i="4"/>
  <c r="P266" i="4"/>
  <c r="O266" i="4"/>
  <c r="N266" i="4"/>
  <c r="M266" i="4"/>
  <c r="G266" i="4"/>
  <c r="L266" i="4" s="1"/>
  <c r="F266" i="4"/>
  <c r="E266" i="4"/>
  <c r="D266" i="4"/>
  <c r="C266" i="4"/>
  <c r="A266" i="4"/>
  <c r="M265" i="4"/>
  <c r="H265" i="4"/>
  <c r="G265" i="4"/>
  <c r="L265" i="4" s="1"/>
  <c r="F265" i="4"/>
  <c r="E265" i="4"/>
  <c r="D265" i="4"/>
  <c r="C265" i="4"/>
  <c r="A265" i="4"/>
  <c r="M264" i="4"/>
  <c r="H264" i="4"/>
  <c r="G264" i="4"/>
  <c r="L264" i="4" s="1"/>
  <c r="F264" i="4"/>
  <c r="E264" i="4"/>
  <c r="D264" i="4"/>
  <c r="C264" i="4"/>
  <c r="A264" i="4"/>
  <c r="M263" i="4"/>
  <c r="H263" i="4"/>
  <c r="G263" i="4"/>
  <c r="L263" i="4" s="1"/>
  <c r="F263" i="4"/>
  <c r="E263" i="4"/>
  <c r="D263" i="4"/>
  <c r="C263" i="4"/>
  <c r="A263" i="4"/>
  <c r="M262" i="4"/>
  <c r="H262" i="4"/>
  <c r="G262" i="4"/>
  <c r="L262" i="4" s="1"/>
  <c r="F262" i="4"/>
  <c r="E262" i="4"/>
  <c r="D262" i="4"/>
  <c r="C262" i="4"/>
  <c r="A262" i="4"/>
  <c r="M261" i="4"/>
  <c r="H261" i="4"/>
  <c r="G261" i="4"/>
  <c r="K261" i="4" s="1"/>
  <c r="F261" i="4"/>
  <c r="E261" i="4"/>
  <c r="D261" i="4"/>
  <c r="C261" i="4"/>
  <c r="A261" i="4"/>
  <c r="M260" i="4"/>
  <c r="G260" i="4"/>
  <c r="K260" i="4" s="1"/>
  <c r="F260" i="4"/>
  <c r="E260" i="4"/>
  <c r="D260" i="4"/>
  <c r="C260" i="4"/>
  <c r="A260" i="4"/>
  <c r="M259" i="4"/>
  <c r="G259" i="4"/>
  <c r="L259" i="4" s="1"/>
  <c r="F259" i="4"/>
  <c r="E259" i="4"/>
  <c r="D259" i="4"/>
  <c r="C259" i="4"/>
  <c r="A259" i="4"/>
  <c r="M258" i="4"/>
  <c r="G258" i="4"/>
  <c r="L258" i="4" s="1"/>
  <c r="F258" i="4"/>
  <c r="E258" i="4"/>
  <c r="D258" i="4"/>
  <c r="C258" i="4"/>
  <c r="A258" i="4"/>
  <c r="M257" i="4"/>
  <c r="G257" i="4"/>
  <c r="K257" i="4" s="1"/>
  <c r="F257" i="4"/>
  <c r="E257" i="4"/>
  <c r="D257" i="4"/>
  <c r="C257" i="4"/>
  <c r="A257" i="4"/>
  <c r="M256" i="4"/>
  <c r="G256" i="4"/>
  <c r="K256" i="4" s="1"/>
  <c r="F256" i="4"/>
  <c r="E256" i="4"/>
  <c r="D256" i="4"/>
  <c r="C256" i="4"/>
  <c r="A256" i="4"/>
  <c r="M255" i="4"/>
  <c r="G255" i="4"/>
  <c r="F255" i="4"/>
  <c r="E255" i="4"/>
  <c r="D255" i="4"/>
  <c r="C255" i="4"/>
  <c r="A255" i="4"/>
  <c r="P254" i="4"/>
  <c r="O254" i="4"/>
  <c r="N254" i="4"/>
  <c r="M254" i="4"/>
  <c r="I254" i="4"/>
  <c r="H254" i="4"/>
  <c r="G254" i="4"/>
  <c r="L254" i="4" s="1"/>
  <c r="F254" i="4"/>
  <c r="E254" i="4"/>
  <c r="D254" i="4"/>
  <c r="C254" i="4"/>
  <c r="A254" i="4"/>
  <c r="M253" i="4"/>
  <c r="H253" i="4"/>
  <c r="G253" i="4"/>
  <c r="L253" i="4" s="1"/>
  <c r="F253" i="4"/>
  <c r="E253" i="4"/>
  <c r="D253" i="4"/>
  <c r="C253" i="4"/>
  <c r="A253" i="4"/>
  <c r="M252" i="4"/>
  <c r="H252" i="4"/>
  <c r="G252" i="4"/>
  <c r="K252" i="4" s="1"/>
  <c r="F252" i="4"/>
  <c r="E252" i="4"/>
  <c r="D252" i="4"/>
  <c r="C252" i="4"/>
  <c r="A252" i="4"/>
  <c r="M251" i="4"/>
  <c r="H251" i="4"/>
  <c r="G251" i="4"/>
  <c r="L251" i="4" s="1"/>
  <c r="F251" i="4"/>
  <c r="E251" i="4"/>
  <c r="D251" i="4"/>
  <c r="C251" i="4"/>
  <c r="A251" i="4"/>
  <c r="M250" i="4"/>
  <c r="G250" i="4"/>
  <c r="L250" i="4" s="1"/>
  <c r="F250" i="4"/>
  <c r="E250" i="4"/>
  <c r="D250" i="4"/>
  <c r="C250" i="4"/>
  <c r="A250" i="4"/>
  <c r="M249" i="4"/>
  <c r="G249" i="4"/>
  <c r="K249" i="4" s="1"/>
  <c r="F249" i="4"/>
  <c r="E249" i="4"/>
  <c r="D249" i="4"/>
  <c r="C249" i="4"/>
  <c r="A249" i="4"/>
  <c r="M248" i="4"/>
  <c r="G248" i="4"/>
  <c r="L248" i="4" s="1"/>
  <c r="F248" i="4"/>
  <c r="E248" i="4"/>
  <c r="D248" i="4"/>
  <c r="C248" i="4"/>
  <c r="A248" i="4"/>
  <c r="M247" i="4"/>
  <c r="H247" i="4"/>
  <c r="G247" i="4"/>
  <c r="L247" i="4" s="1"/>
  <c r="F247" i="4"/>
  <c r="E247" i="4"/>
  <c r="D247" i="4"/>
  <c r="C247" i="4"/>
  <c r="A247" i="4"/>
  <c r="P246" i="4"/>
  <c r="O246" i="4"/>
  <c r="N246" i="4"/>
  <c r="M246" i="4"/>
  <c r="I246" i="4"/>
  <c r="H246" i="4"/>
  <c r="G246" i="4"/>
  <c r="L246" i="4" s="1"/>
  <c r="F246" i="4"/>
  <c r="E246" i="4"/>
  <c r="D246" i="4"/>
  <c r="C246" i="4"/>
  <c r="A246" i="4"/>
  <c r="M245" i="4"/>
  <c r="H245" i="4"/>
  <c r="G245" i="4"/>
  <c r="L245" i="4" s="1"/>
  <c r="F245" i="4"/>
  <c r="E245" i="4"/>
  <c r="D245" i="4"/>
  <c r="C245" i="4"/>
  <c r="A245" i="4"/>
  <c r="M244" i="4"/>
  <c r="H244" i="4"/>
  <c r="G244" i="4"/>
  <c r="L244" i="4" s="1"/>
  <c r="F244" i="4"/>
  <c r="E244" i="4"/>
  <c r="D244" i="4"/>
  <c r="C244" i="4"/>
  <c r="A244" i="4"/>
  <c r="M243" i="4"/>
  <c r="H243" i="4"/>
  <c r="G243" i="4"/>
  <c r="L243" i="4" s="1"/>
  <c r="F243" i="4"/>
  <c r="E243" i="4"/>
  <c r="D243" i="4"/>
  <c r="C243" i="4"/>
  <c r="A243" i="4"/>
  <c r="M242" i="4"/>
  <c r="K242" i="4"/>
  <c r="H242" i="4"/>
  <c r="G242" i="4"/>
  <c r="L242" i="4" s="1"/>
  <c r="F242" i="4"/>
  <c r="E242" i="4"/>
  <c r="D242" i="4"/>
  <c r="C242" i="4"/>
  <c r="A242" i="4"/>
  <c r="M241" i="4"/>
  <c r="G241" i="4"/>
  <c r="L241" i="4" s="1"/>
  <c r="F241" i="4"/>
  <c r="E241" i="4"/>
  <c r="D241" i="4"/>
  <c r="C241" i="4"/>
  <c r="A241" i="4"/>
  <c r="M240" i="4"/>
  <c r="H240" i="4"/>
  <c r="G240" i="4"/>
  <c r="L240" i="4" s="1"/>
  <c r="F240" i="4"/>
  <c r="E240" i="4"/>
  <c r="D240" i="4"/>
  <c r="C240" i="4"/>
  <c r="A240" i="4"/>
  <c r="H239" i="4"/>
  <c r="G239" i="4"/>
  <c r="L239" i="4" s="1"/>
  <c r="F239" i="4"/>
  <c r="E239" i="4"/>
  <c r="D239" i="4"/>
  <c r="C239" i="4"/>
  <c r="A239" i="4"/>
  <c r="H238" i="4"/>
  <c r="G238" i="4"/>
  <c r="F238" i="4"/>
  <c r="E238" i="4"/>
  <c r="D238" i="4"/>
  <c r="C238" i="4"/>
  <c r="A238" i="4"/>
  <c r="H237" i="4"/>
  <c r="G237" i="4"/>
  <c r="L237" i="4" s="1"/>
  <c r="F237" i="4"/>
  <c r="E237" i="4"/>
  <c r="D237" i="4"/>
  <c r="C237" i="4"/>
  <c r="A237" i="4"/>
  <c r="M236" i="4"/>
  <c r="H236" i="4"/>
  <c r="G236" i="4"/>
  <c r="F236" i="4"/>
  <c r="E236" i="4"/>
  <c r="D236" i="4"/>
  <c r="C236" i="4"/>
  <c r="A236" i="4"/>
  <c r="H235" i="4"/>
  <c r="G235" i="4"/>
  <c r="K235" i="4" s="1"/>
  <c r="F235" i="4"/>
  <c r="E235" i="4"/>
  <c r="D235" i="4"/>
  <c r="C235" i="4"/>
  <c r="A235" i="4"/>
  <c r="P234" i="4"/>
  <c r="O234" i="4"/>
  <c r="N234" i="4"/>
  <c r="M234" i="4"/>
  <c r="I234" i="4"/>
  <c r="H234" i="4"/>
  <c r="G234" i="4"/>
  <c r="K234" i="4" s="1"/>
  <c r="F234" i="4"/>
  <c r="E234" i="4"/>
  <c r="D234" i="4"/>
  <c r="C234" i="4"/>
  <c r="A234" i="4"/>
  <c r="H233" i="4"/>
  <c r="G233" i="4"/>
  <c r="F233" i="4"/>
  <c r="E233" i="4"/>
  <c r="D233" i="4"/>
  <c r="C233" i="4"/>
  <c r="A233" i="4"/>
  <c r="Q232" i="4"/>
  <c r="M232" i="4"/>
  <c r="K232" i="4"/>
  <c r="G232" i="4"/>
  <c r="L232" i="4" s="1"/>
  <c r="F232" i="4"/>
  <c r="E232" i="4"/>
  <c r="D232" i="4"/>
  <c r="C232" i="4"/>
  <c r="A232" i="4"/>
  <c r="Q231" i="4"/>
  <c r="M231" i="4"/>
  <c r="G231" i="4"/>
  <c r="L231" i="4" s="1"/>
  <c r="F231" i="4"/>
  <c r="E231" i="4"/>
  <c r="D231" i="4"/>
  <c r="C231" i="4"/>
  <c r="A231" i="4"/>
  <c r="P230" i="4"/>
  <c r="O230" i="4"/>
  <c r="N230" i="4"/>
  <c r="M230" i="4"/>
  <c r="L230" i="4"/>
  <c r="K230" i="4"/>
  <c r="I230" i="4"/>
  <c r="H230" i="4"/>
  <c r="G230" i="4"/>
  <c r="F230" i="4"/>
  <c r="E230" i="4"/>
  <c r="D230" i="4"/>
  <c r="C230" i="4"/>
  <c r="A230" i="4"/>
  <c r="Q229" i="4"/>
  <c r="P229" i="4"/>
  <c r="O229" i="4"/>
  <c r="N229" i="4"/>
  <c r="M229" i="4"/>
  <c r="I229" i="4"/>
  <c r="H229" i="4"/>
  <c r="G229" i="4"/>
  <c r="F229" i="4"/>
  <c r="E229" i="4"/>
  <c r="D229" i="4"/>
  <c r="C229" i="4"/>
  <c r="A229" i="4"/>
  <c r="H228" i="4"/>
  <c r="G228" i="4"/>
  <c r="L228" i="4" s="1"/>
  <c r="F228" i="4"/>
  <c r="E228" i="4"/>
  <c r="D228" i="4"/>
  <c r="C228" i="4"/>
  <c r="A228" i="4"/>
  <c r="H227" i="4"/>
  <c r="G227" i="4"/>
  <c r="K227" i="4" s="1"/>
  <c r="F227" i="4"/>
  <c r="E227" i="4"/>
  <c r="D227" i="4"/>
  <c r="C227" i="4"/>
  <c r="A227" i="4"/>
  <c r="H226" i="4"/>
  <c r="G226" i="4"/>
  <c r="F226" i="4"/>
  <c r="E226" i="4"/>
  <c r="D226" i="4"/>
  <c r="C226" i="4"/>
  <c r="A226" i="4"/>
  <c r="P225" i="4"/>
  <c r="O225" i="4"/>
  <c r="N225" i="4"/>
  <c r="M225" i="4"/>
  <c r="I225" i="4"/>
  <c r="H225" i="4"/>
  <c r="G225" i="4"/>
  <c r="K225" i="4" s="1"/>
  <c r="F225" i="4"/>
  <c r="E225" i="4"/>
  <c r="D225" i="4"/>
  <c r="C225" i="4"/>
  <c r="A225" i="4"/>
  <c r="M224" i="4"/>
  <c r="G224" i="4"/>
  <c r="K224" i="4" s="1"/>
  <c r="F224" i="4"/>
  <c r="E224" i="4"/>
  <c r="D224" i="4"/>
  <c r="C224" i="4"/>
  <c r="A224" i="4"/>
  <c r="G223" i="4"/>
  <c r="S223" i="4" s="1"/>
  <c r="T223" i="4" s="1"/>
  <c r="F223" i="4"/>
  <c r="E223" i="4"/>
  <c r="D223" i="4"/>
  <c r="C223" i="4"/>
  <c r="A223" i="4"/>
  <c r="I222" i="4"/>
  <c r="H222" i="4"/>
  <c r="G222" i="4"/>
  <c r="K222" i="4" s="1"/>
  <c r="F222" i="4"/>
  <c r="E222" i="4"/>
  <c r="D222" i="4"/>
  <c r="C222" i="4"/>
  <c r="A222" i="4"/>
  <c r="G221" i="4"/>
  <c r="L221" i="4" s="1"/>
  <c r="F221" i="4"/>
  <c r="E221" i="4"/>
  <c r="D221" i="4"/>
  <c r="C221" i="4"/>
  <c r="A221" i="4"/>
  <c r="G220" i="4"/>
  <c r="K220" i="4" s="1"/>
  <c r="F220" i="4"/>
  <c r="E220" i="4"/>
  <c r="D220" i="4"/>
  <c r="C220" i="4"/>
  <c r="A220" i="4"/>
  <c r="G219" i="4"/>
  <c r="L219" i="4" s="1"/>
  <c r="F219" i="4"/>
  <c r="E219" i="4"/>
  <c r="D219" i="4"/>
  <c r="C219" i="4"/>
  <c r="A219" i="4"/>
  <c r="I218" i="4"/>
  <c r="H218" i="4"/>
  <c r="G218" i="4"/>
  <c r="K218" i="4" s="1"/>
  <c r="F218" i="4"/>
  <c r="E218" i="4"/>
  <c r="D218" i="4"/>
  <c r="C218" i="4"/>
  <c r="A218" i="4"/>
  <c r="O217" i="4"/>
  <c r="N217" i="4"/>
  <c r="I217" i="4"/>
  <c r="H217" i="4"/>
  <c r="G217" i="4"/>
  <c r="L217" i="4" s="1"/>
  <c r="F217" i="4"/>
  <c r="E217" i="4"/>
  <c r="D217" i="4"/>
  <c r="C217" i="4"/>
  <c r="A217" i="4"/>
  <c r="Q216" i="4"/>
  <c r="O216" i="4"/>
  <c r="N216" i="4"/>
  <c r="M216" i="4"/>
  <c r="L216" i="4"/>
  <c r="K216" i="4"/>
  <c r="H216" i="4"/>
  <c r="G216" i="4"/>
  <c r="F216" i="4"/>
  <c r="E216" i="4"/>
  <c r="D216" i="4"/>
  <c r="C216" i="4"/>
  <c r="A216" i="4"/>
  <c r="M215" i="4"/>
  <c r="G215" i="4"/>
  <c r="K215" i="4" s="1"/>
  <c r="F215" i="4"/>
  <c r="E215" i="4"/>
  <c r="D215" i="4"/>
  <c r="C215" i="4"/>
  <c r="A215" i="4"/>
  <c r="Q214" i="4"/>
  <c r="P214" i="4"/>
  <c r="O214" i="4"/>
  <c r="N214" i="4"/>
  <c r="M214" i="4"/>
  <c r="J214" i="4"/>
  <c r="I214" i="4"/>
  <c r="H214" i="4"/>
  <c r="G214" i="4"/>
  <c r="L214" i="4" s="1"/>
  <c r="F214" i="4"/>
  <c r="E214" i="4"/>
  <c r="D214" i="4"/>
  <c r="C214" i="4"/>
  <c r="A214" i="4"/>
  <c r="I213" i="4"/>
  <c r="H213" i="4"/>
  <c r="G213" i="4"/>
  <c r="K213" i="4" s="1"/>
  <c r="F213" i="4"/>
  <c r="E213" i="4"/>
  <c r="D213" i="4"/>
  <c r="C213" i="4"/>
  <c r="A213" i="4"/>
  <c r="Q212" i="4"/>
  <c r="P212" i="4"/>
  <c r="O212" i="4"/>
  <c r="N212" i="4"/>
  <c r="M212" i="4"/>
  <c r="J212" i="4"/>
  <c r="I212" i="4"/>
  <c r="H212" i="4"/>
  <c r="G212" i="4"/>
  <c r="K212" i="4" s="1"/>
  <c r="F212" i="4"/>
  <c r="E212" i="4"/>
  <c r="D212" i="4"/>
  <c r="C212" i="4"/>
  <c r="A212" i="4"/>
  <c r="Q211" i="4"/>
  <c r="J211" i="4"/>
  <c r="I211" i="4"/>
  <c r="G211" i="4"/>
  <c r="L211" i="4" s="1"/>
  <c r="F211" i="4"/>
  <c r="E211" i="4"/>
  <c r="D211" i="4"/>
  <c r="C211" i="4"/>
  <c r="A211" i="4"/>
  <c r="Q210" i="4"/>
  <c r="P210" i="4"/>
  <c r="O210" i="4"/>
  <c r="N210" i="4"/>
  <c r="M210" i="4"/>
  <c r="J210" i="4"/>
  <c r="I210" i="4"/>
  <c r="H210" i="4"/>
  <c r="G210" i="4"/>
  <c r="F210" i="4"/>
  <c r="E210" i="4"/>
  <c r="D210" i="4"/>
  <c r="C210" i="4"/>
  <c r="A210" i="4"/>
  <c r="Q209" i="4"/>
  <c r="P209" i="4"/>
  <c r="O209" i="4"/>
  <c r="N209" i="4"/>
  <c r="M209" i="4"/>
  <c r="J209" i="4"/>
  <c r="I209" i="4"/>
  <c r="H209" i="4"/>
  <c r="G209" i="4"/>
  <c r="L209" i="4" s="1"/>
  <c r="F209" i="4"/>
  <c r="E209" i="4"/>
  <c r="D209" i="4"/>
  <c r="C209" i="4"/>
  <c r="A209" i="4"/>
  <c r="Q208" i="4"/>
  <c r="N208" i="4"/>
  <c r="G208" i="4"/>
  <c r="F208" i="4"/>
  <c r="E208" i="4"/>
  <c r="D208" i="4"/>
  <c r="C208" i="4"/>
  <c r="A208" i="4"/>
  <c r="S207" i="4"/>
  <c r="T207" i="4" s="1"/>
  <c r="G207" i="4"/>
  <c r="F207" i="4"/>
  <c r="E207" i="4"/>
  <c r="D207" i="4"/>
  <c r="C207" i="4"/>
  <c r="A207" i="4"/>
  <c r="G206" i="4"/>
  <c r="S206" i="4" s="1"/>
  <c r="T206" i="4" s="1"/>
  <c r="F206" i="4"/>
  <c r="E206" i="4"/>
  <c r="D206" i="4"/>
  <c r="C206" i="4"/>
  <c r="A206" i="4"/>
  <c r="J205" i="4"/>
  <c r="I205" i="4"/>
  <c r="H205" i="4"/>
  <c r="G205" i="4"/>
  <c r="L205" i="4" s="1"/>
  <c r="F205" i="4"/>
  <c r="E205" i="4"/>
  <c r="D205" i="4"/>
  <c r="C205" i="4"/>
  <c r="A205" i="4"/>
  <c r="G204" i="4"/>
  <c r="S204" i="4" s="1"/>
  <c r="T204" i="4" s="1"/>
  <c r="F204" i="4"/>
  <c r="E204" i="4"/>
  <c r="D204" i="4"/>
  <c r="C204" i="4"/>
  <c r="A204" i="4"/>
  <c r="I203" i="4"/>
  <c r="H203" i="4"/>
  <c r="G203" i="4"/>
  <c r="L203" i="4" s="1"/>
  <c r="F203" i="4"/>
  <c r="E203" i="4"/>
  <c r="D203" i="4"/>
  <c r="C203" i="4"/>
  <c r="A203" i="4"/>
  <c r="O202" i="4"/>
  <c r="M202" i="4"/>
  <c r="G202" i="4"/>
  <c r="K202" i="4" s="1"/>
  <c r="F202" i="4"/>
  <c r="E202" i="4"/>
  <c r="D202" i="4"/>
  <c r="C202" i="4"/>
  <c r="A202" i="4"/>
  <c r="O201" i="4"/>
  <c r="M201" i="4"/>
  <c r="G201" i="4"/>
  <c r="K201" i="4" s="1"/>
  <c r="F201" i="4"/>
  <c r="E201" i="4"/>
  <c r="D201" i="4"/>
  <c r="C201" i="4"/>
  <c r="A201" i="4"/>
  <c r="Q200" i="4"/>
  <c r="P200" i="4"/>
  <c r="O200" i="4"/>
  <c r="M200" i="4"/>
  <c r="G200" i="4"/>
  <c r="L200" i="4" s="1"/>
  <c r="F200" i="4"/>
  <c r="E200" i="4"/>
  <c r="D200" i="4"/>
  <c r="C200" i="4"/>
  <c r="A200" i="4"/>
  <c r="H199" i="4"/>
  <c r="G199" i="4"/>
  <c r="K199" i="4" s="1"/>
  <c r="F199" i="4"/>
  <c r="E199" i="4"/>
  <c r="D199" i="4"/>
  <c r="C199" i="4"/>
  <c r="A199" i="4"/>
  <c r="K198" i="4"/>
  <c r="H198" i="4"/>
  <c r="G198" i="4"/>
  <c r="L198" i="4" s="1"/>
  <c r="F198" i="4"/>
  <c r="E198" i="4"/>
  <c r="D198" i="4"/>
  <c r="C198" i="4"/>
  <c r="A198" i="4"/>
  <c r="H197" i="4"/>
  <c r="G197" i="4"/>
  <c r="L197" i="4" s="1"/>
  <c r="F197" i="4"/>
  <c r="E197" i="4"/>
  <c r="D197" i="4"/>
  <c r="C197" i="4"/>
  <c r="A197" i="4"/>
  <c r="H196" i="4"/>
  <c r="G196" i="4"/>
  <c r="F196" i="4"/>
  <c r="E196" i="4"/>
  <c r="D196" i="4"/>
  <c r="C196" i="4"/>
  <c r="A196" i="4"/>
  <c r="Q195" i="4"/>
  <c r="P195" i="4"/>
  <c r="O195" i="4"/>
  <c r="N195" i="4"/>
  <c r="M195" i="4"/>
  <c r="J195" i="4"/>
  <c r="I195" i="4"/>
  <c r="H195" i="4"/>
  <c r="G195" i="4"/>
  <c r="L195" i="4" s="1"/>
  <c r="F195" i="4"/>
  <c r="E195" i="4"/>
  <c r="D195" i="4"/>
  <c r="C195" i="4"/>
  <c r="A195" i="4"/>
  <c r="Q194" i="4"/>
  <c r="P194" i="4"/>
  <c r="O194" i="4"/>
  <c r="N194" i="4"/>
  <c r="M194" i="4"/>
  <c r="J194" i="4"/>
  <c r="I194" i="4"/>
  <c r="H194" i="4"/>
  <c r="G194" i="4"/>
  <c r="K194" i="4" s="1"/>
  <c r="F194" i="4"/>
  <c r="E194" i="4"/>
  <c r="D194" i="4"/>
  <c r="C194" i="4"/>
  <c r="A194" i="4"/>
  <c r="Q193" i="4"/>
  <c r="P193" i="4"/>
  <c r="O193" i="4"/>
  <c r="N193" i="4"/>
  <c r="M193" i="4"/>
  <c r="J193" i="4"/>
  <c r="I193" i="4"/>
  <c r="H193" i="4"/>
  <c r="G193" i="4"/>
  <c r="L193" i="4" s="1"/>
  <c r="F193" i="4"/>
  <c r="E193" i="4"/>
  <c r="D193" i="4"/>
  <c r="C193" i="4"/>
  <c r="A193" i="4"/>
  <c r="Q192" i="4"/>
  <c r="P192" i="4"/>
  <c r="O192" i="4"/>
  <c r="N192" i="4"/>
  <c r="M192" i="4"/>
  <c r="J192" i="4"/>
  <c r="I192" i="4"/>
  <c r="H192" i="4"/>
  <c r="G192" i="4"/>
  <c r="L192" i="4" s="1"/>
  <c r="F192" i="4"/>
  <c r="E192" i="4"/>
  <c r="D192" i="4"/>
  <c r="C192" i="4"/>
  <c r="A192" i="4"/>
  <c r="Q191" i="4"/>
  <c r="P191" i="4"/>
  <c r="O191" i="4"/>
  <c r="N191" i="4"/>
  <c r="M191" i="4"/>
  <c r="J191" i="4"/>
  <c r="I191" i="4"/>
  <c r="H191" i="4"/>
  <c r="G191" i="4"/>
  <c r="F191" i="4"/>
  <c r="E191" i="4"/>
  <c r="D191" i="4"/>
  <c r="C191" i="4"/>
  <c r="A191" i="4"/>
  <c r="Q190" i="4"/>
  <c r="P190" i="4"/>
  <c r="O190" i="4"/>
  <c r="N190" i="4"/>
  <c r="M190" i="4"/>
  <c r="J190" i="4"/>
  <c r="I190" i="4"/>
  <c r="H190" i="4"/>
  <c r="G190" i="4"/>
  <c r="L190" i="4" s="1"/>
  <c r="F190" i="4"/>
  <c r="E190" i="4"/>
  <c r="D190" i="4"/>
  <c r="C190" i="4"/>
  <c r="A190" i="4"/>
  <c r="Q189" i="4"/>
  <c r="P189" i="4"/>
  <c r="O189" i="4"/>
  <c r="N189" i="4"/>
  <c r="M189" i="4"/>
  <c r="J189" i="4"/>
  <c r="I189" i="4"/>
  <c r="H189" i="4"/>
  <c r="G189" i="4"/>
  <c r="F189" i="4"/>
  <c r="E189" i="4"/>
  <c r="D189" i="4"/>
  <c r="C189" i="4"/>
  <c r="A189" i="4"/>
  <c r="G188" i="4"/>
  <c r="S188" i="4" s="1"/>
  <c r="T188" i="4" s="1"/>
  <c r="F188" i="4"/>
  <c r="E188" i="4"/>
  <c r="D188" i="4"/>
  <c r="C188" i="4"/>
  <c r="A188" i="4"/>
  <c r="G187" i="4"/>
  <c r="S187" i="4" s="1"/>
  <c r="T187" i="4" s="1"/>
  <c r="F187" i="4"/>
  <c r="E187" i="4"/>
  <c r="D187" i="4"/>
  <c r="C187" i="4"/>
  <c r="A187" i="4"/>
  <c r="Q186" i="4"/>
  <c r="O186" i="4"/>
  <c r="M186" i="4"/>
  <c r="I186" i="4"/>
  <c r="G186" i="4"/>
  <c r="K186" i="4" s="1"/>
  <c r="F186" i="4"/>
  <c r="E186" i="4"/>
  <c r="D186" i="4"/>
  <c r="C186" i="4"/>
  <c r="A186" i="4"/>
  <c r="Q185" i="4"/>
  <c r="P185" i="4"/>
  <c r="O185" i="4"/>
  <c r="N185" i="4"/>
  <c r="M185" i="4"/>
  <c r="J185" i="4"/>
  <c r="I185" i="4"/>
  <c r="H185" i="4"/>
  <c r="G185" i="4"/>
  <c r="L185" i="4" s="1"/>
  <c r="F185" i="4"/>
  <c r="E185" i="4"/>
  <c r="D185" i="4"/>
  <c r="C185" i="4"/>
  <c r="A185" i="4"/>
  <c r="Q184" i="4"/>
  <c r="P184" i="4"/>
  <c r="O184" i="4"/>
  <c r="N184" i="4"/>
  <c r="M184" i="4"/>
  <c r="J184" i="4"/>
  <c r="I184" i="4"/>
  <c r="H184" i="4"/>
  <c r="G184" i="4"/>
  <c r="F184" i="4"/>
  <c r="E184" i="4"/>
  <c r="D184" i="4"/>
  <c r="C184" i="4"/>
  <c r="A184" i="4"/>
  <c r="Q183" i="4"/>
  <c r="P183" i="4"/>
  <c r="O183" i="4"/>
  <c r="N183" i="4"/>
  <c r="M183" i="4"/>
  <c r="J183" i="4"/>
  <c r="I183" i="4"/>
  <c r="H183" i="4"/>
  <c r="G183" i="4"/>
  <c r="L183" i="4" s="1"/>
  <c r="F183" i="4"/>
  <c r="E183" i="4"/>
  <c r="D183" i="4"/>
  <c r="C183" i="4"/>
  <c r="A183" i="4"/>
  <c r="Q182" i="4"/>
  <c r="P182" i="4"/>
  <c r="O182" i="4"/>
  <c r="N182" i="4"/>
  <c r="M182" i="4"/>
  <c r="J182" i="4"/>
  <c r="I182" i="4"/>
  <c r="H182" i="4"/>
  <c r="G182" i="4"/>
  <c r="F182" i="4"/>
  <c r="E182" i="4"/>
  <c r="D182" i="4"/>
  <c r="C182" i="4"/>
  <c r="A182" i="4"/>
  <c r="Q181" i="4"/>
  <c r="P181" i="4"/>
  <c r="O181" i="4"/>
  <c r="N181" i="4"/>
  <c r="M181" i="4"/>
  <c r="J181" i="4"/>
  <c r="I181" i="4"/>
  <c r="H181" i="4"/>
  <c r="G181" i="4"/>
  <c r="K181" i="4" s="1"/>
  <c r="F181" i="4"/>
  <c r="E181" i="4"/>
  <c r="D181" i="4"/>
  <c r="C181" i="4"/>
  <c r="A181" i="4"/>
  <c r="H180" i="4"/>
  <c r="G180" i="4"/>
  <c r="L180" i="4" s="1"/>
  <c r="F180" i="4"/>
  <c r="E180" i="4"/>
  <c r="D180" i="4"/>
  <c r="C180" i="4"/>
  <c r="A180" i="4"/>
  <c r="J179" i="4"/>
  <c r="H179" i="4"/>
  <c r="G179" i="4"/>
  <c r="F179" i="4"/>
  <c r="E179" i="4"/>
  <c r="D179" i="4"/>
  <c r="C179" i="4"/>
  <c r="A179" i="4"/>
  <c r="H178" i="4"/>
  <c r="G178" i="4"/>
  <c r="K178" i="4" s="1"/>
  <c r="F178" i="4"/>
  <c r="E178" i="4"/>
  <c r="D178" i="4"/>
  <c r="C178" i="4"/>
  <c r="A178" i="4"/>
  <c r="O177" i="4"/>
  <c r="M177" i="4"/>
  <c r="G177" i="4"/>
  <c r="L177" i="4" s="1"/>
  <c r="F177" i="4"/>
  <c r="E177" i="4"/>
  <c r="D177" i="4"/>
  <c r="C177" i="4"/>
  <c r="A177" i="4"/>
  <c r="O176" i="4"/>
  <c r="M176" i="4"/>
  <c r="G176" i="4"/>
  <c r="F176" i="4"/>
  <c r="E176" i="4"/>
  <c r="D176" i="4"/>
  <c r="C176" i="4"/>
  <c r="A176" i="4"/>
  <c r="O175" i="4"/>
  <c r="M175" i="4"/>
  <c r="G175" i="4"/>
  <c r="L175" i="4" s="1"/>
  <c r="F175" i="4"/>
  <c r="E175" i="4"/>
  <c r="D175" i="4"/>
  <c r="C175" i="4"/>
  <c r="A175" i="4"/>
  <c r="O174" i="4"/>
  <c r="M174" i="4"/>
  <c r="L174" i="4"/>
  <c r="G174" i="4"/>
  <c r="F174" i="4"/>
  <c r="E174" i="4"/>
  <c r="D174" i="4"/>
  <c r="C174" i="4"/>
  <c r="A174" i="4"/>
  <c r="O173" i="4"/>
  <c r="M173" i="4"/>
  <c r="L173" i="4"/>
  <c r="G173" i="4"/>
  <c r="F173" i="4"/>
  <c r="E173" i="4"/>
  <c r="D173" i="4"/>
  <c r="C173" i="4"/>
  <c r="A173" i="4"/>
  <c r="O172" i="4"/>
  <c r="M172" i="4"/>
  <c r="G172" i="4"/>
  <c r="L172" i="4" s="1"/>
  <c r="F172" i="4"/>
  <c r="E172" i="4"/>
  <c r="D172" i="4"/>
  <c r="C172" i="4"/>
  <c r="A172" i="4"/>
  <c r="P171" i="4"/>
  <c r="O171" i="4"/>
  <c r="N171" i="4"/>
  <c r="M171" i="4"/>
  <c r="I171" i="4"/>
  <c r="G171" i="4"/>
  <c r="F171" i="4"/>
  <c r="E171" i="4"/>
  <c r="D171" i="4"/>
  <c r="C171" i="4"/>
  <c r="A171" i="4"/>
  <c r="O170" i="4"/>
  <c r="M170" i="4"/>
  <c r="G170" i="4"/>
  <c r="F170" i="4"/>
  <c r="E170" i="4"/>
  <c r="D170" i="4"/>
  <c r="C170" i="4"/>
  <c r="A170" i="4"/>
  <c r="O169" i="4"/>
  <c r="M169" i="4"/>
  <c r="G169" i="4"/>
  <c r="F169" i="4"/>
  <c r="E169" i="4"/>
  <c r="D169" i="4"/>
  <c r="C169" i="4"/>
  <c r="A169" i="4"/>
  <c r="O168" i="4"/>
  <c r="M168" i="4"/>
  <c r="G168" i="4"/>
  <c r="F168" i="4"/>
  <c r="E168" i="4"/>
  <c r="D168" i="4"/>
  <c r="C168" i="4"/>
  <c r="A168" i="4"/>
  <c r="O167" i="4"/>
  <c r="M167" i="4"/>
  <c r="G167" i="4"/>
  <c r="F167" i="4"/>
  <c r="E167" i="4"/>
  <c r="D167" i="4"/>
  <c r="C167" i="4"/>
  <c r="A167" i="4"/>
  <c r="K166" i="4"/>
  <c r="I166" i="4"/>
  <c r="H166" i="4"/>
  <c r="G166" i="4"/>
  <c r="L166" i="4" s="1"/>
  <c r="F166" i="4"/>
  <c r="E166" i="4"/>
  <c r="D166" i="4"/>
  <c r="C166" i="4"/>
  <c r="A166" i="4"/>
  <c r="I165" i="4"/>
  <c r="H165" i="4"/>
  <c r="G165" i="4"/>
  <c r="F165" i="4"/>
  <c r="E165" i="4"/>
  <c r="D165" i="4"/>
  <c r="C165" i="4"/>
  <c r="A165" i="4"/>
  <c r="J164" i="4"/>
  <c r="I164" i="4"/>
  <c r="H164" i="4"/>
  <c r="G164" i="4"/>
  <c r="L164" i="4" s="1"/>
  <c r="F164" i="4"/>
  <c r="E164" i="4"/>
  <c r="D164" i="4"/>
  <c r="C164" i="4"/>
  <c r="A164" i="4"/>
  <c r="I163" i="4"/>
  <c r="H163" i="4"/>
  <c r="G163" i="4"/>
  <c r="K163" i="4" s="1"/>
  <c r="F163" i="4"/>
  <c r="E163" i="4"/>
  <c r="D163" i="4"/>
  <c r="C163" i="4"/>
  <c r="A163" i="4"/>
  <c r="J162" i="4"/>
  <c r="I162" i="4"/>
  <c r="H162" i="4"/>
  <c r="G162" i="4"/>
  <c r="K162" i="4" s="1"/>
  <c r="F162" i="4"/>
  <c r="E162" i="4"/>
  <c r="D162" i="4"/>
  <c r="C162" i="4"/>
  <c r="A162" i="4"/>
  <c r="P161" i="4"/>
  <c r="O161" i="4"/>
  <c r="N161" i="4"/>
  <c r="M161" i="4"/>
  <c r="G161" i="4"/>
  <c r="L161" i="4" s="1"/>
  <c r="F161" i="4"/>
  <c r="E161" i="4"/>
  <c r="D161" i="4"/>
  <c r="C161" i="4"/>
  <c r="A161" i="4"/>
  <c r="O160" i="4"/>
  <c r="N160" i="4"/>
  <c r="M160" i="4"/>
  <c r="G160" i="4"/>
  <c r="L160" i="4" s="1"/>
  <c r="F160" i="4"/>
  <c r="E160" i="4"/>
  <c r="D160" i="4"/>
  <c r="C160" i="4"/>
  <c r="A160" i="4"/>
  <c r="Q159" i="4"/>
  <c r="M159" i="4"/>
  <c r="G159" i="4"/>
  <c r="K159" i="4" s="1"/>
  <c r="F159" i="4"/>
  <c r="E159" i="4"/>
  <c r="D159" i="4"/>
  <c r="C159" i="4"/>
  <c r="A159" i="4"/>
  <c r="Q158" i="4"/>
  <c r="P158" i="4"/>
  <c r="O158" i="4"/>
  <c r="N158" i="4"/>
  <c r="M158" i="4"/>
  <c r="J158" i="4"/>
  <c r="H158" i="4"/>
  <c r="G158" i="4"/>
  <c r="F158" i="4"/>
  <c r="E158" i="4"/>
  <c r="D158" i="4"/>
  <c r="C158" i="4"/>
  <c r="A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Q156" i="4"/>
  <c r="P156" i="4"/>
  <c r="O156" i="4"/>
  <c r="N156" i="4"/>
  <c r="M156" i="4"/>
  <c r="J156" i="4"/>
  <c r="I156" i="4"/>
  <c r="H156" i="4"/>
  <c r="G156" i="4"/>
  <c r="L156" i="4" s="1"/>
  <c r="F156" i="4"/>
  <c r="E156" i="4"/>
  <c r="D156" i="4"/>
  <c r="C156" i="4"/>
  <c r="A156" i="4"/>
  <c r="Q155" i="4"/>
  <c r="M155" i="4"/>
  <c r="I155" i="4"/>
  <c r="H155" i="4"/>
  <c r="G155" i="4"/>
  <c r="L155" i="4" s="1"/>
  <c r="F155" i="4"/>
  <c r="E155" i="4"/>
  <c r="D155" i="4"/>
  <c r="C155" i="4"/>
  <c r="A155" i="4"/>
  <c r="Q154" i="4"/>
  <c r="P154" i="4"/>
  <c r="O154" i="4"/>
  <c r="N154" i="4"/>
  <c r="M154" i="4"/>
  <c r="K154" i="4"/>
  <c r="I154" i="4"/>
  <c r="H154" i="4"/>
  <c r="G154" i="4"/>
  <c r="L154" i="4" s="1"/>
  <c r="F154" i="4"/>
  <c r="E154" i="4"/>
  <c r="D154" i="4"/>
  <c r="C154" i="4"/>
  <c r="A154" i="4"/>
  <c r="Q153" i="4"/>
  <c r="P153" i="4"/>
  <c r="O153" i="4"/>
  <c r="N153" i="4"/>
  <c r="M153" i="4"/>
  <c r="J153" i="4"/>
  <c r="H153" i="4"/>
  <c r="G153" i="4"/>
  <c r="F153" i="4"/>
  <c r="E153" i="4"/>
  <c r="D153" i="4"/>
  <c r="C153" i="4"/>
  <c r="A153" i="4"/>
  <c r="Q152" i="4"/>
  <c r="P152" i="4"/>
  <c r="O152" i="4"/>
  <c r="N152" i="4"/>
  <c r="M152" i="4"/>
  <c r="H152" i="4"/>
  <c r="G152" i="4"/>
  <c r="F152" i="4"/>
  <c r="E152" i="4"/>
  <c r="D152" i="4"/>
  <c r="C152" i="4"/>
  <c r="A152" i="4"/>
  <c r="Q151" i="4"/>
  <c r="P151" i="4"/>
  <c r="O151" i="4"/>
  <c r="N151" i="4"/>
  <c r="M151" i="4"/>
  <c r="H151" i="4"/>
  <c r="G151" i="4"/>
  <c r="F151" i="4"/>
  <c r="E151" i="4"/>
  <c r="D151" i="4"/>
  <c r="C151" i="4"/>
  <c r="A151" i="4"/>
  <c r="Q150" i="4"/>
  <c r="P150" i="4"/>
  <c r="O150" i="4"/>
  <c r="N150" i="4"/>
  <c r="M150" i="4"/>
  <c r="K150" i="4"/>
  <c r="H150" i="4"/>
  <c r="G150" i="4"/>
  <c r="L150" i="4" s="1"/>
  <c r="F150" i="4"/>
  <c r="E150" i="4"/>
  <c r="D150" i="4"/>
  <c r="C150" i="4"/>
  <c r="A150" i="4"/>
  <c r="Q149" i="4"/>
  <c r="P149" i="4"/>
  <c r="M149" i="4"/>
  <c r="K149" i="4"/>
  <c r="J149" i="4"/>
  <c r="H149" i="4"/>
  <c r="G149" i="4"/>
  <c r="F149" i="4"/>
  <c r="E149" i="4"/>
  <c r="D149" i="4"/>
  <c r="C149" i="4"/>
  <c r="A149" i="4"/>
  <c r="Q148" i="4"/>
  <c r="P148" i="4"/>
  <c r="O148" i="4"/>
  <c r="N148" i="4"/>
  <c r="M148" i="4"/>
  <c r="H148" i="4"/>
  <c r="G148" i="4"/>
  <c r="L148" i="4" s="1"/>
  <c r="F148" i="4"/>
  <c r="E148" i="4"/>
  <c r="D148" i="4"/>
  <c r="C148" i="4"/>
  <c r="A148" i="4"/>
  <c r="Q147" i="4"/>
  <c r="P147" i="4"/>
  <c r="O147" i="4"/>
  <c r="N147" i="4"/>
  <c r="M147" i="4"/>
  <c r="I147" i="4"/>
  <c r="H147" i="4"/>
  <c r="G147" i="4"/>
  <c r="L147" i="4" s="1"/>
  <c r="F147" i="4"/>
  <c r="E147" i="4"/>
  <c r="D147" i="4"/>
  <c r="C147" i="4"/>
  <c r="A147" i="4"/>
  <c r="J146" i="4"/>
  <c r="H146" i="4"/>
  <c r="G146" i="4"/>
  <c r="L146" i="4" s="1"/>
  <c r="F146" i="4"/>
  <c r="E146" i="4"/>
  <c r="D146" i="4"/>
  <c r="C146" i="4"/>
  <c r="A146" i="4"/>
  <c r="Q145" i="4"/>
  <c r="P145" i="4"/>
  <c r="O145" i="4"/>
  <c r="N145" i="4"/>
  <c r="M145" i="4"/>
  <c r="K145" i="4"/>
  <c r="J145" i="4"/>
  <c r="I145" i="4"/>
  <c r="H145" i="4"/>
  <c r="G145" i="4"/>
  <c r="F145" i="4"/>
  <c r="E145" i="4"/>
  <c r="D145" i="4"/>
  <c r="C145" i="4"/>
  <c r="A145" i="4"/>
  <c r="Q144" i="4"/>
  <c r="P144" i="4"/>
  <c r="O144" i="4"/>
  <c r="N144" i="4"/>
  <c r="M144" i="4"/>
  <c r="J144" i="4"/>
  <c r="I144" i="4"/>
  <c r="H144" i="4"/>
  <c r="G144" i="4"/>
  <c r="L144" i="4" s="1"/>
  <c r="F144" i="4"/>
  <c r="E144" i="4"/>
  <c r="D144" i="4"/>
  <c r="C144" i="4"/>
  <c r="A144" i="4"/>
  <c r="Q143" i="4"/>
  <c r="P143" i="4"/>
  <c r="O143" i="4"/>
  <c r="N143" i="4"/>
  <c r="M143" i="4"/>
  <c r="J143" i="4"/>
  <c r="I143" i="4"/>
  <c r="H143" i="4"/>
  <c r="G143" i="4"/>
  <c r="K143" i="4" s="1"/>
  <c r="F143" i="4"/>
  <c r="E143" i="4"/>
  <c r="D143" i="4"/>
  <c r="C143" i="4"/>
  <c r="A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Q141" i="4"/>
  <c r="P141" i="4"/>
  <c r="O141" i="4"/>
  <c r="N141" i="4"/>
  <c r="M141" i="4"/>
  <c r="J141" i="4"/>
  <c r="H141" i="4"/>
  <c r="G141" i="4"/>
  <c r="F141" i="4"/>
  <c r="E141" i="4"/>
  <c r="D141" i="4"/>
  <c r="C141" i="4"/>
  <c r="A141" i="4"/>
  <c r="Q140" i="4"/>
  <c r="P140" i="4"/>
  <c r="O140" i="4"/>
  <c r="N140" i="4"/>
  <c r="M140" i="4"/>
  <c r="J140" i="4"/>
  <c r="H140" i="4"/>
  <c r="G140" i="4"/>
  <c r="L140" i="4" s="1"/>
  <c r="F140" i="4"/>
  <c r="E140" i="4"/>
  <c r="D140" i="4"/>
  <c r="C140" i="4"/>
  <c r="A140" i="4"/>
  <c r="L139" i="4"/>
  <c r="J139" i="4"/>
  <c r="H139" i="4"/>
  <c r="G139" i="4"/>
  <c r="K139" i="4" s="1"/>
  <c r="F139" i="4"/>
  <c r="E139" i="4"/>
  <c r="D139" i="4"/>
  <c r="C139" i="4"/>
  <c r="A139" i="4"/>
  <c r="J138" i="4"/>
  <c r="H138" i="4"/>
  <c r="G138" i="4"/>
  <c r="K138" i="4" s="1"/>
  <c r="F138" i="4"/>
  <c r="E138" i="4"/>
  <c r="D138" i="4"/>
  <c r="C138" i="4"/>
  <c r="A138" i="4"/>
  <c r="J137" i="4"/>
  <c r="H137" i="4"/>
  <c r="G137" i="4"/>
  <c r="K137" i="4" s="1"/>
  <c r="F137" i="4"/>
  <c r="E137" i="4"/>
  <c r="D137" i="4"/>
  <c r="C137" i="4"/>
  <c r="A137" i="4"/>
  <c r="G136" i="4"/>
  <c r="S136" i="4" s="1"/>
  <c r="T136" i="4" s="1"/>
  <c r="F136" i="4"/>
  <c r="E136" i="4"/>
  <c r="D136" i="4"/>
  <c r="C136" i="4"/>
  <c r="A136" i="4"/>
  <c r="Q135" i="4"/>
  <c r="O135" i="4"/>
  <c r="N135" i="4"/>
  <c r="M135" i="4"/>
  <c r="G135" i="4"/>
  <c r="F135" i="4"/>
  <c r="E135" i="4"/>
  <c r="D135" i="4"/>
  <c r="C135" i="4"/>
  <c r="A135" i="4"/>
  <c r="H134" i="4"/>
  <c r="G134" i="4"/>
  <c r="L134" i="4" s="1"/>
  <c r="F134" i="4"/>
  <c r="E134" i="4"/>
  <c r="D134" i="4"/>
  <c r="C134" i="4"/>
  <c r="A134" i="4"/>
  <c r="L133" i="4"/>
  <c r="H133" i="4"/>
  <c r="G133" i="4"/>
  <c r="K133" i="4" s="1"/>
  <c r="F133" i="4"/>
  <c r="E133" i="4"/>
  <c r="D133" i="4"/>
  <c r="C133" i="4"/>
  <c r="A133" i="4"/>
  <c r="H132" i="4"/>
  <c r="G132" i="4"/>
  <c r="L132" i="4" s="1"/>
  <c r="F132" i="4"/>
  <c r="E132" i="4"/>
  <c r="D132" i="4"/>
  <c r="C132" i="4"/>
  <c r="A132" i="4"/>
  <c r="K131" i="4"/>
  <c r="H131" i="4"/>
  <c r="G131" i="4"/>
  <c r="L131" i="4" s="1"/>
  <c r="F131" i="4"/>
  <c r="E131" i="4"/>
  <c r="D131" i="4"/>
  <c r="C131" i="4"/>
  <c r="A131" i="4"/>
  <c r="G130" i="4"/>
  <c r="S130" i="4" s="1"/>
  <c r="T130" i="4" s="1"/>
  <c r="F130" i="4"/>
  <c r="E130" i="4"/>
  <c r="D130" i="4"/>
  <c r="C130" i="4"/>
  <c r="A130" i="4"/>
  <c r="I129" i="4"/>
  <c r="H129" i="4"/>
  <c r="G129" i="4"/>
  <c r="L129" i="4" s="1"/>
  <c r="F129" i="4"/>
  <c r="E129" i="4"/>
  <c r="D129" i="4"/>
  <c r="C129" i="4"/>
  <c r="A129" i="4"/>
  <c r="O128" i="4"/>
  <c r="N128" i="4"/>
  <c r="M128" i="4"/>
  <c r="G128" i="4"/>
  <c r="K128" i="4" s="1"/>
  <c r="F128" i="4"/>
  <c r="E128" i="4"/>
  <c r="D128" i="4"/>
  <c r="C128" i="4"/>
  <c r="A128" i="4"/>
  <c r="Q127" i="4"/>
  <c r="P127" i="4"/>
  <c r="O127" i="4"/>
  <c r="N127" i="4"/>
  <c r="M127" i="4"/>
  <c r="I127" i="4"/>
  <c r="H127" i="4"/>
  <c r="G127" i="4"/>
  <c r="K127" i="4" s="1"/>
  <c r="F127" i="4"/>
  <c r="E127" i="4"/>
  <c r="D127" i="4"/>
  <c r="C127" i="4"/>
  <c r="A127" i="4"/>
  <c r="O126" i="4"/>
  <c r="M126" i="4"/>
  <c r="J126" i="4"/>
  <c r="H126" i="4"/>
  <c r="G126" i="4"/>
  <c r="L126" i="4" s="1"/>
  <c r="F126" i="4"/>
  <c r="E126" i="4"/>
  <c r="D126" i="4"/>
  <c r="C126" i="4"/>
  <c r="A126" i="4"/>
  <c r="O125" i="4"/>
  <c r="M125" i="4"/>
  <c r="K125" i="4"/>
  <c r="J125" i="4"/>
  <c r="H125" i="4"/>
  <c r="G125" i="4"/>
  <c r="L125" i="4" s="1"/>
  <c r="F125" i="4"/>
  <c r="E125" i="4"/>
  <c r="D125" i="4"/>
  <c r="C125" i="4"/>
  <c r="A125" i="4"/>
  <c r="K124" i="4"/>
  <c r="H124" i="4"/>
  <c r="G124" i="4"/>
  <c r="L124" i="4" s="1"/>
  <c r="F124" i="4"/>
  <c r="E124" i="4"/>
  <c r="D124" i="4"/>
  <c r="C124" i="4"/>
  <c r="A124" i="4"/>
  <c r="P123" i="4"/>
  <c r="O123" i="4"/>
  <c r="N123" i="4"/>
  <c r="M123" i="4"/>
  <c r="I123" i="4"/>
  <c r="H123" i="4"/>
  <c r="G123" i="4"/>
  <c r="L123" i="4" s="1"/>
  <c r="F123" i="4"/>
  <c r="E123" i="4"/>
  <c r="D123" i="4"/>
  <c r="C123" i="4"/>
  <c r="A123" i="4"/>
  <c r="P122" i="4"/>
  <c r="O122" i="4"/>
  <c r="N122" i="4"/>
  <c r="M122" i="4"/>
  <c r="I122" i="4"/>
  <c r="H122" i="4"/>
  <c r="G122" i="4"/>
  <c r="F122" i="4"/>
  <c r="E122" i="4"/>
  <c r="D122" i="4"/>
  <c r="C122" i="4"/>
  <c r="A122" i="4"/>
  <c r="P121" i="4"/>
  <c r="O121" i="4"/>
  <c r="N121" i="4"/>
  <c r="M121" i="4"/>
  <c r="L121" i="4"/>
  <c r="I121" i="4"/>
  <c r="H121" i="4"/>
  <c r="G121" i="4"/>
  <c r="F121" i="4"/>
  <c r="E121" i="4"/>
  <c r="D121" i="4"/>
  <c r="C121" i="4"/>
  <c r="A121" i="4"/>
  <c r="P120" i="4"/>
  <c r="O120" i="4"/>
  <c r="N120" i="4"/>
  <c r="M120" i="4"/>
  <c r="I120" i="4"/>
  <c r="H120" i="4"/>
  <c r="G120" i="4"/>
  <c r="K120" i="4" s="1"/>
  <c r="F120" i="4"/>
  <c r="E120" i="4"/>
  <c r="D120" i="4"/>
  <c r="C120" i="4"/>
  <c r="A120" i="4"/>
  <c r="P119" i="4"/>
  <c r="O119" i="4"/>
  <c r="N119" i="4"/>
  <c r="M119" i="4"/>
  <c r="K119" i="4"/>
  <c r="I119" i="4"/>
  <c r="H119" i="4"/>
  <c r="G119" i="4"/>
  <c r="L119" i="4" s="1"/>
  <c r="F119" i="4"/>
  <c r="E119" i="4"/>
  <c r="D119" i="4"/>
  <c r="C119" i="4"/>
  <c r="A119" i="4"/>
  <c r="P118" i="4"/>
  <c r="O118" i="4"/>
  <c r="N118" i="4"/>
  <c r="M118" i="4"/>
  <c r="L118" i="4"/>
  <c r="I118" i="4"/>
  <c r="H118" i="4"/>
  <c r="G118" i="4"/>
  <c r="F118" i="4"/>
  <c r="E118" i="4"/>
  <c r="D118" i="4"/>
  <c r="C118" i="4"/>
  <c r="A118" i="4"/>
  <c r="Q117" i="4"/>
  <c r="P117" i="4"/>
  <c r="O117" i="4"/>
  <c r="M117" i="4"/>
  <c r="I117" i="4"/>
  <c r="H117" i="4"/>
  <c r="G117" i="4"/>
  <c r="F117" i="4"/>
  <c r="E117" i="4"/>
  <c r="D117" i="4"/>
  <c r="C117" i="4"/>
  <c r="A117" i="4"/>
  <c r="J116" i="4"/>
  <c r="I116" i="4"/>
  <c r="H116" i="4"/>
  <c r="G116" i="4"/>
  <c r="L116" i="4" s="1"/>
  <c r="F116" i="4"/>
  <c r="E116" i="4"/>
  <c r="D116" i="4"/>
  <c r="C116" i="4"/>
  <c r="A116" i="4"/>
  <c r="J115" i="4"/>
  <c r="I115" i="4"/>
  <c r="H115" i="4"/>
  <c r="G115" i="4"/>
  <c r="F115" i="4"/>
  <c r="E115" i="4"/>
  <c r="D115" i="4"/>
  <c r="C115" i="4"/>
  <c r="A115" i="4"/>
  <c r="Q114" i="4"/>
  <c r="P114" i="4"/>
  <c r="O114" i="4"/>
  <c r="M114" i="4"/>
  <c r="H114" i="4"/>
  <c r="G114" i="4"/>
  <c r="F114" i="4"/>
  <c r="E114" i="4"/>
  <c r="D114" i="4"/>
  <c r="C114" i="4"/>
  <c r="A114" i="4"/>
  <c r="Q113" i="4"/>
  <c r="P113" i="4"/>
  <c r="O113" i="4"/>
  <c r="M113" i="4"/>
  <c r="I113" i="4"/>
  <c r="H113" i="4"/>
  <c r="G113" i="4"/>
  <c r="F113" i="4"/>
  <c r="E113" i="4"/>
  <c r="D113" i="4"/>
  <c r="C113" i="4"/>
  <c r="A113" i="4"/>
  <c r="H112" i="4"/>
  <c r="G112" i="4"/>
  <c r="F112" i="4"/>
  <c r="E112" i="4"/>
  <c r="D112" i="4"/>
  <c r="C112" i="4"/>
  <c r="A112" i="4"/>
  <c r="L111" i="4"/>
  <c r="I111" i="4"/>
  <c r="H111" i="4"/>
  <c r="G111" i="4"/>
  <c r="K111" i="4" s="1"/>
  <c r="F111" i="4"/>
  <c r="E111" i="4"/>
  <c r="D111" i="4"/>
  <c r="C111" i="4"/>
  <c r="A111" i="4"/>
  <c r="L110" i="4"/>
  <c r="K110" i="4"/>
  <c r="J110" i="4"/>
  <c r="I110" i="4"/>
  <c r="H110" i="4"/>
  <c r="G110" i="4"/>
  <c r="F110" i="4"/>
  <c r="E110" i="4"/>
  <c r="D110" i="4"/>
  <c r="C110" i="4"/>
  <c r="A110" i="4"/>
  <c r="J109" i="4"/>
  <c r="I109" i="4"/>
  <c r="H109" i="4"/>
  <c r="G109" i="4"/>
  <c r="K109" i="4" s="1"/>
  <c r="F109" i="4"/>
  <c r="E109" i="4"/>
  <c r="D109" i="4"/>
  <c r="C109" i="4"/>
  <c r="A109" i="4"/>
  <c r="J108" i="4"/>
  <c r="I108" i="4"/>
  <c r="H108" i="4"/>
  <c r="G108" i="4"/>
  <c r="F108" i="4"/>
  <c r="E108" i="4"/>
  <c r="D108" i="4"/>
  <c r="C108" i="4"/>
  <c r="A108" i="4"/>
  <c r="H107" i="4"/>
  <c r="G107" i="4"/>
  <c r="F107" i="4"/>
  <c r="E107" i="4"/>
  <c r="D107" i="4"/>
  <c r="C107" i="4"/>
  <c r="A107" i="4"/>
  <c r="I106" i="4"/>
  <c r="H106" i="4"/>
  <c r="G106" i="4"/>
  <c r="S106" i="4" s="1"/>
  <c r="T106" i="4" s="1"/>
  <c r="F106" i="4"/>
  <c r="E106" i="4"/>
  <c r="D106" i="4"/>
  <c r="C106" i="4"/>
  <c r="A106" i="4"/>
  <c r="I105" i="4"/>
  <c r="H105" i="4"/>
  <c r="G105" i="4"/>
  <c r="L105" i="4" s="1"/>
  <c r="F105" i="4"/>
  <c r="E105" i="4"/>
  <c r="D105" i="4"/>
  <c r="C105" i="4"/>
  <c r="A105" i="4"/>
  <c r="Q104" i="4"/>
  <c r="P104" i="4"/>
  <c r="O104" i="4"/>
  <c r="M104" i="4"/>
  <c r="I104" i="4"/>
  <c r="H104" i="4"/>
  <c r="G104" i="4"/>
  <c r="L104" i="4" s="1"/>
  <c r="F104" i="4"/>
  <c r="E104" i="4"/>
  <c r="D104" i="4"/>
  <c r="C104" i="4"/>
  <c r="A104" i="4"/>
  <c r="Q103" i="4"/>
  <c r="P103" i="4"/>
  <c r="O103" i="4"/>
  <c r="M103" i="4"/>
  <c r="I103" i="4"/>
  <c r="H103" i="4"/>
  <c r="G103" i="4"/>
  <c r="K103" i="4" s="1"/>
  <c r="F103" i="4"/>
  <c r="E103" i="4"/>
  <c r="D103" i="4"/>
  <c r="C103" i="4"/>
  <c r="A103" i="4"/>
  <c r="Q102" i="4"/>
  <c r="P102" i="4"/>
  <c r="O102" i="4"/>
  <c r="M102" i="4"/>
  <c r="I102" i="4"/>
  <c r="H102" i="4"/>
  <c r="G102" i="4"/>
  <c r="L102" i="4" s="1"/>
  <c r="F102" i="4"/>
  <c r="E102" i="4"/>
  <c r="D102" i="4"/>
  <c r="C102" i="4"/>
  <c r="A102" i="4"/>
  <c r="P101" i="4"/>
  <c r="O101" i="4"/>
  <c r="M101" i="4"/>
  <c r="I101" i="4"/>
  <c r="H101" i="4"/>
  <c r="G101" i="4"/>
  <c r="L101" i="4" s="1"/>
  <c r="F101" i="4"/>
  <c r="E101" i="4"/>
  <c r="D101" i="4"/>
  <c r="C101" i="4"/>
  <c r="A101" i="4"/>
  <c r="P100" i="4"/>
  <c r="O100" i="4"/>
  <c r="M100" i="4"/>
  <c r="I100" i="4"/>
  <c r="H100" i="4"/>
  <c r="G100" i="4"/>
  <c r="L100" i="4" s="1"/>
  <c r="F100" i="4"/>
  <c r="E100" i="4"/>
  <c r="D100" i="4"/>
  <c r="C100" i="4"/>
  <c r="A100" i="4"/>
  <c r="Q99" i="4"/>
  <c r="P99" i="4"/>
  <c r="O99" i="4"/>
  <c r="M99" i="4"/>
  <c r="I99" i="4"/>
  <c r="H99" i="4"/>
  <c r="G99" i="4"/>
  <c r="F99" i="4"/>
  <c r="E99" i="4"/>
  <c r="D99" i="4"/>
  <c r="C99" i="4"/>
  <c r="A99" i="4"/>
  <c r="H98" i="4"/>
  <c r="G98" i="4"/>
  <c r="F98" i="4"/>
  <c r="E98" i="4"/>
  <c r="D98" i="4"/>
  <c r="C98" i="4"/>
  <c r="A98" i="4"/>
  <c r="G97" i="4"/>
  <c r="S97" i="4" s="1"/>
  <c r="T97" i="4" s="1"/>
  <c r="F97" i="4"/>
  <c r="E97" i="4"/>
  <c r="D97" i="4"/>
  <c r="C97" i="4"/>
  <c r="A97" i="4"/>
  <c r="J96" i="4"/>
  <c r="I96" i="4"/>
  <c r="H96" i="4"/>
  <c r="G96" i="4"/>
  <c r="L96" i="4" s="1"/>
  <c r="F96" i="4"/>
  <c r="E96" i="4"/>
  <c r="D96" i="4"/>
  <c r="C96" i="4"/>
  <c r="A96" i="4"/>
  <c r="Q95" i="4"/>
  <c r="P95" i="4"/>
  <c r="O95" i="4"/>
  <c r="M95" i="4"/>
  <c r="J95" i="4"/>
  <c r="H95" i="4"/>
  <c r="G95" i="4"/>
  <c r="F95" i="4"/>
  <c r="E95" i="4"/>
  <c r="D95" i="4"/>
  <c r="C95" i="4"/>
  <c r="A95" i="4"/>
  <c r="J94" i="4"/>
  <c r="I94" i="4"/>
  <c r="H94" i="4"/>
  <c r="G94" i="4"/>
  <c r="F94" i="4"/>
  <c r="E94" i="4"/>
  <c r="D94" i="4"/>
  <c r="C94" i="4"/>
  <c r="A94" i="4"/>
  <c r="G93" i="4"/>
  <c r="S93" i="4" s="1"/>
  <c r="T93" i="4" s="1"/>
  <c r="F93" i="4"/>
  <c r="E93" i="4"/>
  <c r="D93" i="4"/>
  <c r="C93" i="4"/>
  <c r="A93" i="4"/>
  <c r="Q92" i="4"/>
  <c r="P92" i="4"/>
  <c r="O92" i="4"/>
  <c r="M92" i="4"/>
  <c r="J92" i="4"/>
  <c r="I92" i="4"/>
  <c r="H92" i="4"/>
  <c r="G92" i="4"/>
  <c r="L92" i="4" s="1"/>
  <c r="F92" i="4"/>
  <c r="E92" i="4"/>
  <c r="D92" i="4"/>
  <c r="C92" i="4"/>
  <c r="A92" i="4"/>
  <c r="Q91" i="4"/>
  <c r="P91" i="4"/>
  <c r="O91" i="4"/>
  <c r="M91" i="4"/>
  <c r="L91" i="4"/>
  <c r="J91" i="4"/>
  <c r="I91" i="4"/>
  <c r="H91" i="4"/>
  <c r="G91" i="4"/>
  <c r="K91" i="4" s="1"/>
  <c r="F91" i="4"/>
  <c r="E91" i="4"/>
  <c r="D91" i="4"/>
  <c r="C91" i="4"/>
  <c r="A91" i="4"/>
  <c r="Q90" i="4"/>
  <c r="P90" i="4"/>
  <c r="O90" i="4"/>
  <c r="M90" i="4"/>
  <c r="I90" i="4"/>
  <c r="H90" i="4"/>
  <c r="G90" i="4"/>
  <c r="K90" i="4" s="1"/>
  <c r="F90" i="4"/>
  <c r="E90" i="4"/>
  <c r="D90" i="4"/>
  <c r="C90" i="4"/>
  <c r="A90" i="4"/>
  <c r="Q89" i="4"/>
  <c r="P89" i="4"/>
  <c r="O89" i="4"/>
  <c r="M89" i="4"/>
  <c r="J89" i="4"/>
  <c r="I89" i="4"/>
  <c r="H89" i="4"/>
  <c r="G89" i="4"/>
  <c r="K89" i="4" s="1"/>
  <c r="F89" i="4"/>
  <c r="E89" i="4"/>
  <c r="D89" i="4"/>
  <c r="C89" i="4"/>
  <c r="A89" i="4"/>
  <c r="Q88" i="4"/>
  <c r="P88" i="4"/>
  <c r="O88" i="4"/>
  <c r="M88" i="4"/>
  <c r="H88" i="4"/>
  <c r="G88" i="4"/>
  <c r="L88" i="4" s="1"/>
  <c r="F88" i="4"/>
  <c r="E88" i="4"/>
  <c r="D88" i="4"/>
  <c r="C88" i="4"/>
  <c r="A88" i="4"/>
  <c r="Q87" i="4"/>
  <c r="P87" i="4"/>
  <c r="O87" i="4"/>
  <c r="M87" i="4"/>
  <c r="J87" i="4"/>
  <c r="I87" i="4"/>
  <c r="H87" i="4"/>
  <c r="G87" i="4"/>
  <c r="K87" i="4" s="1"/>
  <c r="F87" i="4"/>
  <c r="E87" i="4"/>
  <c r="D87" i="4"/>
  <c r="C87" i="4"/>
  <c r="A87" i="4"/>
  <c r="Q86" i="4"/>
  <c r="P86" i="4"/>
  <c r="O86" i="4"/>
  <c r="M86" i="4"/>
  <c r="H86" i="4"/>
  <c r="G86" i="4"/>
  <c r="L86" i="4" s="1"/>
  <c r="F86" i="4"/>
  <c r="E86" i="4"/>
  <c r="D86" i="4"/>
  <c r="C86" i="4"/>
  <c r="A86" i="4"/>
  <c r="Q85" i="4"/>
  <c r="P85" i="4"/>
  <c r="O85" i="4"/>
  <c r="M85" i="4"/>
  <c r="L85" i="4"/>
  <c r="J85" i="4"/>
  <c r="I85" i="4"/>
  <c r="H85" i="4"/>
  <c r="G85" i="4"/>
  <c r="K85" i="4" s="1"/>
  <c r="F85" i="4"/>
  <c r="E85" i="4"/>
  <c r="D85" i="4"/>
  <c r="C85" i="4"/>
  <c r="A85" i="4"/>
  <c r="Q84" i="4"/>
  <c r="P84" i="4"/>
  <c r="O84" i="4"/>
  <c r="M84" i="4"/>
  <c r="J84" i="4"/>
  <c r="I84" i="4"/>
  <c r="H84" i="4"/>
  <c r="G84" i="4"/>
  <c r="L84" i="4" s="1"/>
  <c r="F84" i="4"/>
  <c r="E84" i="4"/>
  <c r="D84" i="4"/>
  <c r="C84" i="4"/>
  <c r="A84" i="4"/>
  <c r="O83" i="4"/>
  <c r="M83" i="4"/>
  <c r="J83" i="4"/>
  <c r="I83" i="4"/>
  <c r="H83" i="4"/>
  <c r="G83" i="4"/>
  <c r="K83" i="4" s="1"/>
  <c r="F83" i="4"/>
  <c r="E83" i="4"/>
  <c r="D83" i="4"/>
  <c r="C83" i="4"/>
  <c r="A83" i="4"/>
  <c r="Q82" i="4"/>
  <c r="P82" i="4"/>
  <c r="O82" i="4"/>
  <c r="M82" i="4"/>
  <c r="J82" i="4"/>
  <c r="I82" i="4"/>
  <c r="H82" i="4"/>
  <c r="G82" i="4"/>
  <c r="K82" i="4" s="1"/>
  <c r="F82" i="4"/>
  <c r="E82" i="4"/>
  <c r="D82" i="4"/>
  <c r="C82" i="4"/>
  <c r="A82" i="4"/>
  <c r="Q81" i="4"/>
  <c r="P81" i="4"/>
  <c r="O81" i="4"/>
  <c r="M81" i="4"/>
  <c r="I81" i="4"/>
  <c r="H81" i="4"/>
  <c r="G81" i="4"/>
  <c r="F81" i="4"/>
  <c r="E81" i="4"/>
  <c r="D81" i="4"/>
  <c r="C81" i="4"/>
  <c r="A81" i="4"/>
  <c r="P80" i="4"/>
  <c r="O80" i="4"/>
  <c r="M80" i="4"/>
  <c r="K80" i="4"/>
  <c r="I80" i="4"/>
  <c r="H80" i="4"/>
  <c r="G80" i="4"/>
  <c r="L80" i="4" s="1"/>
  <c r="F80" i="4"/>
  <c r="E80" i="4"/>
  <c r="D80" i="4"/>
  <c r="C80" i="4"/>
  <c r="A80" i="4"/>
  <c r="Q79" i="4"/>
  <c r="P79" i="4"/>
  <c r="O79" i="4"/>
  <c r="M79" i="4"/>
  <c r="K79" i="4"/>
  <c r="H79" i="4"/>
  <c r="G79" i="4"/>
  <c r="L79" i="4" s="1"/>
  <c r="F79" i="4"/>
  <c r="E79" i="4"/>
  <c r="D79" i="4"/>
  <c r="C79" i="4"/>
  <c r="A79" i="4"/>
  <c r="O78" i="4"/>
  <c r="M78" i="4"/>
  <c r="L78" i="4"/>
  <c r="J78" i="4"/>
  <c r="I78" i="4"/>
  <c r="H78" i="4"/>
  <c r="G78" i="4"/>
  <c r="K78" i="4" s="1"/>
  <c r="F78" i="4"/>
  <c r="E78" i="4"/>
  <c r="D78" i="4"/>
  <c r="C78" i="4"/>
  <c r="A78" i="4"/>
  <c r="P77" i="4"/>
  <c r="O77" i="4"/>
  <c r="M77" i="4"/>
  <c r="H77" i="4"/>
  <c r="G77" i="4"/>
  <c r="K77" i="4" s="1"/>
  <c r="F77" i="4"/>
  <c r="E77" i="4"/>
  <c r="D77" i="4"/>
  <c r="C77" i="4"/>
  <c r="A77" i="4"/>
  <c r="Q76" i="4"/>
  <c r="P76" i="4"/>
  <c r="O76" i="4"/>
  <c r="M76" i="4"/>
  <c r="L76" i="4"/>
  <c r="K76" i="4"/>
  <c r="I76" i="4"/>
  <c r="H76" i="4"/>
  <c r="G76" i="4"/>
  <c r="F76" i="4"/>
  <c r="E76" i="4"/>
  <c r="D76" i="4"/>
  <c r="C76" i="4"/>
  <c r="A76" i="4"/>
  <c r="Q75" i="4"/>
  <c r="P75" i="4"/>
  <c r="O75" i="4"/>
  <c r="M75" i="4"/>
  <c r="J75" i="4"/>
  <c r="I75" i="4"/>
  <c r="H75" i="4"/>
  <c r="G75" i="4"/>
  <c r="F75" i="4"/>
  <c r="E75" i="4"/>
  <c r="D75" i="4"/>
  <c r="C75" i="4"/>
  <c r="A75" i="4"/>
  <c r="P74" i="4"/>
  <c r="O74" i="4"/>
  <c r="M74" i="4"/>
  <c r="I74" i="4"/>
  <c r="H74" i="4"/>
  <c r="G74" i="4"/>
  <c r="F74" i="4"/>
  <c r="E74" i="4"/>
  <c r="D74" i="4"/>
  <c r="C74" i="4"/>
  <c r="A74" i="4"/>
  <c r="Q73" i="4"/>
  <c r="P73" i="4"/>
  <c r="O73" i="4"/>
  <c r="M73" i="4"/>
  <c r="J73" i="4"/>
  <c r="I73" i="4"/>
  <c r="H73" i="4"/>
  <c r="G73" i="4"/>
  <c r="L73" i="4" s="1"/>
  <c r="F73" i="4"/>
  <c r="E73" i="4"/>
  <c r="D73" i="4"/>
  <c r="C73" i="4"/>
  <c r="A73" i="4"/>
  <c r="H72" i="4"/>
  <c r="G72" i="4"/>
  <c r="F72" i="4"/>
  <c r="E72" i="4"/>
  <c r="D72" i="4"/>
  <c r="C72" i="4"/>
  <c r="A72" i="4"/>
  <c r="Q71" i="4"/>
  <c r="P71" i="4"/>
  <c r="O71" i="4"/>
  <c r="M71" i="4"/>
  <c r="L71" i="4"/>
  <c r="J71" i="4"/>
  <c r="I71" i="4"/>
  <c r="H71" i="4"/>
  <c r="G71" i="4"/>
  <c r="K71" i="4" s="1"/>
  <c r="F71" i="4"/>
  <c r="E71" i="4"/>
  <c r="D71" i="4"/>
  <c r="C71" i="4"/>
  <c r="A71" i="4"/>
  <c r="Q70" i="4"/>
  <c r="P70" i="4"/>
  <c r="O70" i="4"/>
  <c r="M70" i="4"/>
  <c r="L70" i="4"/>
  <c r="I70" i="4"/>
  <c r="H70" i="4"/>
  <c r="G70" i="4"/>
  <c r="K70" i="4" s="1"/>
  <c r="F70" i="4"/>
  <c r="E70" i="4"/>
  <c r="D70" i="4"/>
  <c r="C70" i="4"/>
  <c r="A70" i="4"/>
  <c r="Q69" i="4"/>
  <c r="P69" i="4"/>
  <c r="O69" i="4"/>
  <c r="M69" i="4"/>
  <c r="I69" i="4"/>
  <c r="H69" i="4"/>
  <c r="G69" i="4"/>
  <c r="F69" i="4"/>
  <c r="E69" i="4"/>
  <c r="D69" i="4"/>
  <c r="C69" i="4"/>
  <c r="A69" i="4"/>
  <c r="Q68" i="4"/>
  <c r="P68" i="4"/>
  <c r="O68" i="4"/>
  <c r="M68" i="4"/>
  <c r="K68" i="4"/>
  <c r="J68" i="4"/>
  <c r="I68" i="4"/>
  <c r="H68" i="4"/>
  <c r="G68" i="4"/>
  <c r="L68" i="4" s="1"/>
  <c r="F68" i="4"/>
  <c r="E68" i="4"/>
  <c r="D68" i="4"/>
  <c r="C68" i="4"/>
  <c r="A68" i="4"/>
  <c r="Q67" i="4"/>
  <c r="P67" i="4"/>
  <c r="O67" i="4"/>
  <c r="M67" i="4"/>
  <c r="H67" i="4"/>
  <c r="G67" i="4"/>
  <c r="F67" i="4"/>
  <c r="E67" i="4"/>
  <c r="D67" i="4"/>
  <c r="C67" i="4"/>
  <c r="A67" i="4"/>
  <c r="Q66" i="4"/>
  <c r="P66" i="4"/>
  <c r="O66" i="4"/>
  <c r="M66" i="4"/>
  <c r="H66" i="4"/>
  <c r="G66" i="4"/>
  <c r="K66" i="4" s="1"/>
  <c r="F66" i="4"/>
  <c r="E66" i="4"/>
  <c r="D66" i="4"/>
  <c r="C66" i="4"/>
  <c r="A66" i="4"/>
  <c r="P65" i="4"/>
  <c r="O65" i="4"/>
  <c r="M65" i="4"/>
  <c r="K65" i="4"/>
  <c r="I65" i="4"/>
  <c r="H65" i="4"/>
  <c r="G65" i="4"/>
  <c r="L65" i="4" s="1"/>
  <c r="F65" i="4"/>
  <c r="E65" i="4"/>
  <c r="D65" i="4"/>
  <c r="C65" i="4"/>
  <c r="A65" i="4"/>
  <c r="Q64" i="4"/>
  <c r="P64" i="4"/>
  <c r="O64" i="4"/>
  <c r="M64" i="4"/>
  <c r="H64" i="4"/>
  <c r="G64" i="4"/>
  <c r="F64" i="4"/>
  <c r="E64" i="4"/>
  <c r="D64" i="4"/>
  <c r="C64" i="4"/>
  <c r="A64" i="4"/>
  <c r="J63" i="4"/>
  <c r="H63" i="4"/>
  <c r="G63" i="4"/>
  <c r="F63" i="4"/>
  <c r="E63" i="4"/>
  <c r="D63" i="4"/>
  <c r="C63" i="4"/>
  <c r="A63" i="4"/>
  <c r="Q62" i="4"/>
  <c r="P62" i="4"/>
  <c r="O62" i="4"/>
  <c r="M62" i="4"/>
  <c r="I62" i="4"/>
  <c r="H62" i="4"/>
  <c r="G62" i="4"/>
  <c r="L62" i="4" s="1"/>
  <c r="F62" i="4"/>
  <c r="E62" i="4"/>
  <c r="D62" i="4"/>
  <c r="C62" i="4"/>
  <c r="A62" i="4"/>
  <c r="Q61" i="4"/>
  <c r="P61" i="4"/>
  <c r="O61" i="4"/>
  <c r="M61" i="4"/>
  <c r="J61" i="4"/>
  <c r="I61" i="4"/>
  <c r="H61" i="4"/>
  <c r="G61" i="4"/>
  <c r="F61" i="4"/>
  <c r="E61" i="4"/>
  <c r="D61" i="4"/>
  <c r="C61" i="4"/>
  <c r="A61" i="4"/>
  <c r="Q60" i="4"/>
  <c r="P60" i="4"/>
  <c r="O60" i="4"/>
  <c r="M60" i="4"/>
  <c r="J60" i="4"/>
  <c r="H60" i="4"/>
  <c r="G60" i="4"/>
  <c r="F60" i="4"/>
  <c r="E60" i="4"/>
  <c r="D60" i="4"/>
  <c r="C60" i="4"/>
  <c r="A60" i="4"/>
  <c r="Q59" i="4"/>
  <c r="P59" i="4"/>
  <c r="O59" i="4"/>
  <c r="M59" i="4"/>
  <c r="I59" i="4"/>
  <c r="H59" i="4"/>
  <c r="G59" i="4"/>
  <c r="F59" i="4"/>
  <c r="E59" i="4"/>
  <c r="D59" i="4"/>
  <c r="C59" i="4"/>
  <c r="A59" i="4"/>
  <c r="P58" i="4"/>
  <c r="O58" i="4"/>
  <c r="M58" i="4"/>
  <c r="H58" i="4"/>
  <c r="G58" i="4"/>
  <c r="F58" i="4"/>
  <c r="E58" i="4"/>
  <c r="D58" i="4"/>
  <c r="C58" i="4"/>
  <c r="A58" i="4"/>
  <c r="P57" i="4"/>
  <c r="O57" i="4"/>
  <c r="M57" i="4"/>
  <c r="H57" i="4"/>
  <c r="G57" i="4"/>
  <c r="F57" i="4"/>
  <c r="E57" i="4"/>
  <c r="D57" i="4"/>
  <c r="C57" i="4"/>
  <c r="A57" i="4"/>
  <c r="P56" i="4"/>
  <c r="O56" i="4"/>
  <c r="M56" i="4"/>
  <c r="H56" i="4"/>
  <c r="G56" i="4"/>
  <c r="F56" i="4"/>
  <c r="E56" i="4"/>
  <c r="D56" i="4"/>
  <c r="C56" i="4"/>
  <c r="A56" i="4"/>
  <c r="P55" i="4"/>
  <c r="O55" i="4"/>
  <c r="M55" i="4"/>
  <c r="L55" i="4"/>
  <c r="H55" i="4"/>
  <c r="G55" i="4"/>
  <c r="K55" i="4" s="1"/>
  <c r="F55" i="4"/>
  <c r="E55" i="4"/>
  <c r="D55" i="4"/>
  <c r="C55" i="4"/>
  <c r="A55" i="4"/>
  <c r="Q54" i="4"/>
  <c r="P54" i="4"/>
  <c r="O54" i="4"/>
  <c r="M54" i="4"/>
  <c r="H54" i="4"/>
  <c r="G54" i="4"/>
  <c r="F54" i="4"/>
  <c r="E54" i="4"/>
  <c r="D54" i="4"/>
  <c r="C54" i="4"/>
  <c r="A54" i="4"/>
  <c r="P53" i="4"/>
  <c r="O53" i="4"/>
  <c r="M53" i="4"/>
  <c r="H53" i="4"/>
  <c r="G53" i="4"/>
  <c r="L53" i="4" s="1"/>
  <c r="F53" i="4"/>
  <c r="E53" i="4"/>
  <c r="D53" i="4"/>
  <c r="C53" i="4"/>
  <c r="A53" i="4"/>
  <c r="Q52" i="4"/>
  <c r="P52" i="4"/>
  <c r="O52" i="4"/>
  <c r="M52" i="4"/>
  <c r="K52" i="4"/>
  <c r="I52" i="4"/>
  <c r="H52" i="4"/>
  <c r="G52" i="4"/>
  <c r="L52" i="4" s="1"/>
  <c r="F52" i="4"/>
  <c r="E52" i="4"/>
  <c r="D52" i="4"/>
  <c r="C52" i="4"/>
  <c r="A52" i="4"/>
  <c r="Q51" i="4"/>
  <c r="P51" i="4"/>
  <c r="O51" i="4"/>
  <c r="M51" i="4"/>
  <c r="I51" i="4"/>
  <c r="H51" i="4"/>
  <c r="G51" i="4"/>
  <c r="F51" i="4"/>
  <c r="E51" i="4"/>
  <c r="D51" i="4"/>
  <c r="C51" i="4"/>
  <c r="A51" i="4"/>
  <c r="Q50" i="4"/>
  <c r="P50" i="4"/>
  <c r="O50" i="4"/>
  <c r="M50" i="4"/>
  <c r="L50" i="4"/>
  <c r="K50" i="4"/>
  <c r="I50" i="4"/>
  <c r="H50" i="4"/>
  <c r="G50" i="4"/>
  <c r="F50" i="4"/>
  <c r="E50" i="4"/>
  <c r="D50" i="4"/>
  <c r="C50" i="4"/>
  <c r="A50" i="4"/>
  <c r="L49" i="4"/>
  <c r="J49" i="4"/>
  <c r="I49" i="4"/>
  <c r="H49" i="4"/>
  <c r="G49" i="4"/>
  <c r="K49" i="4" s="1"/>
  <c r="F49" i="4"/>
  <c r="E49" i="4"/>
  <c r="D49" i="4"/>
  <c r="C49" i="4"/>
  <c r="A49" i="4"/>
  <c r="G48" i="4"/>
  <c r="S48" i="4" s="1"/>
  <c r="T48" i="4" s="1"/>
  <c r="F48" i="4"/>
  <c r="E48" i="4"/>
  <c r="D48" i="4"/>
  <c r="C48" i="4"/>
  <c r="A48" i="4"/>
  <c r="S47" i="4"/>
  <c r="T47" i="4" s="1"/>
  <c r="G47" i="4"/>
  <c r="F47" i="4"/>
  <c r="E47" i="4"/>
  <c r="D47" i="4"/>
  <c r="C47" i="4"/>
  <c r="A47" i="4"/>
  <c r="Q46" i="4"/>
  <c r="P46" i="4"/>
  <c r="O46" i="4"/>
  <c r="M46" i="4"/>
  <c r="J46" i="4"/>
  <c r="I46" i="4"/>
  <c r="H46" i="4"/>
  <c r="G46" i="4"/>
  <c r="L46" i="4" s="1"/>
  <c r="F46" i="4"/>
  <c r="E46" i="4"/>
  <c r="D46" i="4"/>
  <c r="C46" i="4"/>
  <c r="A46" i="4"/>
  <c r="Q45" i="4"/>
  <c r="P45" i="4"/>
  <c r="O45" i="4"/>
  <c r="M45" i="4"/>
  <c r="I45" i="4"/>
  <c r="H45" i="4"/>
  <c r="G45" i="4"/>
  <c r="F45" i="4"/>
  <c r="E45" i="4"/>
  <c r="D45" i="4"/>
  <c r="C45" i="4"/>
  <c r="A45" i="4"/>
  <c r="Q44" i="4"/>
  <c r="P44" i="4"/>
  <c r="O44" i="4"/>
  <c r="M44" i="4"/>
  <c r="I44" i="4"/>
  <c r="H44" i="4"/>
  <c r="G44" i="4"/>
  <c r="L44" i="4" s="1"/>
  <c r="F44" i="4"/>
  <c r="E44" i="4"/>
  <c r="D44" i="4"/>
  <c r="C44" i="4"/>
  <c r="A44" i="4"/>
  <c r="H43" i="4"/>
  <c r="G43" i="4"/>
  <c r="K43" i="4" s="1"/>
  <c r="F43" i="4"/>
  <c r="E43" i="4"/>
  <c r="D43" i="4"/>
  <c r="C43" i="4"/>
  <c r="A43" i="4"/>
  <c r="Q42" i="4"/>
  <c r="P42" i="4"/>
  <c r="O42" i="4"/>
  <c r="M42" i="4"/>
  <c r="J42" i="4"/>
  <c r="H42" i="4"/>
  <c r="G42" i="4"/>
  <c r="F42" i="4"/>
  <c r="E42" i="4"/>
  <c r="D42" i="4"/>
  <c r="C42" i="4"/>
  <c r="A42" i="4"/>
  <c r="I41" i="4"/>
  <c r="H41" i="4"/>
  <c r="G41" i="4"/>
  <c r="S41" i="4" s="1"/>
  <c r="T41" i="4" s="1"/>
  <c r="F41" i="4"/>
  <c r="E41" i="4"/>
  <c r="D41" i="4"/>
  <c r="C41" i="4"/>
  <c r="A41" i="4"/>
  <c r="Q40" i="4"/>
  <c r="P40" i="4"/>
  <c r="O40" i="4"/>
  <c r="M40" i="4"/>
  <c r="H40" i="4"/>
  <c r="G40" i="4"/>
  <c r="L40" i="4" s="1"/>
  <c r="F40" i="4"/>
  <c r="E40" i="4"/>
  <c r="D40" i="4"/>
  <c r="C40" i="4"/>
  <c r="A40" i="4"/>
  <c r="P39" i="4"/>
  <c r="O39" i="4"/>
  <c r="M39" i="4"/>
  <c r="I39" i="4"/>
  <c r="H39" i="4"/>
  <c r="G39" i="4"/>
  <c r="L39" i="4" s="1"/>
  <c r="F39" i="4"/>
  <c r="E39" i="4"/>
  <c r="D39" i="4"/>
  <c r="C39" i="4"/>
  <c r="A39" i="4"/>
  <c r="Q38" i="4"/>
  <c r="P38" i="4"/>
  <c r="O38" i="4"/>
  <c r="M38" i="4"/>
  <c r="J38" i="4"/>
  <c r="I38" i="4"/>
  <c r="H38" i="4"/>
  <c r="G38" i="4"/>
  <c r="F38" i="4"/>
  <c r="E38" i="4"/>
  <c r="D38" i="4"/>
  <c r="C38" i="4"/>
  <c r="A38" i="4"/>
  <c r="Q37" i="4"/>
  <c r="P37" i="4"/>
  <c r="O37" i="4"/>
  <c r="M37" i="4"/>
  <c r="I37" i="4"/>
  <c r="H37" i="4"/>
  <c r="G37" i="4"/>
  <c r="L37" i="4" s="1"/>
  <c r="F37" i="4"/>
  <c r="E37" i="4"/>
  <c r="D37" i="4"/>
  <c r="C37" i="4"/>
  <c r="A37" i="4"/>
  <c r="Q36" i="4"/>
  <c r="P36" i="4"/>
  <c r="O36" i="4"/>
  <c r="M36" i="4"/>
  <c r="I36" i="4"/>
  <c r="H36" i="4"/>
  <c r="G36" i="4"/>
  <c r="L36" i="4" s="1"/>
  <c r="F36" i="4"/>
  <c r="E36" i="4"/>
  <c r="D36" i="4"/>
  <c r="C36" i="4"/>
  <c r="A36" i="4"/>
  <c r="Q35" i="4"/>
  <c r="P35" i="4"/>
  <c r="O35" i="4"/>
  <c r="M35" i="4"/>
  <c r="I35" i="4"/>
  <c r="H35" i="4"/>
  <c r="G35" i="4"/>
  <c r="K35" i="4" s="1"/>
  <c r="F35" i="4"/>
  <c r="E35" i="4"/>
  <c r="D35" i="4"/>
  <c r="C35" i="4"/>
  <c r="A35" i="4"/>
  <c r="O34" i="4"/>
  <c r="M34" i="4"/>
  <c r="G34" i="4"/>
  <c r="K34" i="4" s="1"/>
  <c r="F34" i="4"/>
  <c r="E34" i="4"/>
  <c r="D34" i="4"/>
  <c r="C34" i="4"/>
  <c r="A34" i="4"/>
  <c r="Q33" i="4"/>
  <c r="P33" i="4"/>
  <c r="O33" i="4"/>
  <c r="M33" i="4"/>
  <c r="I33" i="4"/>
  <c r="H33" i="4"/>
  <c r="G33" i="4"/>
  <c r="L33" i="4" s="1"/>
  <c r="F33" i="4"/>
  <c r="E33" i="4"/>
  <c r="D33" i="4"/>
  <c r="C33" i="4"/>
  <c r="A33" i="4"/>
  <c r="Q32" i="4"/>
  <c r="P32" i="4"/>
  <c r="O32" i="4"/>
  <c r="M32" i="4"/>
  <c r="J32" i="4"/>
  <c r="H32" i="4"/>
  <c r="G32" i="4"/>
  <c r="K32" i="4" s="1"/>
  <c r="F32" i="4"/>
  <c r="E32" i="4"/>
  <c r="D32" i="4"/>
  <c r="C32" i="4"/>
  <c r="A32" i="4"/>
  <c r="P31" i="4"/>
  <c r="O31" i="4"/>
  <c r="M31" i="4"/>
  <c r="I31" i="4"/>
  <c r="H31" i="4"/>
  <c r="G31" i="4"/>
  <c r="L31" i="4" s="1"/>
  <c r="F31" i="4"/>
  <c r="E31" i="4"/>
  <c r="D31" i="4"/>
  <c r="C31" i="4"/>
  <c r="A31" i="4"/>
  <c r="Q30" i="4"/>
  <c r="P30" i="4"/>
  <c r="O30" i="4"/>
  <c r="M30" i="4"/>
  <c r="J30" i="4"/>
  <c r="I30" i="4"/>
  <c r="H30" i="4"/>
  <c r="G30" i="4"/>
  <c r="L30" i="4" s="1"/>
  <c r="F30" i="4"/>
  <c r="E30" i="4"/>
  <c r="D30" i="4"/>
  <c r="C30" i="4"/>
  <c r="A30" i="4"/>
  <c r="Q29" i="4"/>
  <c r="P29" i="4"/>
  <c r="O29" i="4"/>
  <c r="M29" i="4"/>
  <c r="J29" i="4"/>
  <c r="I29" i="4"/>
  <c r="H29" i="4"/>
  <c r="G29" i="4"/>
  <c r="K29" i="4" s="1"/>
  <c r="F29" i="4"/>
  <c r="E29" i="4"/>
  <c r="D29" i="4"/>
  <c r="C29" i="4"/>
  <c r="A29" i="4"/>
  <c r="Q28" i="4"/>
  <c r="P28" i="4"/>
  <c r="O28" i="4"/>
  <c r="M28" i="4"/>
  <c r="L28" i="4"/>
  <c r="K28" i="4"/>
  <c r="J28" i="4"/>
  <c r="H28" i="4"/>
  <c r="G28" i="4"/>
  <c r="F28" i="4"/>
  <c r="E28" i="4"/>
  <c r="D28" i="4"/>
  <c r="C28" i="4"/>
  <c r="A28" i="4"/>
  <c r="Q27" i="4"/>
  <c r="P27" i="4"/>
  <c r="O27" i="4"/>
  <c r="M27" i="4"/>
  <c r="I27" i="4"/>
  <c r="H27" i="4"/>
  <c r="G27" i="4"/>
  <c r="L27" i="4" s="1"/>
  <c r="F27" i="4"/>
  <c r="E27" i="4"/>
  <c r="D27" i="4"/>
  <c r="C27" i="4"/>
  <c r="A27" i="4"/>
  <c r="Q26" i="4"/>
  <c r="P26" i="4"/>
  <c r="O26" i="4"/>
  <c r="M26" i="4"/>
  <c r="J26" i="4"/>
  <c r="I26" i="4"/>
  <c r="H26" i="4"/>
  <c r="G26" i="4"/>
  <c r="K26" i="4" s="1"/>
  <c r="F26" i="4"/>
  <c r="E26" i="4"/>
  <c r="D26" i="4"/>
  <c r="C26" i="4"/>
  <c r="A26" i="4"/>
  <c r="P25" i="4"/>
  <c r="O25" i="4"/>
  <c r="M25" i="4"/>
  <c r="I25" i="4"/>
  <c r="H25" i="4"/>
  <c r="G25" i="4"/>
  <c r="K25" i="4" s="1"/>
  <c r="F25" i="4"/>
  <c r="E25" i="4"/>
  <c r="D25" i="4"/>
  <c r="C25" i="4"/>
  <c r="A25" i="4"/>
  <c r="H24" i="4"/>
  <c r="G24" i="4"/>
  <c r="F24" i="4"/>
  <c r="E24" i="4"/>
  <c r="D24" i="4"/>
  <c r="C24" i="4"/>
  <c r="A24" i="4"/>
  <c r="P23" i="4"/>
  <c r="O23" i="4"/>
  <c r="M23" i="4"/>
  <c r="H23" i="4"/>
  <c r="G23" i="4"/>
  <c r="L23" i="4" s="1"/>
  <c r="F23" i="4"/>
  <c r="E23" i="4"/>
  <c r="D23" i="4"/>
  <c r="C23" i="4"/>
  <c r="A23" i="4"/>
  <c r="Q22" i="4"/>
  <c r="P22" i="4"/>
  <c r="O22" i="4"/>
  <c r="M22" i="4"/>
  <c r="I22" i="4"/>
  <c r="H22" i="4"/>
  <c r="G22" i="4"/>
  <c r="L22" i="4" s="1"/>
  <c r="F22" i="4"/>
  <c r="E22" i="4"/>
  <c r="D22" i="4"/>
  <c r="C22" i="4"/>
  <c r="A22" i="4"/>
  <c r="O21" i="4"/>
  <c r="M21" i="4"/>
  <c r="G21" i="4"/>
  <c r="K21" i="4" s="1"/>
  <c r="F21" i="4"/>
  <c r="E21" i="4"/>
  <c r="D21" i="4"/>
  <c r="C21" i="4"/>
  <c r="A21" i="4"/>
  <c r="P20" i="4"/>
  <c r="O20" i="4"/>
  <c r="M20" i="4"/>
  <c r="J20" i="4"/>
  <c r="I20" i="4"/>
  <c r="H20" i="4"/>
  <c r="G20" i="4"/>
  <c r="L20" i="4" s="1"/>
  <c r="F20" i="4"/>
  <c r="E20" i="4"/>
  <c r="D20" i="4"/>
  <c r="C20" i="4"/>
  <c r="A20" i="4"/>
  <c r="P19" i="4"/>
  <c r="O19" i="4"/>
  <c r="M19" i="4"/>
  <c r="H19" i="4"/>
  <c r="G19" i="4"/>
  <c r="F19" i="4"/>
  <c r="E19" i="4"/>
  <c r="D19" i="4"/>
  <c r="C19" i="4"/>
  <c r="A19" i="4"/>
  <c r="Q18" i="4"/>
  <c r="P18" i="4"/>
  <c r="O18" i="4"/>
  <c r="M18" i="4"/>
  <c r="I18" i="4"/>
  <c r="H18" i="4"/>
  <c r="G18" i="4"/>
  <c r="K18" i="4" s="1"/>
  <c r="F18" i="4"/>
  <c r="E18" i="4"/>
  <c r="D18" i="4"/>
  <c r="C18" i="4"/>
  <c r="A18" i="4"/>
  <c r="O17" i="4"/>
  <c r="M17" i="4"/>
  <c r="G17" i="4"/>
  <c r="K17" i="4" s="1"/>
  <c r="F17" i="4"/>
  <c r="E17" i="4"/>
  <c r="D17" i="4"/>
  <c r="C17" i="4"/>
  <c r="A17" i="4"/>
  <c r="Q16" i="4"/>
  <c r="P16" i="4"/>
  <c r="O16" i="4"/>
  <c r="M16" i="4"/>
  <c r="I16" i="4"/>
  <c r="H16" i="4"/>
  <c r="G16" i="4"/>
  <c r="K16" i="4" s="1"/>
  <c r="F16" i="4"/>
  <c r="E16" i="4"/>
  <c r="D16" i="4"/>
  <c r="C16" i="4"/>
  <c r="A16" i="4"/>
  <c r="Q15" i="4"/>
  <c r="P15" i="4"/>
  <c r="O15" i="4"/>
  <c r="M15" i="4"/>
  <c r="I15" i="4"/>
  <c r="H15" i="4"/>
  <c r="G15" i="4"/>
  <c r="L15" i="4" s="1"/>
  <c r="F15" i="4"/>
  <c r="E15" i="4"/>
  <c r="D15" i="4"/>
  <c r="C15" i="4"/>
  <c r="A15" i="4"/>
  <c r="G14" i="4"/>
  <c r="S14" i="4" s="1"/>
  <c r="T14" i="4" s="1"/>
  <c r="F14" i="4"/>
  <c r="E14" i="4"/>
  <c r="D14" i="4"/>
  <c r="C14" i="4"/>
  <c r="A14" i="4"/>
  <c r="Q13" i="4"/>
  <c r="P13" i="4"/>
  <c r="O13" i="4"/>
  <c r="M13" i="4"/>
  <c r="I13" i="4"/>
  <c r="H13" i="4"/>
  <c r="G13" i="4"/>
  <c r="L13" i="4" s="1"/>
  <c r="F13" i="4"/>
  <c r="E13" i="4"/>
  <c r="D13" i="4"/>
  <c r="C13" i="4"/>
  <c r="A13" i="4"/>
  <c r="Q12" i="4"/>
  <c r="P12" i="4"/>
  <c r="O12" i="4"/>
  <c r="M12" i="4"/>
  <c r="L12" i="4"/>
  <c r="K12" i="4"/>
  <c r="I12" i="4"/>
  <c r="H12" i="4"/>
  <c r="G12" i="4"/>
  <c r="F12" i="4"/>
  <c r="E12" i="4"/>
  <c r="D12" i="4"/>
  <c r="C12" i="4"/>
  <c r="A12" i="4"/>
  <c r="I11" i="4"/>
  <c r="H11" i="4"/>
  <c r="G11" i="4"/>
  <c r="F11" i="4"/>
  <c r="E11" i="4"/>
  <c r="D11" i="4"/>
  <c r="C11" i="4"/>
  <c r="A11" i="4"/>
  <c r="Q10" i="4"/>
  <c r="P10" i="4"/>
  <c r="O10" i="4"/>
  <c r="M10" i="4"/>
  <c r="J10" i="4"/>
  <c r="I10" i="4"/>
  <c r="H10" i="4"/>
  <c r="G10" i="4"/>
  <c r="K10" i="4" s="1"/>
  <c r="F10" i="4"/>
  <c r="E10" i="4"/>
  <c r="D10" i="4"/>
  <c r="C10" i="4"/>
  <c r="A10" i="4"/>
  <c r="Q9" i="4"/>
  <c r="P9" i="4"/>
  <c r="O9" i="4"/>
  <c r="M9" i="4"/>
  <c r="I9" i="4"/>
  <c r="H9" i="4"/>
  <c r="G9" i="4"/>
  <c r="L9" i="4" s="1"/>
  <c r="F9" i="4"/>
  <c r="E9" i="4"/>
  <c r="D9" i="4"/>
  <c r="C9" i="4"/>
  <c r="A9" i="4"/>
  <c r="Q8" i="4"/>
  <c r="P8" i="4"/>
  <c r="O8" i="4"/>
  <c r="M8" i="4"/>
  <c r="I8" i="4"/>
  <c r="H8" i="4"/>
  <c r="G8" i="4"/>
  <c r="L8" i="4" s="1"/>
  <c r="F8" i="4"/>
  <c r="E8" i="4"/>
  <c r="D8" i="4"/>
  <c r="C8" i="4"/>
  <c r="A8" i="4"/>
  <c r="Q7" i="4"/>
  <c r="P7" i="4"/>
  <c r="O7" i="4"/>
  <c r="M7" i="4"/>
  <c r="I7" i="4"/>
  <c r="H7" i="4"/>
  <c r="G7" i="4"/>
  <c r="F7" i="4"/>
  <c r="E7" i="4"/>
  <c r="D7" i="4"/>
  <c r="C7" i="4"/>
  <c r="A7" i="4"/>
  <c r="Q6" i="4"/>
  <c r="P6" i="4"/>
  <c r="O6" i="4"/>
  <c r="M6" i="4"/>
  <c r="I6" i="4"/>
  <c r="H6" i="4"/>
  <c r="G6" i="4"/>
  <c r="L6" i="4" s="1"/>
  <c r="F6" i="4"/>
  <c r="E6" i="4"/>
  <c r="D6" i="4"/>
  <c r="C6" i="4"/>
  <c r="A6" i="4"/>
  <c r="Q5" i="4"/>
  <c r="P5" i="4"/>
  <c r="O5" i="4"/>
  <c r="M5" i="4"/>
  <c r="L5" i="4"/>
  <c r="I5" i="4"/>
  <c r="H5" i="4"/>
  <c r="G5" i="4"/>
  <c r="K5" i="4" s="1"/>
  <c r="F5" i="4"/>
  <c r="E5" i="4"/>
  <c r="D5" i="4"/>
  <c r="C5" i="4"/>
  <c r="A5" i="4"/>
  <c r="G4" i="4"/>
  <c r="F4" i="4"/>
  <c r="E4" i="4"/>
  <c r="D4" i="4"/>
  <c r="C4" i="4"/>
  <c r="E2" i="4"/>
  <c r="A62" i="3"/>
  <c r="H61" i="3"/>
  <c r="C61" i="3"/>
  <c r="A61" i="3"/>
  <c r="F60" i="3"/>
  <c r="E60" i="3"/>
  <c r="H60" i="3" s="1"/>
  <c r="D60" i="3"/>
  <c r="C60" i="3"/>
  <c r="A60" i="3"/>
  <c r="F59" i="3"/>
  <c r="E59" i="3"/>
  <c r="H59" i="3" s="1"/>
  <c r="D59" i="3"/>
  <c r="C59" i="3"/>
  <c r="A59" i="3"/>
  <c r="F58" i="3"/>
  <c r="E58" i="3"/>
  <c r="H58" i="3" s="1"/>
  <c r="D58" i="3"/>
  <c r="C58" i="3"/>
  <c r="A58" i="3"/>
  <c r="F57" i="3"/>
  <c r="E57" i="3"/>
  <c r="H57" i="3" s="1"/>
  <c r="D57" i="3"/>
  <c r="C57" i="3"/>
  <c r="A57" i="3"/>
  <c r="F56" i="3"/>
  <c r="E56" i="3"/>
  <c r="H56" i="3" s="1"/>
  <c r="D56" i="3"/>
  <c r="C56" i="3"/>
  <c r="A56" i="3"/>
  <c r="F55" i="3"/>
  <c r="E55" i="3"/>
  <c r="H55" i="3" s="1"/>
  <c r="D55" i="3"/>
  <c r="C55" i="3"/>
  <c r="A55" i="3"/>
  <c r="F54" i="3"/>
  <c r="E54" i="3"/>
  <c r="H54" i="3" s="1"/>
  <c r="D54" i="3"/>
  <c r="C54" i="3"/>
  <c r="A54" i="3"/>
  <c r="F53" i="3"/>
  <c r="E53" i="3"/>
  <c r="H53" i="3" s="1"/>
  <c r="D53" i="3"/>
  <c r="C53" i="3"/>
  <c r="A53" i="3"/>
  <c r="F52" i="3"/>
  <c r="E52" i="3"/>
  <c r="H52" i="3" s="1"/>
  <c r="D52" i="3"/>
  <c r="C52" i="3"/>
  <c r="A52" i="3"/>
  <c r="F51" i="3"/>
  <c r="E51" i="3"/>
  <c r="H51" i="3" s="1"/>
  <c r="D51" i="3"/>
  <c r="C51" i="3"/>
  <c r="A51" i="3"/>
  <c r="F50" i="3"/>
  <c r="E50" i="3"/>
  <c r="H50" i="3" s="1"/>
  <c r="D50" i="3"/>
  <c r="C50" i="3"/>
  <c r="A50" i="3"/>
  <c r="F49" i="3"/>
  <c r="E49" i="3"/>
  <c r="H49" i="3" s="1"/>
  <c r="D49" i="3"/>
  <c r="C49" i="3"/>
  <c r="A49" i="3"/>
  <c r="F48" i="3"/>
  <c r="E48" i="3"/>
  <c r="H48" i="3" s="1"/>
  <c r="D48" i="3"/>
  <c r="C48" i="3"/>
  <c r="A48" i="3"/>
  <c r="F47" i="3"/>
  <c r="E47" i="3"/>
  <c r="H47" i="3" s="1"/>
  <c r="D47" i="3"/>
  <c r="C47" i="3"/>
  <c r="A47" i="3"/>
  <c r="F46" i="3"/>
  <c r="E46" i="3"/>
  <c r="H46" i="3" s="1"/>
  <c r="D46" i="3"/>
  <c r="C46" i="3"/>
  <c r="A46" i="3"/>
  <c r="F45" i="3"/>
  <c r="E45" i="3"/>
  <c r="H45" i="3" s="1"/>
  <c r="D45" i="3"/>
  <c r="C45" i="3"/>
  <c r="A45" i="3"/>
  <c r="F44" i="3"/>
  <c r="E44" i="3"/>
  <c r="H44" i="3" s="1"/>
  <c r="D44" i="3"/>
  <c r="C44" i="3"/>
  <c r="A44" i="3"/>
  <c r="F43" i="3"/>
  <c r="E43" i="3"/>
  <c r="H43" i="3" s="1"/>
  <c r="D43" i="3"/>
  <c r="C43" i="3"/>
  <c r="A43" i="3"/>
  <c r="F42" i="3"/>
  <c r="E42" i="3"/>
  <c r="H42" i="3" s="1"/>
  <c r="D42" i="3"/>
  <c r="C42" i="3"/>
  <c r="A42" i="3"/>
  <c r="F41" i="3"/>
  <c r="E41" i="3"/>
  <c r="H41" i="3" s="1"/>
  <c r="D41" i="3"/>
  <c r="C41" i="3"/>
  <c r="A41" i="3"/>
  <c r="F40" i="3"/>
  <c r="E40" i="3"/>
  <c r="H40" i="3" s="1"/>
  <c r="D40" i="3"/>
  <c r="C40" i="3"/>
  <c r="A40" i="3"/>
  <c r="F39" i="3"/>
  <c r="E39" i="3"/>
  <c r="H39" i="3" s="1"/>
  <c r="D39" i="3"/>
  <c r="C39" i="3"/>
  <c r="A39" i="3"/>
  <c r="F38" i="3"/>
  <c r="E38" i="3"/>
  <c r="H38" i="3" s="1"/>
  <c r="D38" i="3"/>
  <c r="C38" i="3"/>
  <c r="A38" i="3"/>
  <c r="F37" i="3"/>
  <c r="E37" i="3"/>
  <c r="H37" i="3" s="1"/>
  <c r="D37" i="3"/>
  <c r="C37" i="3"/>
  <c r="A37" i="3"/>
  <c r="F36" i="3"/>
  <c r="E36" i="3"/>
  <c r="H36" i="3" s="1"/>
  <c r="D36" i="3"/>
  <c r="C36" i="3"/>
  <c r="A36" i="3"/>
  <c r="F35" i="3"/>
  <c r="E35" i="3"/>
  <c r="H35" i="3" s="1"/>
  <c r="D35" i="3"/>
  <c r="C35" i="3"/>
  <c r="A35" i="3"/>
  <c r="F34" i="3"/>
  <c r="E34" i="3"/>
  <c r="H34" i="3" s="1"/>
  <c r="D34" i="3"/>
  <c r="C34" i="3"/>
  <c r="A34" i="3"/>
  <c r="F33" i="3"/>
  <c r="E33" i="3"/>
  <c r="H33" i="3" s="1"/>
  <c r="D33" i="3"/>
  <c r="C33" i="3"/>
  <c r="A33" i="3"/>
  <c r="F32" i="3"/>
  <c r="E32" i="3"/>
  <c r="H32" i="3" s="1"/>
  <c r="D32" i="3"/>
  <c r="C32" i="3"/>
  <c r="A32" i="3"/>
  <c r="F31" i="3"/>
  <c r="E31" i="3"/>
  <c r="H31" i="3" s="1"/>
  <c r="D31" i="3"/>
  <c r="C31" i="3"/>
  <c r="A31" i="3"/>
  <c r="F30" i="3"/>
  <c r="E30" i="3"/>
  <c r="H30" i="3" s="1"/>
  <c r="D30" i="3"/>
  <c r="C30" i="3"/>
  <c r="A30" i="3"/>
  <c r="F29" i="3"/>
  <c r="E29" i="3"/>
  <c r="H29" i="3" s="1"/>
  <c r="D29" i="3"/>
  <c r="C29" i="3"/>
  <c r="A29" i="3"/>
  <c r="F28" i="3"/>
  <c r="E28" i="3"/>
  <c r="H28" i="3" s="1"/>
  <c r="D28" i="3"/>
  <c r="C28" i="3"/>
  <c r="A28" i="3"/>
  <c r="F27" i="3"/>
  <c r="E27" i="3"/>
  <c r="H27" i="3" s="1"/>
  <c r="D27" i="3"/>
  <c r="C27" i="3"/>
  <c r="A27" i="3"/>
  <c r="F26" i="3"/>
  <c r="E26" i="3"/>
  <c r="H26" i="3" s="1"/>
  <c r="D26" i="3"/>
  <c r="C26" i="3"/>
  <c r="A26" i="3"/>
  <c r="G25" i="3"/>
  <c r="F25" i="3"/>
  <c r="E25" i="3"/>
  <c r="H25" i="3" s="1"/>
  <c r="D25" i="3"/>
  <c r="C25" i="3"/>
  <c r="A25" i="3"/>
  <c r="F24" i="3"/>
  <c r="E24" i="3"/>
  <c r="H24" i="3" s="1"/>
  <c r="D24" i="3"/>
  <c r="C24" i="3"/>
  <c r="A24" i="3"/>
  <c r="F23" i="3"/>
  <c r="E23" i="3"/>
  <c r="H23" i="3" s="1"/>
  <c r="D23" i="3"/>
  <c r="C23" i="3"/>
  <c r="A23" i="3"/>
  <c r="F22" i="3"/>
  <c r="E22" i="3"/>
  <c r="H22" i="3" s="1"/>
  <c r="D22" i="3"/>
  <c r="C22" i="3"/>
  <c r="A22" i="3"/>
  <c r="F21" i="3"/>
  <c r="E21" i="3"/>
  <c r="H21" i="3" s="1"/>
  <c r="D21" i="3"/>
  <c r="C21" i="3"/>
  <c r="A21" i="3"/>
  <c r="F20" i="3"/>
  <c r="E20" i="3"/>
  <c r="H20" i="3" s="1"/>
  <c r="D20" i="3"/>
  <c r="C20" i="3"/>
  <c r="A20" i="3"/>
  <c r="G19" i="3"/>
  <c r="F19" i="3"/>
  <c r="E19" i="3"/>
  <c r="H19" i="3" s="1"/>
  <c r="D19" i="3"/>
  <c r="C19" i="3"/>
  <c r="A19" i="3"/>
  <c r="F18" i="3"/>
  <c r="E18" i="3"/>
  <c r="H18" i="3" s="1"/>
  <c r="D18" i="3"/>
  <c r="C18" i="3"/>
  <c r="A18" i="3"/>
  <c r="F17" i="3"/>
  <c r="E17" i="3"/>
  <c r="H17" i="3" s="1"/>
  <c r="D17" i="3"/>
  <c r="C17" i="3"/>
  <c r="A17" i="3"/>
  <c r="F16" i="3"/>
  <c r="E16" i="3"/>
  <c r="H16" i="3" s="1"/>
  <c r="D16" i="3"/>
  <c r="C16" i="3"/>
  <c r="A16" i="3"/>
  <c r="F15" i="3"/>
  <c r="E15" i="3"/>
  <c r="H15" i="3" s="1"/>
  <c r="D15" i="3"/>
  <c r="C15" i="3"/>
  <c r="A15" i="3"/>
  <c r="F14" i="3"/>
  <c r="E14" i="3"/>
  <c r="H14" i="3" s="1"/>
  <c r="D14" i="3"/>
  <c r="C14" i="3"/>
  <c r="A14" i="3"/>
  <c r="F13" i="3"/>
  <c r="E13" i="3"/>
  <c r="H13" i="3" s="1"/>
  <c r="D13" i="3"/>
  <c r="C13" i="3"/>
  <c r="A13" i="3"/>
  <c r="F12" i="3"/>
  <c r="E12" i="3"/>
  <c r="H12" i="3" s="1"/>
  <c r="D12" i="3"/>
  <c r="C12" i="3"/>
  <c r="A12" i="3"/>
  <c r="G11" i="3"/>
  <c r="F11" i="3"/>
  <c r="E11" i="3"/>
  <c r="H11" i="3" s="1"/>
  <c r="D11" i="3"/>
  <c r="C11" i="3"/>
  <c r="A11" i="3"/>
  <c r="G10" i="3"/>
  <c r="F10" i="3"/>
  <c r="E10" i="3"/>
  <c r="D10" i="3"/>
  <c r="C10" i="3"/>
  <c r="A10" i="3"/>
  <c r="G9" i="3"/>
  <c r="F9" i="3"/>
  <c r="E9" i="3"/>
  <c r="H9" i="3" s="1"/>
  <c r="D9" i="3"/>
  <c r="C9" i="3"/>
  <c r="A9" i="3"/>
  <c r="G8" i="3"/>
  <c r="F8" i="3"/>
  <c r="E8" i="3"/>
  <c r="D8" i="3"/>
  <c r="C8" i="3"/>
  <c r="A8" i="3"/>
  <c r="G7" i="3"/>
  <c r="F7" i="3"/>
  <c r="E7" i="3"/>
  <c r="H7" i="3" s="1"/>
  <c r="D7" i="3"/>
  <c r="C7" i="3"/>
  <c r="A7" i="3"/>
  <c r="F6" i="3"/>
  <c r="E6" i="3"/>
  <c r="H6" i="3" s="1"/>
  <c r="D6" i="3"/>
  <c r="C6" i="3"/>
  <c r="A6" i="3"/>
  <c r="F5" i="3"/>
  <c r="E5" i="3"/>
  <c r="H5" i="3" s="1"/>
  <c r="D5" i="3"/>
  <c r="C5" i="3"/>
  <c r="A5" i="3"/>
  <c r="G4" i="3"/>
  <c r="G64" i="3" s="1"/>
  <c r="F4" i="3"/>
  <c r="F63" i="3" s="1"/>
  <c r="F64" i="3" s="1"/>
  <c r="E4" i="3"/>
  <c r="D4" i="3"/>
  <c r="C4" i="3"/>
  <c r="A4" i="3"/>
  <c r="S306" i="4" l="1"/>
  <c r="T306" i="4" s="1"/>
  <c r="K9" i="4"/>
  <c r="L186" i="4"/>
  <c r="K22" i="4"/>
  <c r="K36" i="4"/>
  <c r="L103" i="4"/>
  <c r="L159" i="4"/>
  <c r="L199" i="4"/>
  <c r="S199" i="4" s="1"/>
  <c r="T199" i="4" s="1"/>
  <c r="L212" i="4"/>
  <c r="L224" i="4"/>
  <c r="L235" i="4"/>
  <c r="L260" i="4"/>
  <c r="S260" i="4" s="1"/>
  <c r="T260" i="4" s="1"/>
  <c r="S291" i="4"/>
  <c r="T291" i="4" s="1"/>
  <c r="L315" i="4"/>
  <c r="S315" i="4" s="1"/>
  <c r="T315" i="4" s="1"/>
  <c r="L319" i="4"/>
  <c r="S21" i="4"/>
  <c r="K190" i="4"/>
  <c r="K211" i="4"/>
  <c r="K263" i="4"/>
  <c r="K270" i="4"/>
  <c r="S270" i="4" s="1"/>
  <c r="T270" i="4" s="1"/>
  <c r="S305" i="4"/>
  <c r="T305" i="4" s="1"/>
  <c r="M325" i="4"/>
  <c r="L35" i="4"/>
  <c r="L21" i="4"/>
  <c r="K23" i="4"/>
  <c r="L32" i="4"/>
  <c r="K100" i="4"/>
  <c r="K104" i="4"/>
  <c r="K33" i="4"/>
  <c r="K129" i="4"/>
  <c r="L18" i="4"/>
  <c r="K20" i="4"/>
  <c r="K105" i="4"/>
  <c r="S105" i="4" s="1"/>
  <c r="T105" i="4" s="1"/>
  <c r="K147" i="4"/>
  <c r="K37" i="4"/>
  <c r="K40" i="4"/>
  <c r="L17" i="4"/>
  <c r="S17" i="4" s="1"/>
  <c r="T17" i="4" s="1"/>
  <c r="G371" i="4" s="1"/>
  <c r="I371" i="4" s="1"/>
  <c r="K371" i="4" s="1"/>
  <c r="S98" i="4"/>
  <c r="T98" i="4" s="1"/>
  <c r="K126" i="4"/>
  <c r="L137" i="4"/>
  <c r="L163" i="4"/>
  <c r="S163" i="4" s="1"/>
  <c r="T163" i="4" s="1"/>
  <c r="K180" i="4"/>
  <c r="S180" i="4" s="1"/>
  <c r="T180" i="4" s="1"/>
  <c r="K221" i="4"/>
  <c r="S221" i="4" s="1"/>
  <c r="T221" i="4" s="1"/>
  <c r="K258" i="4"/>
  <c r="S258" i="4" s="1"/>
  <c r="T258" i="4" s="1"/>
  <c r="K31" i="4"/>
  <c r="L194" i="4"/>
  <c r="L215" i="4"/>
  <c r="L234" i="4"/>
  <c r="L220" i="4"/>
  <c r="L316" i="4"/>
  <c r="K13" i="4"/>
  <c r="S110" i="4"/>
  <c r="T110" i="4" s="1"/>
  <c r="S139" i="4"/>
  <c r="T139" i="4" s="1"/>
  <c r="K239" i="4"/>
  <c r="K245" i="4"/>
  <c r="L249" i="4"/>
  <c r="L252" i="4"/>
  <c r="K281" i="4"/>
  <c r="S133" i="4"/>
  <c r="T133" i="4" s="1"/>
  <c r="S49" i="4"/>
  <c r="T49" i="4" s="1"/>
  <c r="S111" i="4"/>
  <c r="T111" i="4" s="1"/>
  <c r="K177" i="4"/>
  <c r="S177" i="4" s="1"/>
  <c r="T177" i="4" s="1"/>
  <c r="S198" i="4"/>
  <c r="T198" i="4" s="1"/>
  <c r="K228" i="4"/>
  <c r="S228" i="4" s="1"/>
  <c r="T228" i="4" s="1"/>
  <c r="K231" i="4"/>
  <c r="S231" i="4" s="1"/>
  <c r="T231" i="4" s="1"/>
  <c r="K248" i="4"/>
  <c r="S248" i="4" s="1"/>
  <c r="T248" i="4" s="1"/>
  <c r="K6" i="4"/>
  <c r="L29" i="4"/>
  <c r="L82" i="4"/>
  <c r="L89" i="4"/>
  <c r="L120" i="4"/>
  <c r="L127" i="4"/>
  <c r="K146" i="4"/>
  <c r="S146" i="4" s="1"/>
  <c r="T146" i="4" s="1"/>
  <c r="K217" i="4"/>
  <c r="K251" i="4"/>
  <c r="K264" i="4"/>
  <c r="S264" i="4" s="1"/>
  <c r="T264" i="4" s="1"/>
  <c r="S281" i="4"/>
  <c r="T281" i="4" s="1"/>
  <c r="S290" i="4"/>
  <c r="T290" i="4" s="1"/>
  <c r="K298" i="4"/>
  <c r="K301" i="4"/>
  <c r="L109" i="4"/>
  <c r="S109" i="4" s="1"/>
  <c r="T109" i="4" s="1"/>
  <c r="K185" i="4"/>
  <c r="S269" i="4"/>
  <c r="T269" i="4" s="1"/>
  <c r="K284" i="4"/>
  <c r="S284" i="4" s="1"/>
  <c r="T284" i="4" s="1"/>
  <c r="K44" i="4"/>
  <c r="K123" i="4"/>
  <c r="S220" i="4"/>
  <c r="T220" i="4" s="1"/>
  <c r="K246" i="4"/>
  <c r="K247" i="4"/>
  <c r="K287" i="4"/>
  <c r="K209" i="4"/>
  <c r="K15" i="4"/>
  <c r="L25" i="4"/>
  <c r="L83" i="4"/>
  <c r="K101" i="4"/>
  <c r="K102" i="4"/>
  <c r="K164" i="4"/>
  <c r="S164" i="4" s="1"/>
  <c r="T164" i="4" s="1"/>
  <c r="S186" i="4"/>
  <c r="T186" i="4" s="1"/>
  <c r="K254" i="4"/>
  <c r="K297" i="4"/>
  <c r="S297" i="4" s="1"/>
  <c r="T297" i="4" s="1"/>
  <c r="L43" i="4"/>
  <c r="S43" i="4" s="1"/>
  <c r="T43" i="4" s="1"/>
  <c r="S138" i="4"/>
  <c r="T138" i="4" s="1"/>
  <c r="K144" i="4"/>
  <c r="K183" i="4"/>
  <c r="K205" i="4"/>
  <c r="S205" i="4" s="1"/>
  <c r="T205" i="4" s="1"/>
  <c r="K219" i="4"/>
  <c r="K244" i="4"/>
  <c r="S244" i="4" s="1"/>
  <c r="T244" i="4" s="1"/>
  <c r="K262" i="4"/>
  <c r="K268" i="4"/>
  <c r="K272" i="4"/>
  <c r="K279" i="4"/>
  <c r="S279" i="4" s="1"/>
  <c r="T279" i="4" s="1"/>
  <c r="K294" i="4"/>
  <c r="S294" i="4" s="1"/>
  <c r="T294" i="4" s="1"/>
  <c r="K39" i="4"/>
  <c r="K253" i="4"/>
  <c r="K266" i="4"/>
  <c r="S266" i="4" s="1"/>
  <c r="T266" i="4" s="1"/>
  <c r="K310" i="4"/>
  <c r="S310" i="4" s="1"/>
  <c r="T310" i="4" s="1"/>
  <c r="K313" i="4"/>
  <c r="K30" i="4"/>
  <c r="K96" i="4"/>
  <c r="L26" i="4"/>
  <c r="L10" i="4"/>
  <c r="L16" i="4"/>
  <c r="L34" i="4"/>
  <c r="S34" i="4" s="1"/>
  <c r="T34" i="4" s="1"/>
  <c r="K46" i="4"/>
  <c r="L77" i="4"/>
  <c r="K86" i="4"/>
  <c r="K134" i="4"/>
  <c r="S134" i="4" s="1"/>
  <c r="T134" i="4" s="1"/>
  <c r="L162" i="4"/>
  <c r="K192" i="4"/>
  <c r="K195" i="4"/>
  <c r="L222" i="4"/>
  <c r="L225" i="4"/>
  <c r="K240" i="4"/>
  <c r="L257" i="4"/>
  <c r="S257" i="4" s="1"/>
  <c r="T257" i="4" s="1"/>
  <c r="K275" i="4"/>
  <c r="S275" i="4" s="1"/>
  <c r="T275" i="4" s="1"/>
  <c r="S316" i="4"/>
  <c r="T316" i="4" s="1"/>
  <c r="G324" i="4"/>
  <c r="G325" i="4" s="1"/>
  <c r="L138" i="4"/>
  <c r="S162" i="4"/>
  <c r="T162" i="4" s="1"/>
  <c r="L178" i="4"/>
  <c r="K278" i="4"/>
  <c r="S296" i="4"/>
  <c r="T296" i="4" s="1"/>
  <c r="E73" i="3"/>
  <c r="E63" i="3"/>
  <c r="E64" i="3" s="1"/>
  <c r="H10" i="3"/>
  <c r="E70" i="3"/>
  <c r="H8" i="3"/>
  <c r="E74" i="3"/>
  <c r="E69" i="3"/>
  <c r="E71" i="3"/>
  <c r="F69" i="3"/>
  <c r="L69" i="4"/>
  <c r="L99" i="4"/>
  <c r="K99" i="4"/>
  <c r="L107" i="4"/>
  <c r="K107" i="4"/>
  <c r="S107" i="4" s="1"/>
  <c r="T107" i="4" s="1"/>
  <c r="L117" i="4"/>
  <c r="K117" i="4"/>
  <c r="L122" i="4"/>
  <c r="K122" i="4"/>
  <c r="K153" i="4"/>
  <c r="H324" i="4"/>
  <c r="H325" i="4" s="1"/>
  <c r="F335" i="4"/>
  <c r="S55" i="4"/>
  <c r="T55" i="4" s="1"/>
  <c r="L57" i="4"/>
  <c r="L59" i="4"/>
  <c r="K59" i="4"/>
  <c r="L75" i="4"/>
  <c r="K75" i="4"/>
  <c r="K88" i="4"/>
  <c r="S96" i="4"/>
  <c r="T96" i="4" s="1"/>
  <c r="L113" i="4"/>
  <c r="K113" i="4"/>
  <c r="F332" i="4"/>
  <c r="K27" i="4"/>
  <c r="L51" i="4"/>
  <c r="K51" i="4"/>
  <c r="K56" i="4"/>
  <c r="K58" i="4"/>
  <c r="L64" i="4"/>
  <c r="K64" i="4"/>
  <c r="S129" i="4"/>
  <c r="T129" i="4" s="1"/>
  <c r="K148" i="4"/>
  <c r="S233" i="4"/>
  <c r="T233" i="4" s="1"/>
  <c r="L233" i="4"/>
  <c r="K233" i="4"/>
  <c r="G343" i="4"/>
  <c r="G338" i="4"/>
  <c r="G342" i="4"/>
  <c r="G341" i="4"/>
  <c r="G334" i="4"/>
  <c r="G331" i="4"/>
  <c r="G340" i="4"/>
  <c r="G333" i="4"/>
  <c r="G339" i="4"/>
  <c r="G329" i="4"/>
  <c r="G337" i="4"/>
  <c r="G332" i="4"/>
  <c r="G336" i="4"/>
  <c r="G335" i="4"/>
  <c r="I325" i="4"/>
  <c r="K7" i="4"/>
  <c r="F339" i="4"/>
  <c r="F343" i="4"/>
  <c r="F337" i="4"/>
  <c r="F334" i="4"/>
  <c r="H334" i="4" s="1"/>
  <c r="J334" i="4" s="1"/>
  <c r="F340" i="4"/>
  <c r="H340" i="4" s="1"/>
  <c r="F336" i="4"/>
  <c r="F329" i="4"/>
  <c r="F338" i="4"/>
  <c r="L7" i="4"/>
  <c r="L56" i="4"/>
  <c r="S56" i="4" s="1"/>
  <c r="T56" i="4" s="1"/>
  <c r="K57" i="4"/>
  <c r="S57" i="4" s="1"/>
  <c r="T57" i="4" s="1"/>
  <c r="L58" i="4"/>
  <c r="K62" i="4"/>
  <c r="K69" i="4"/>
  <c r="K74" i="4"/>
  <c r="K118" i="4"/>
  <c r="S124" i="4"/>
  <c r="T124" i="4" s="1"/>
  <c r="S137" i="4"/>
  <c r="T137" i="4" s="1"/>
  <c r="L153" i="4"/>
  <c r="L141" i="4"/>
  <c r="K141" i="4"/>
  <c r="F371" i="4"/>
  <c r="F366" i="4"/>
  <c r="F361" i="4"/>
  <c r="F358" i="4"/>
  <c r="F368" i="4"/>
  <c r="F353" i="4"/>
  <c r="F363" i="4"/>
  <c r="F355" i="4"/>
  <c r="F370" i="4"/>
  <c r="F360" i="4"/>
  <c r="F350" i="4"/>
  <c r="F365" i="4"/>
  <c r="F357" i="4"/>
  <c r="F367" i="4"/>
  <c r="F352" i="4"/>
  <c r="G369" i="4"/>
  <c r="I369" i="4" s="1"/>
  <c r="K369" i="4" s="1"/>
  <c r="F362" i="4"/>
  <c r="F372" i="4"/>
  <c r="F369" i="4"/>
  <c r="F359" i="4"/>
  <c r="F354" i="4"/>
  <c r="F349" i="4"/>
  <c r="F364" i="4"/>
  <c r="G358" i="4"/>
  <c r="I358" i="4" s="1"/>
  <c r="K358" i="4" s="1"/>
  <c r="F356" i="4"/>
  <c r="F351" i="4"/>
  <c r="F330" i="4"/>
  <c r="L42" i="4"/>
  <c r="K42" i="4"/>
  <c r="L63" i="4"/>
  <c r="K63" i="4"/>
  <c r="S63" i="4" s="1"/>
  <c r="T63" i="4" s="1"/>
  <c r="L74" i="4"/>
  <c r="L114" i="4"/>
  <c r="L115" i="4"/>
  <c r="K115" i="4"/>
  <c r="K171" i="4"/>
  <c r="L171" i="4"/>
  <c r="K179" i="4"/>
  <c r="L179" i="4"/>
  <c r="L81" i="4"/>
  <c r="K81" i="4"/>
  <c r="J325" i="4"/>
  <c r="K24" i="4"/>
  <c r="S24" i="4" s="1"/>
  <c r="T24" i="4" s="1"/>
  <c r="K114" i="4"/>
  <c r="P325" i="4"/>
  <c r="K8" i="4"/>
  <c r="F341" i="4"/>
  <c r="L38" i="4"/>
  <c r="K38" i="4"/>
  <c r="K60" i="4"/>
  <c r="L66" i="4"/>
  <c r="S66" i="4" s="1"/>
  <c r="T66" i="4" s="1"/>
  <c r="L167" i="4"/>
  <c r="K167" i="4"/>
  <c r="S167" i="4" s="1"/>
  <c r="T167" i="4" s="1"/>
  <c r="S179" i="4"/>
  <c r="T179" i="4" s="1"/>
  <c r="F333" i="4"/>
  <c r="K19" i="4"/>
  <c r="L24" i="4"/>
  <c r="L60" i="4"/>
  <c r="L61" i="4"/>
  <c r="K61" i="4"/>
  <c r="L67" i="4"/>
  <c r="K67" i="4"/>
  <c r="L108" i="4"/>
  <c r="K108" i="4"/>
  <c r="S108" i="4" s="1"/>
  <c r="T108" i="4" s="1"/>
  <c r="N325" i="4"/>
  <c r="L135" i="4"/>
  <c r="K135" i="4"/>
  <c r="L95" i="4"/>
  <c r="K95" i="4"/>
  <c r="T21" i="4"/>
  <c r="F331" i="4"/>
  <c r="K84" i="4"/>
  <c r="K92" i="4"/>
  <c r="L189" i="4"/>
  <c r="K189" i="4"/>
  <c r="S317" i="4"/>
  <c r="T317" i="4" s="1"/>
  <c r="L112" i="4"/>
  <c r="K112" i="4"/>
  <c r="S112" i="4" s="1"/>
  <c r="T112" i="4" s="1"/>
  <c r="S4" i="4"/>
  <c r="L19" i="4"/>
  <c r="L54" i="4"/>
  <c r="K54" i="4"/>
  <c r="L45" i="4"/>
  <c r="K45" i="4"/>
  <c r="K53" i="4"/>
  <c r="S53" i="4" s="1"/>
  <c r="T53" i="4" s="1"/>
  <c r="L87" i="4"/>
  <c r="L90" i="4"/>
  <c r="K121" i="4"/>
  <c r="L276" i="4"/>
  <c r="K276" i="4"/>
  <c r="S276" i="4" s="1"/>
  <c r="T276" i="4" s="1"/>
  <c r="L168" i="4"/>
  <c r="K168" i="4"/>
  <c r="S168" i="4" s="1"/>
  <c r="T168" i="4" s="1"/>
  <c r="K174" i="4"/>
  <c r="S174" i="4" s="1"/>
  <c r="T174" i="4" s="1"/>
  <c r="K191" i="4"/>
  <c r="K196" i="4"/>
  <c r="K200" i="4"/>
  <c r="K238" i="4"/>
  <c r="L238" i="4"/>
  <c r="L256" i="4"/>
  <c r="S256" i="4" s="1"/>
  <c r="T256" i="4" s="1"/>
  <c r="K311" i="4"/>
  <c r="L311" i="4"/>
  <c r="L143" i="4"/>
  <c r="K151" i="4"/>
  <c r="L158" i="4"/>
  <c r="K158" i="4"/>
  <c r="K173" i="4"/>
  <c r="S173" i="4" s="1"/>
  <c r="T173" i="4" s="1"/>
  <c r="L196" i="4"/>
  <c r="S298" i="4"/>
  <c r="T298" i="4" s="1"/>
  <c r="L128" i="4"/>
  <c r="S128" i="4" s="1"/>
  <c r="T128" i="4" s="1"/>
  <c r="L151" i="4"/>
  <c r="K156" i="4"/>
  <c r="S166" i="4"/>
  <c r="T166" i="4" s="1"/>
  <c r="K172" i="4"/>
  <c r="S172" i="4" s="1"/>
  <c r="T172" i="4" s="1"/>
  <c r="L191" i="4"/>
  <c r="L208" i="4"/>
  <c r="K208" i="4"/>
  <c r="L255" i="4"/>
  <c r="K255" i="4"/>
  <c r="S255" i="4" s="1"/>
  <c r="T255" i="4" s="1"/>
  <c r="S278" i="4"/>
  <c r="T278" i="4" s="1"/>
  <c r="S292" i="4"/>
  <c r="T292" i="4" s="1"/>
  <c r="S301" i="4"/>
  <c r="T301" i="4" s="1"/>
  <c r="L170" i="4"/>
  <c r="K170" i="4"/>
  <c r="S170" i="4" s="1"/>
  <c r="T170" i="4" s="1"/>
  <c r="L210" i="4"/>
  <c r="K210" i="4"/>
  <c r="L303" i="4"/>
  <c r="K303" i="4"/>
  <c r="S319" i="4"/>
  <c r="T319" i="4" s="1"/>
  <c r="L145" i="4"/>
  <c r="S159" i="4"/>
  <c r="T159" i="4" s="1"/>
  <c r="K160" i="4"/>
  <c r="S160" i="4" s="1"/>
  <c r="T160" i="4" s="1"/>
  <c r="K161" i="4"/>
  <c r="K226" i="4"/>
  <c r="L277" i="4"/>
  <c r="K277" i="4"/>
  <c r="S277" i="4" s="1"/>
  <c r="T277" i="4" s="1"/>
  <c r="K300" i="4"/>
  <c r="S300" i="4" s="1"/>
  <c r="T300" i="4" s="1"/>
  <c r="O325" i="4"/>
  <c r="K73" i="4"/>
  <c r="K94" i="4"/>
  <c r="K116" i="4"/>
  <c r="S116" i="4" s="1"/>
  <c r="T116" i="4" s="1"/>
  <c r="K152" i="4"/>
  <c r="K165" i="4"/>
  <c r="L176" i="4"/>
  <c r="K176" i="4"/>
  <c r="L236" i="4"/>
  <c r="K236" i="4"/>
  <c r="S236" i="4" s="1"/>
  <c r="T236" i="4" s="1"/>
  <c r="L94" i="4"/>
  <c r="S131" i="4"/>
  <c r="T131" i="4" s="1"/>
  <c r="K132" i="4"/>
  <c r="S132" i="4" s="1"/>
  <c r="T132" i="4" s="1"/>
  <c r="L152" i="4"/>
  <c r="L165" i="4"/>
  <c r="L169" i="4"/>
  <c r="K169" i="4"/>
  <c r="S169" i="4"/>
  <c r="T169" i="4" s="1"/>
  <c r="K184" i="4"/>
  <c r="L184" i="4"/>
  <c r="L218" i="4"/>
  <c r="L226" i="4"/>
  <c r="L229" i="4"/>
  <c r="K229" i="4"/>
  <c r="L285" i="4"/>
  <c r="K285" i="4"/>
  <c r="S285" i="4" s="1"/>
  <c r="T285" i="4" s="1"/>
  <c r="K318" i="4"/>
  <c r="S318" i="4" s="1"/>
  <c r="T318" i="4" s="1"/>
  <c r="F342" i="4"/>
  <c r="K175" i="4"/>
  <c r="S175" i="4" s="1"/>
  <c r="T175" i="4" s="1"/>
  <c r="L182" i="4"/>
  <c r="K182" i="4"/>
  <c r="S218" i="4"/>
  <c r="T218" i="4" s="1"/>
  <c r="K288" i="4"/>
  <c r="L288" i="4"/>
  <c r="K140" i="4"/>
  <c r="L149" i="4"/>
  <c r="K155" i="4"/>
  <c r="S178" i="4"/>
  <c r="T178" i="4" s="1"/>
  <c r="S240" i="4"/>
  <c r="T240" i="4" s="1"/>
  <c r="S249" i="4"/>
  <c r="T249" i="4" s="1"/>
  <c r="S299" i="4"/>
  <c r="T299" i="4" s="1"/>
  <c r="K197" i="4"/>
  <c r="S197" i="4" s="1"/>
  <c r="T197" i="4" s="1"/>
  <c r="L201" i="4"/>
  <c r="S201" i="4" s="1"/>
  <c r="T201" i="4" s="1"/>
  <c r="L202" i="4"/>
  <c r="S202" i="4" s="1"/>
  <c r="T202" i="4" s="1"/>
  <c r="K237" i="4"/>
  <c r="S237" i="4" s="1"/>
  <c r="T237" i="4" s="1"/>
  <c r="K271" i="4"/>
  <c r="S271" i="4" s="1"/>
  <c r="T271" i="4" s="1"/>
  <c r="L273" i="4"/>
  <c r="K274" i="4"/>
  <c r="S274" i="4" s="1"/>
  <c r="T274" i="4" s="1"/>
  <c r="K286" i="4"/>
  <c r="S286" i="4" s="1"/>
  <c r="T286" i="4" s="1"/>
  <c r="L312" i="4"/>
  <c r="S312" i="4" s="1"/>
  <c r="T312" i="4" s="1"/>
  <c r="S313" i="4"/>
  <c r="T313" i="4" s="1"/>
  <c r="K314" i="4"/>
  <c r="S314" i="4" s="1"/>
  <c r="T314" i="4" s="1"/>
  <c r="K317" i="4"/>
  <c r="K322" i="4"/>
  <c r="S322" i="4"/>
  <c r="T322" i="4" s="1"/>
  <c r="K203" i="4"/>
  <c r="S203" i="4" s="1"/>
  <c r="T203" i="4" s="1"/>
  <c r="L271" i="4"/>
  <c r="S235" i="4"/>
  <c r="T235" i="4" s="1"/>
  <c r="S219" i="4"/>
  <c r="T219" i="4" s="1"/>
  <c r="K259" i="4"/>
  <c r="S259" i="4" s="1"/>
  <c r="T259" i="4" s="1"/>
  <c r="L261" i="4"/>
  <c r="K265" i="4"/>
  <c r="S265" i="4" s="1"/>
  <c r="T265" i="4" s="1"/>
  <c r="K267" i="4"/>
  <c r="S267" i="4" s="1"/>
  <c r="T267" i="4" s="1"/>
  <c r="K283" i="4"/>
  <c r="S283" i="4" s="1"/>
  <c r="T283" i="4" s="1"/>
  <c r="K307" i="4"/>
  <c r="S307" i="4" s="1"/>
  <c r="T307" i="4" s="1"/>
  <c r="K282" i="4"/>
  <c r="S282" i="4" s="1"/>
  <c r="T282" i="4" s="1"/>
  <c r="L321" i="4"/>
  <c r="S321" i="4" s="1"/>
  <c r="T321" i="4" s="1"/>
  <c r="L181" i="4"/>
  <c r="K193" i="4"/>
  <c r="L213" i="4"/>
  <c r="S213" i="4" s="1"/>
  <c r="T213" i="4" s="1"/>
  <c r="K214" i="4"/>
  <c r="L227" i="4"/>
  <c r="S227" i="4" s="1"/>
  <c r="T227" i="4" s="1"/>
  <c r="K241" i="4"/>
  <c r="S241" i="4" s="1"/>
  <c r="T241" i="4" s="1"/>
  <c r="K250" i="4"/>
  <c r="S250" i="4" s="1"/>
  <c r="T250" i="4" s="1"/>
  <c r="K308" i="4"/>
  <c r="S308" i="4" s="1"/>
  <c r="T308" i="4" s="1"/>
  <c r="S222" i="4"/>
  <c r="T222" i="4" s="1"/>
  <c r="K243" i="4"/>
  <c r="S243" i="4" s="1"/>
  <c r="T243" i="4" s="1"/>
  <c r="K280" i="4"/>
  <c r="S280" i="4" s="1"/>
  <c r="T280" i="4" s="1"/>
  <c r="S289" i="4"/>
  <c r="T289" i="4" s="1"/>
  <c r="K309" i="4"/>
  <c r="S309" i="4" s="1"/>
  <c r="T309" i="4" s="1"/>
  <c r="H64" i="3"/>
  <c r="H4" i="3"/>
  <c r="H63" i="3" s="1"/>
  <c r="F70" i="3"/>
  <c r="G63" i="3"/>
  <c r="F71" i="3"/>
  <c r="E72" i="3"/>
  <c r="F72" i="3"/>
  <c r="F73" i="3"/>
  <c r="E68" i="3"/>
  <c r="F74" i="3"/>
  <c r="S135" i="4" l="1"/>
  <c r="T135" i="4" s="1"/>
  <c r="G372" i="4" s="1"/>
  <c r="S176" i="4"/>
  <c r="T176" i="4" s="1"/>
  <c r="S67" i="4"/>
  <c r="T67" i="4" s="1"/>
  <c r="H343" i="4"/>
  <c r="S226" i="4"/>
  <c r="T226" i="4" s="1"/>
  <c r="S94" i="4"/>
  <c r="T94" i="4" s="1"/>
  <c r="S288" i="4"/>
  <c r="T288" i="4" s="1"/>
  <c r="L325" i="4"/>
  <c r="S115" i="4"/>
  <c r="T115" i="4" s="1"/>
  <c r="S165" i="4"/>
  <c r="T165" i="4" s="1"/>
  <c r="S311" i="4"/>
  <c r="T311" i="4" s="1"/>
  <c r="H333" i="4"/>
  <c r="S303" i="4"/>
  <c r="T303" i="4" s="1"/>
  <c r="S196" i="4"/>
  <c r="T196" i="4" s="1"/>
  <c r="S58" i="4"/>
  <c r="T58" i="4" s="1"/>
  <c r="H335" i="4"/>
  <c r="J335" i="4" s="1"/>
  <c r="R118" i="4" s="1"/>
  <c r="S118" i="4" s="1"/>
  <c r="T118" i="4" s="1"/>
  <c r="H338" i="4"/>
  <c r="H332" i="4"/>
  <c r="J332" i="4" s="1"/>
  <c r="H337" i="4"/>
  <c r="E75" i="3"/>
  <c r="F68" i="3"/>
  <c r="F75" i="3" s="1"/>
  <c r="G370" i="4"/>
  <c r="I370" i="4" s="1"/>
  <c r="K370" i="4" s="1"/>
  <c r="R215" i="4"/>
  <c r="S215" i="4" s="1"/>
  <c r="T215" i="4" s="1"/>
  <c r="R254" i="4"/>
  <c r="S254" i="4" s="1"/>
  <c r="T254" i="4" s="1"/>
  <c r="F374" i="4"/>
  <c r="F345" i="4"/>
  <c r="H329" i="4"/>
  <c r="S54" i="4"/>
  <c r="T54" i="4" s="1"/>
  <c r="G368" i="4" s="1"/>
  <c r="I368" i="4" s="1"/>
  <c r="H336" i="4"/>
  <c r="R272" i="4"/>
  <c r="S272" i="4" s="1"/>
  <c r="T272" i="4" s="1"/>
  <c r="R268" i="4"/>
  <c r="S268" i="4" s="1"/>
  <c r="T268" i="4" s="1"/>
  <c r="R232" i="4"/>
  <c r="S232" i="4" s="1"/>
  <c r="T232" i="4" s="1"/>
  <c r="R208" i="4"/>
  <c r="S208" i="4" s="1"/>
  <c r="T208" i="4" s="1"/>
  <c r="R273" i="4"/>
  <c r="S273" i="4" s="1"/>
  <c r="T273" i="4" s="1"/>
  <c r="R88" i="4"/>
  <c r="S88" i="4" s="1"/>
  <c r="T88" i="4" s="1"/>
  <c r="R84" i="4"/>
  <c r="S84" i="4" s="1"/>
  <c r="T84" i="4" s="1"/>
  <c r="G366" i="4" s="1"/>
  <c r="I366" i="4" s="1"/>
  <c r="R62" i="4"/>
  <c r="S62" i="4" s="1"/>
  <c r="T62" i="4" s="1"/>
  <c r="R253" i="4"/>
  <c r="S253" i="4" s="1"/>
  <c r="T253" i="4" s="1"/>
  <c r="R32" i="4"/>
  <c r="S32" i="4" s="1"/>
  <c r="T32" i="4" s="1"/>
  <c r="R200" i="4"/>
  <c r="S200" i="4" s="1"/>
  <c r="T200" i="4" s="1"/>
  <c r="R61" i="4"/>
  <c r="S61" i="4" s="1"/>
  <c r="T61" i="4" s="1"/>
  <c r="R75" i="4"/>
  <c r="R141" i="4"/>
  <c r="S141" i="4" s="1"/>
  <c r="T141" i="4" s="1"/>
  <c r="R85" i="4"/>
  <c r="S85" i="4" s="1"/>
  <c r="T85" i="4" s="1"/>
  <c r="R64" i="4"/>
  <c r="S64" i="4" s="1"/>
  <c r="T64" i="4" s="1"/>
  <c r="G365" i="4" s="1"/>
  <c r="I365" i="4" s="1"/>
  <c r="R73" i="4"/>
  <c r="S73" i="4" s="1"/>
  <c r="T73" i="4" s="1"/>
  <c r="R92" i="4"/>
  <c r="S92" i="4" s="1"/>
  <c r="T92" i="4" s="1"/>
  <c r="R90" i="4"/>
  <c r="S90" i="4" s="1"/>
  <c r="T90" i="4" s="1"/>
  <c r="R102" i="4"/>
  <c r="S102" i="4" s="1"/>
  <c r="T102" i="4" s="1"/>
  <c r="R91" i="4"/>
  <c r="S91" i="4" s="1"/>
  <c r="T91" i="4" s="1"/>
  <c r="R95" i="4"/>
  <c r="S95" i="4" s="1"/>
  <c r="T95" i="4" s="1"/>
  <c r="R89" i="4"/>
  <c r="S89" i="4" s="1"/>
  <c r="T89" i="4" s="1"/>
  <c r="T4" i="4"/>
  <c r="H339" i="4"/>
  <c r="S75" i="4"/>
  <c r="T75" i="4" s="1"/>
  <c r="H331" i="4"/>
  <c r="J331" i="4" s="1"/>
  <c r="S238" i="4"/>
  <c r="T238" i="4" s="1"/>
  <c r="K325" i="4"/>
  <c r="R119" i="4" l="1"/>
  <c r="S119" i="4" s="1"/>
  <c r="T119" i="4" s="1"/>
  <c r="R120" i="4"/>
  <c r="S120" i="4" s="1"/>
  <c r="T120" i="4" s="1"/>
  <c r="R224" i="4"/>
  <c r="S224" i="4" s="1"/>
  <c r="T224" i="4" s="1"/>
  <c r="R121" i="4"/>
  <c r="S121" i="4" s="1"/>
  <c r="T121" i="4" s="1"/>
  <c r="R171" i="4"/>
  <c r="S171" i="4" s="1"/>
  <c r="T171" i="4" s="1"/>
  <c r="R287" i="4"/>
  <c r="S287" i="4" s="1"/>
  <c r="T287" i="4" s="1"/>
  <c r="R161" i="4"/>
  <c r="S161" i="4" s="1"/>
  <c r="T161" i="4" s="1"/>
  <c r="R122" i="4"/>
  <c r="S122" i="4" s="1"/>
  <c r="T122" i="4" s="1"/>
  <c r="R123" i="4"/>
  <c r="S123" i="4" s="1"/>
  <c r="T123" i="4" s="1"/>
  <c r="G364" i="4"/>
  <c r="I364" i="4" s="1"/>
  <c r="J329" i="4"/>
  <c r="K329" i="4"/>
  <c r="G361" i="4"/>
  <c r="I361" i="4" s="1"/>
  <c r="R234" i="4" l="1"/>
  <c r="S234" i="4" s="1"/>
  <c r="T234" i="4" s="1"/>
  <c r="R229" i="4"/>
  <c r="S229" i="4" s="1"/>
  <c r="T229" i="4" s="1"/>
  <c r="R225" i="4"/>
  <c r="S225" i="4" s="1"/>
  <c r="T225" i="4" s="1"/>
  <c r="R183" i="4"/>
  <c r="S183" i="4" s="1"/>
  <c r="T183" i="4" s="1"/>
  <c r="R262" i="4"/>
  <c r="S262" i="4" s="1"/>
  <c r="T262" i="4" s="1"/>
  <c r="R252" i="4"/>
  <c r="S252" i="4" s="1"/>
  <c r="T252" i="4" s="1"/>
  <c r="R251" i="4"/>
  <c r="S251" i="4" s="1"/>
  <c r="T251" i="4" s="1"/>
  <c r="R245" i="4"/>
  <c r="S245" i="4" s="1"/>
  <c r="T245" i="4" s="1"/>
  <c r="R216" i="4"/>
  <c r="S216" i="4" s="1"/>
  <c r="T216" i="4" s="1"/>
  <c r="R212" i="4"/>
  <c r="S212" i="4" s="1"/>
  <c r="T212" i="4" s="1"/>
  <c r="R185" i="4"/>
  <c r="S185" i="4" s="1"/>
  <c r="T185" i="4" s="1"/>
  <c r="R157" i="4"/>
  <c r="S157" i="4" s="1"/>
  <c r="T157" i="4" s="1"/>
  <c r="R261" i="4"/>
  <c r="S261" i="4" s="1"/>
  <c r="T261" i="4" s="1"/>
  <c r="R192" i="4"/>
  <c r="S192" i="4" s="1"/>
  <c r="T192" i="4" s="1"/>
  <c r="R140" i="4"/>
  <c r="S140" i="4" s="1"/>
  <c r="T140" i="4" s="1"/>
  <c r="R195" i="4"/>
  <c r="S195" i="4" s="1"/>
  <c r="T195" i="4" s="1"/>
  <c r="R190" i="4"/>
  <c r="S190" i="4" s="1"/>
  <c r="T190" i="4" s="1"/>
  <c r="R153" i="4"/>
  <c r="S153" i="4" s="1"/>
  <c r="T153" i="4" s="1"/>
  <c r="R147" i="4"/>
  <c r="S147" i="4" s="1"/>
  <c r="T147" i="4" s="1"/>
  <c r="R230" i="4"/>
  <c r="S230" i="4" s="1"/>
  <c r="T230" i="4" s="1"/>
  <c r="R214" i="4"/>
  <c r="S214" i="4" s="1"/>
  <c r="T214" i="4" s="1"/>
  <c r="R193" i="4"/>
  <c r="S193" i="4" s="1"/>
  <c r="T193" i="4" s="1"/>
  <c r="R209" i="4"/>
  <c r="S209" i="4" s="1"/>
  <c r="T209" i="4" s="1"/>
  <c r="R181" i="4"/>
  <c r="S181" i="4" s="1"/>
  <c r="T181" i="4" s="1"/>
  <c r="R246" i="4"/>
  <c r="S246" i="4" s="1"/>
  <c r="T246" i="4" s="1"/>
  <c r="R211" i="4"/>
  <c r="S211" i="4" s="1"/>
  <c r="T211" i="4" s="1"/>
  <c r="R239" i="4"/>
  <c r="S239" i="4" s="1"/>
  <c r="T239" i="4" s="1"/>
  <c r="R194" i="4"/>
  <c r="S194" i="4" s="1"/>
  <c r="T194" i="4" s="1"/>
  <c r="R148" i="4"/>
  <c r="S148" i="4" s="1"/>
  <c r="T148" i="4" s="1"/>
  <c r="R100" i="4"/>
  <c r="S100" i="4" s="1"/>
  <c r="T100" i="4" s="1"/>
  <c r="R71" i="4"/>
  <c r="S71" i="4" s="1"/>
  <c r="T71" i="4" s="1"/>
  <c r="R86" i="4"/>
  <c r="S86" i="4" s="1"/>
  <c r="T86" i="4" s="1"/>
  <c r="R80" i="4"/>
  <c r="S80" i="4" s="1"/>
  <c r="T80" i="4" s="1"/>
  <c r="R77" i="4"/>
  <c r="S77" i="4" s="1"/>
  <c r="T77" i="4" s="1"/>
  <c r="R30" i="4"/>
  <c r="S30" i="4" s="1"/>
  <c r="T30" i="4" s="1"/>
  <c r="G356" i="4" s="1"/>
  <c r="I356" i="4" s="1"/>
  <c r="R23" i="4"/>
  <c r="S23" i="4" s="1"/>
  <c r="T23" i="4" s="1"/>
  <c r="R12" i="4"/>
  <c r="S12" i="4" s="1"/>
  <c r="T12" i="4" s="1"/>
  <c r="R9" i="4"/>
  <c r="S9" i="4" s="1"/>
  <c r="T9" i="4" s="1"/>
  <c r="R247" i="4"/>
  <c r="S247" i="4" s="1"/>
  <c r="T247" i="4" s="1"/>
  <c r="R125" i="4"/>
  <c r="S125" i="4" s="1"/>
  <c r="T125" i="4" s="1"/>
  <c r="R101" i="4"/>
  <c r="S101" i="4" s="1"/>
  <c r="T101" i="4" s="1"/>
  <c r="R72" i="4"/>
  <c r="S72" i="4" s="1"/>
  <c r="T72" i="4" s="1"/>
  <c r="R60" i="4"/>
  <c r="S60" i="4" s="1"/>
  <c r="T60" i="4" s="1"/>
  <c r="R46" i="4"/>
  <c r="S46" i="4" s="1"/>
  <c r="T46" i="4" s="1"/>
  <c r="G357" i="4" s="1"/>
  <c r="I357" i="4" s="1"/>
  <c r="R182" i="4"/>
  <c r="S182" i="4" s="1"/>
  <c r="T182" i="4" s="1"/>
  <c r="R103" i="4"/>
  <c r="S103" i="4" s="1"/>
  <c r="T103" i="4" s="1"/>
  <c r="R76" i="4"/>
  <c r="S76" i="4" s="1"/>
  <c r="T76" i="4" s="1"/>
  <c r="R50" i="4"/>
  <c r="S50" i="4" s="1"/>
  <c r="T50" i="4" s="1"/>
  <c r="R44" i="4"/>
  <c r="S44" i="4" s="1"/>
  <c r="T44" i="4" s="1"/>
  <c r="R28" i="4"/>
  <c r="S28" i="4" s="1"/>
  <c r="T28" i="4" s="1"/>
  <c r="R26" i="4"/>
  <c r="S26" i="4" s="1"/>
  <c r="T26" i="4" s="1"/>
  <c r="R37" i="4"/>
  <c r="S37" i="4" s="1"/>
  <c r="T37" i="4" s="1"/>
  <c r="R184" i="4"/>
  <c r="S184" i="4" s="1"/>
  <c r="T184" i="4" s="1"/>
  <c r="R150" i="4"/>
  <c r="S150" i="4" s="1"/>
  <c r="T150" i="4" s="1"/>
  <c r="R142" i="4"/>
  <c r="S142" i="4" s="1"/>
  <c r="T142" i="4" s="1"/>
  <c r="R114" i="4"/>
  <c r="S114" i="4" s="1"/>
  <c r="T114" i="4" s="1"/>
  <c r="R79" i="4"/>
  <c r="S79" i="4" s="1"/>
  <c r="T79" i="4" s="1"/>
  <c r="R74" i="4"/>
  <c r="S74" i="4" s="1"/>
  <c r="T74" i="4" s="1"/>
  <c r="R68" i="4"/>
  <c r="S68" i="4" s="1"/>
  <c r="T68" i="4" s="1"/>
  <c r="R52" i="4"/>
  <c r="S52" i="4" s="1"/>
  <c r="T52" i="4" s="1"/>
  <c r="R144" i="4"/>
  <c r="S144" i="4" s="1"/>
  <c r="T144" i="4" s="1"/>
  <c r="R127" i="4"/>
  <c r="S127" i="4" s="1"/>
  <c r="T127" i="4" s="1"/>
  <c r="R210" i="4"/>
  <c r="S210" i="4" s="1"/>
  <c r="T210" i="4" s="1"/>
  <c r="R152" i="4"/>
  <c r="S152" i="4" s="1"/>
  <c r="T152" i="4" s="1"/>
  <c r="R81" i="4"/>
  <c r="S81" i="4" s="1"/>
  <c r="T81" i="4" s="1"/>
  <c r="R154" i="4"/>
  <c r="S154" i="4" s="1"/>
  <c r="T154" i="4" s="1"/>
  <c r="R149" i="4"/>
  <c r="S149" i="4" s="1"/>
  <c r="T149" i="4" s="1"/>
  <c r="R145" i="4"/>
  <c r="S145" i="4" s="1"/>
  <c r="T145" i="4" s="1"/>
  <c r="R104" i="4"/>
  <c r="S104" i="4" s="1"/>
  <c r="T104" i="4" s="1"/>
  <c r="R263" i="4"/>
  <c r="S263" i="4" s="1"/>
  <c r="T263" i="4" s="1"/>
  <c r="R217" i="4"/>
  <c r="S217" i="4" s="1"/>
  <c r="T217" i="4" s="1"/>
  <c r="R83" i="4"/>
  <c r="S83" i="4" s="1"/>
  <c r="T83" i="4" s="1"/>
  <c r="R25" i="4"/>
  <c r="S25" i="4" s="1"/>
  <c r="T25" i="4" s="1"/>
  <c r="R13" i="4"/>
  <c r="S13" i="4" s="1"/>
  <c r="T13" i="4" s="1"/>
  <c r="R5" i="4"/>
  <c r="S5" i="4" s="1"/>
  <c r="R51" i="4"/>
  <c r="S51" i="4" s="1"/>
  <c r="T51" i="4" s="1"/>
  <c r="R22" i="4"/>
  <c r="S22" i="4" s="1"/>
  <c r="R113" i="4"/>
  <c r="S113" i="4" s="1"/>
  <c r="T113" i="4" s="1"/>
  <c r="R59" i="4"/>
  <c r="S59" i="4" s="1"/>
  <c r="T59" i="4" s="1"/>
  <c r="R7" i="4"/>
  <c r="S7" i="4" s="1"/>
  <c r="T7" i="4" s="1"/>
  <c r="R117" i="4"/>
  <c r="S117" i="4" s="1"/>
  <c r="T117" i="4" s="1"/>
  <c r="R99" i="4"/>
  <c r="S99" i="4" s="1"/>
  <c r="T99" i="4" s="1"/>
  <c r="R69" i="4"/>
  <c r="S69" i="4" s="1"/>
  <c r="T69" i="4" s="1"/>
  <c r="R39" i="4"/>
  <c r="S39" i="4" s="1"/>
  <c r="T39" i="4" s="1"/>
  <c r="R36" i="4"/>
  <c r="S36" i="4" s="1"/>
  <c r="T36" i="4" s="1"/>
  <c r="R27" i="4"/>
  <c r="S27" i="4" s="1"/>
  <c r="T27" i="4" s="1"/>
  <c r="R189" i="4"/>
  <c r="S189" i="4" s="1"/>
  <c r="T189" i="4" s="1"/>
  <c r="R143" i="4"/>
  <c r="S143" i="4" s="1"/>
  <c r="T143" i="4" s="1"/>
  <c r="R29" i="4"/>
  <c r="S29" i="4" s="1"/>
  <c r="T29" i="4" s="1"/>
  <c r="R78" i="4"/>
  <c r="S78" i="4" s="1"/>
  <c r="T78" i="4" s="1"/>
  <c r="R16" i="4"/>
  <c r="S16" i="4" s="1"/>
  <c r="T16" i="4" s="1"/>
  <c r="R156" i="4"/>
  <c r="S156" i="4" s="1"/>
  <c r="T156" i="4" s="1"/>
  <c r="R126" i="4"/>
  <c r="S126" i="4" s="1"/>
  <c r="T126" i="4" s="1"/>
  <c r="R82" i="4"/>
  <c r="S82" i="4" s="1"/>
  <c r="T82" i="4" s="1"/>
  <c r="R45" i="4"/>
  <c r="S45" i="4" s="1"/>
  <c r="T45" i="4" s="1"/>
  <c r="R191" i="4"/>
  <c r="S191" i="4" s="1"/>
  <c r="T191" i="4" s="1"/>
  <c r="R151" i="4"/>
  <c r="S151" i="4" s="1"/>
  <c r="T151" i="4" s="1"/>
  <c r="R87" i="4"/>
  <c r="S87" i="4" s="1"/>
  <c r="T87" i="4" s="1"/>
  <c r="R38" i="4"/>
  <c r="S38" i="4" s="1"/>
  <c r="T38" i="4" s="1"/>
  <c r="R35" i="4"/>
  <c r="S35" i="4" s="1"/>
  <c r="T35" i="4" s="1"/>
  <c r="R20" i="4"/>
  <c r="S20" i="4" s="1"/>
  <c r="T20" i="4" s="1"/>
  <c r="R65" i="4"/>
  <c r="S65" i="4" s="1"/>
  <c r="T65" i="4" s="1"/>
  <c r="R40" i="4"/>
  <c r="S40" i="4" s="1"/>
  <c r="T40" i="4" s="1"/>
  <c r="R158" i="4"/>
  <c r="S158" i="4" s="1"/>
  <c r="T158" i="4" s="1"/>
  <c r="G367" i="4" s="1"/>
  <c r="I367" i="4" s="1"/>
  <c r="R31" i="4"/>
  <c r="S31" i="4" s="1"/>
  <c r="T31" i="4" s="1"/>
  <c r="R6" i="4"/>
  <c r="S6" i="4" s="1"/>
  <c r="T6" i="4" s="1"/>
  <c r="R42" i="4"/>
  <c r="S42" i="4" s="1"/>
  <c r="T42" i="4" s="1"/>
  <c r="R15" i="4"/>
  <c r="S15" i="4" s="1"/>
  <c r="T15" i="4" s="1"/>
  <c r="R33" i="4"/>
  <c r="S33" i="4" s="1"/>
  <c r="T33" i="4" s="1"/>
  <c r="R155" i="4"/>
  <c r="S155" i="4" s="1"/>
  <c r="T155" i="4" s="1"/>
  <c r="R8" i="4"/>
  <c r="S8" i="4" s="1"/>
  <c r="T8" i="4" s="1"/>
  <c r="R18" i="4"/>
  <c r="S18" i="4" s="1"/>
  <c r="T18" i="4" s="1"/>
  <c r="R19" i="4"/>
  <c r="S19" i="4" s="1"/>
  <c r="T19" i="4" s="1"/>
  <c r="R10" i="4"/>
  <c r="S10" i="4" s="1"/>
  <c r="T10" i="4" s="1"/>
  <c r="R242" i="4"/>
  <c r="S242" i="4" s="1"/>
  <c r="T242" i="4" s="1"/>
  <c r="R70" i="4"/>
  <c r="S70" i="4" s="1"/>
  <c r="T70" i="4" s="1"/>
  <c r="R11" i="4"/>
  <c r="S11" i="4" s="1"/>
  <c r="T11" i="4" s="1"/>
  <c r="G360" i="4" s="1"/>
  <c r="I360" i="4" s="1"/>
  <c r="K360" i="4" s="1"/>
  <c r="G359" i="4" l="1"/>
  <c r="I359" i="4" s="1"/>
  <c r="K359" i="4" s="1"/>
  <c r="G352" i="4"/>
  <c r="I352" i="4" s="1"/>
  <c r="G350" i="4"/>
  <c r="I350" i="4" s="1"/>
  <c r="T22" i="4"/>
  <c r="G362" i="4" s="1"/>
  <c r="I362" i="4" s="1"/>
  <c r="K362" i="4" s="1"/>
  <c r="S327" i="4"/>
  <c r="T5" i="4"/>
  <c r="S324" i="4"/>
  <c r="G354" i="4"/>
  <c r="I354" i="4" s="1"/>
  <c r="G355" i="4"/>
  <c r="I355" i="4" s="1"/>
  <c r="K355" i="4" s="1"/>
  <c r="G363" i="4"/>
  <c r="I363" i="4" s="1"/>
  <c r="G349" i="4"/>
  <c r="G351" i="4"/>
  <c r="I351" i="4" s="1"/>
  <c r="I349" i="4" l="1"/>
  <c r="G353" i="4"/>
  <c r="I353" i="4" s="1"/>
  <c r="T328" i="4"/>
  <c r="T325" i="4"/>
  <c r="K349" i="4" l="1"/>
  <c r="J347" i="4"/>
  <c r="G374" i="4"/>
  <c r="J363" i="4" l="1"/>
  <c r="K363" i="4" s="1"/>
  <c r="J350" i="4"/>
  <c r="K350" i="4" s="1"/>
  <c r="J365" i="4"/>
  <c r="K365" i="4" s="1"/>
  <c r="J357" i="4"/>
  <c r="K357" i="4" s="1"/>
  <c r="J367" i="4"/>
  <c r="K367" i="4" s="1"/>
  <c r="J352" i="4"/>
  <c r="K352" i="4" s="1"/>
  <c r="J354" i="4"/>
  <c r="K354" i="4" s="1"/>
  <c r="J364" i="4"/>
  <c r="K364" i="4" s="1"/>
  <c r="J366" i="4"/>
  <c r="K366" i="4" s="1"/>
  <c r="J356" i="4"/>
  <c r="K356" i="4" s="1"/>
  <c r="J351" i="4"/>
  <c r="K351" i="4" s="1"/>
  <c r="J361" i="4"/>
  <c r="K361" i="4" s="1"/>
  <c r="K347" i="4"/>
  <c r="J368" i="4"/>
  <c r="K368" i="4" s="1"/>
  <c r="J353" i="4"/>
  <c r="K353" i="4" s="1"/>
  <c r="G606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6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2" i="2"/>
  <c r="A103" i="2"/>
  <c r="A105" i="2"/>
  <c r="A107" i="2"/>
  <c r="A108" i="2"/>
  <c r="A109" i="2"/>
  <c r="A110" i="2"/>
  <c r="A112" i="2"/>
  <c r="A113" i="2"/>
  <c r="A114" i="2"/>
  <c r="A115" i="2"/>
  <c r="A116" i="2"/>
  <c r="A117" i="2"/>
  <c r="A118" i="2"/>
  <c r="A119" i="2"/>
  <c r="A121" i="2"/>
  <c r="A124" i="2"/>
  <c r="A125" i="2"/>
  <c r="A126" i="2"/>
  <c r="A128" i="2"/>
  <c r="A129" i="2"/>
  <c r="A131" i="2"/>
  <c r="A136" i="2"/>
  <c r="A137" i="2"/>
  <c r="A139" i="2"/>
  <c r="A141" i="2"/>
  <c r="A142" i="2"/>
  <c r="A143" i="2"/>
  <c r="A144" i="2"/>
  <c r="A145" i="2"/>
  <c r="A146" i="2"/>
  <c r="A147" i="2"/>
  <c r="A148" i="2"/>
  <c r="A149" i="2"/>
  <c r="A150" i="2"/>
  <c r="A152" i="2"/>
  <c r="A153" i="2"/>
  <c r="A154" i="2"/>
  <c r="A155" i="2"/>
  <c r="A156" i="2"/>
  <c r="A157" i="2"/>
  <c r="A158" i="2"/>
  <c r="A159" i="2"/>
  <c r="A160" i="2"/>
  <c r="A161" i="2"/>
  <c r="A162" i="2"/>
  <c r="A166" i="2"/>
  <c r="A167" i="2"/>
  <c r="A169" i="2"/>
  <c r="A170" i="2"/>
  <c r="A171" i="2"/>
  <c r="A172" i="2"/>
  <c r="A173" i="2"/>
  <c r="A174" i="2"/>
  <c r="A175" i="2"/>
  <c r="A176" i="2"/>
  <c r="A177" i="2"/>
  <c r="A180" i="2"/>
  <c r="A181" i="2"/>
  <c r="A182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9" i="2"/>
  <c r="A201" i="2"/>
  <c r="A205" i="2"/>
  <c r="A210" i="2"/>
  <c r="A212" i="2"/>
  <c r="A214" i="2"/>
  <c r="A216" i="2"/>
  <c r="A217" i="2"/>
  <c r="A218" i="2"/>
  <c r="A219" i="2"/>
  <c r="A222" i="2"/>
  <c r="A223" i="2"/>
  <c r="A224" i="2"/>
  <c r="A225" i="2"/>
  <c r="A226" i="2"/>
  <c r="A227" i="2"/>
  <c r="A229" i="2"/>
  <c r="A230" i="2"/>
  <c r="A231" i="2"/>
  <c r="A232" i="2"/>
  <c r="A233" i="2"/>
  <c r="A234" i="2"/>
  <c r="A235" i="2"/>
  <c r="A236" i="2"/>
  <c r="A237" i="2"/>
  <c r="A238" i="2"/>
  <c r="A241" i="2"/>
  <c r="A243" i="2"/>
  <c r="A244" i="2"/>
  <c r="A245" i="2"/>
  <c r="A248" i="2"/>
  <c r="A254" i="2"/>
  <c r="A255" i="2"/>
  <c r="A256" i="2"/>
  <c r="A258" i="2"/>
  <c r="A262" i="2"/>
  <c r="A263" i="2"/>
  <c r="A264" i="2"/>
  <c r="A265" i="2"/>
  <c r="A267" i="2"/>
  <c r="A269" i="2"/>
  <c r="A271" i="2"/>
  <c r="A272" i="2"/>
  <c r="A276" i="2"/>
  <c r="A278" i="2"/>
  <c r="A280" i="2"/>
  <c r="A281" i="2"/>
  <c r="A284" i="2"/>
  <c r="A285" i="2"/>
  <c r="A288" i="2"/>
  <c r="A294" i="2"/>
  <c r="A295" i="2"/>
  <c r="A296" i="2"/>
  <c r="A297" i="2"/>
  <c r="A299" i="2"/>
  <c r="A302" i="2"/>
  <c r="A303" i="2"/>
  <c r="A306" i="2"/>
  <c r="A308" i="2"/>
  <c r="A310" i="2"/>
  <c r="A311" i="2"/>
  <c r="A312" i="2"/>
  <c r="A313" i="2"/>
  <c r="A315" i="2"/>
  <c r="A319" i="2"/>
  <c r="A320" i="2"/>
  <c r="A323" i="2"/>
  <c r="A324" i="2"/>
  <c r="A326" i="2"/>
  <c r="A327" i="2"/>
  <c r="A328" i="2"/>
  <c r="A329" i="2"/>
  <c r="A330" i="2"/>
  <c r="A331" i="2"/>
  <c r="A333" i="2"/>
  <c r="A334" i="2"/>
  <c r="A335" i="2"/>
  <c r="A336" i="2"/>
  <c r="A337" i="2"/>
  <c r="A338" i="2"/>
  <c r="A339" i="2"/>
  <c r="A340" i="2"/>
  <c r="A341" i="2"/>
  <c r="A343" i="2"/>
  <c r="A344" i="2"/>
  <c r="A346" i="2"/>
  <c r="A348" i="2"/>
  <c r="A349" i="2"/>
  <c r="A350" i="2"/>
  <c r="A351" i="2"/>
  <c r="A352" i="2"/>
  <c r="A353" i="2"/>
  <c r="A354" i="2"/>
  <c r="A355" i="2"/>
  <c r="A357" i="2"/>
  <c r="A359" i="2"/>
  <c r="A360" i="2"/>
  <c r="A361" i="2"/>
  <c r="A362" i="2"/>
  <c r="A363" i="2"/>
  <c r="A365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3" i="2"/>
  <c r="A384" i="2"/>
  <c r="A388" i="2"/>
  <c r="A389" i="2"/>
  <c r="A390" i="2"/>
  <c r="A392" i="2"/>
  <c r="A393" i="2"/>
  <c r="A396" i="2"/>
  <c r="A397" i="2"/>
  <c r="A398" i="2"/>
  <c r="A399" i="2"/>
  <c r="A401" i="2"/>
  <c r="A402" i="2"/>
  <c r="A406" i="2"/>
  <c r="A407" i="2"/>
  <c r="A408" i="2"/>
  <c r="A410" i="2"/>
  <c r="A411" i="2"/>
  <c r="A412" i="2"/>
  <c r="A413" i="2"/>
  <c r="A414" i="2"/>
  <c r="A415" i="2"/>
  <c r="A416" i="2"/>
  <c r="A418" i="2"/>
  <c r="A419" i="2"/>
  <c r="A420" i="2"/>
  <c r="A421" i="2"/>
  <c r="A422" i="2"/>
  <c r="A426" i="2"/>
  <c r="A428" i="2"/>
  <c r="A429" i="2"/>
  <c r="A430" i="2"/>
  <c r="A431" i="2"/>
  <c r="A432" i="2"/>
  <c r="A433" i="2"/>
  <c r="A435" i="2"/>
  <c r="A436" i="2"/>
  <c r="A437" i="2"/>
  <c r="A438" i="2"/>
  <c r="A595" i="2"/>
  <c r="A442" i="2"/>
  <c r="A443" i="2"/>
  <c r="A444" i="2"/>
  <c r="A596" i="2"/>
  <c r="A445" i="2"/>
  <c r="A446" i="2"/>
  <c r="A447" i="2"/>
  <c r="A448" i="2"/>
  <c r="A449" i="2"/>
  <c r="A451" i="2"/>
  <c r="A452" i="2"/>
  <c r="A453" i="2"/>
  <c r="A454" i="2"/>
  <c r="A455" i="2"/>
  <c r="A456" i="2"/>
  <c r="A440" i="2"/>
  <c r="A457" i="2"/>
  <c r="A458" i="2"/>
  <c r="A459" i="2"/>
  <c r="A460" i="2"/>
  <c r="A462" i="2"/>
  <c r="A463" i="2"/>
  <c r="A464" i="2"/>
  <c r="A465" i="2"/>
  <c r="A466" i="2"/>
  <c r="A467" i="2"/>
  <c r="A469" i="2"/>
  <c r="A470" i="2"/>
  <c r="A471" i="2"/>
  <c r="A472" i="2"/>
  <c r="A473" i="2"/>
  <c r="A474" i="2"/>
  <c r="A475" i="2"/>
  <c r="A476" i="2"/>
  <c r="A477" i="2"/>
  <c r="A479" i="2"/>
  <c r="A480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3" i="2"/>
  <c r="A504" i="2"/>
  <c r="A505" i="2"/>
  <c r="A506" i="2"/>
  <c r="A507" i="2"/>
  <c r="A508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605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97" i="2"/>
  <c r="A598" i="2"/>
  <c r="A586" i="2"/>
  <c r="A599" i="2"/>
  <c r="A587" i="2"/>
  <c r="A593" i="2"/>
  <c r="A600" i="2"/>
  <c r="A588" i="2"/>
  <c r="A601" i="2"/>
  <c r="A602" i="2"/>
  <c r="A589" i="2"/>
  <c r="A603" i="2"/>
  <c r="A604" i="2"/>
  <c r="A590" i="2"/>
  <c r="A591" i="2"/>
  <c r="A592" i="2"/>
  <c r="A594" i="2"/>
  <c r="A4" i="2"/>
  <c r="H1" i="1"/>
  <c r="J7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6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2" i="1"/>
  <c r="A103" i="1"/>
  <c r="A105" i="1"/>
  <c r="A107" i="1"/>
  <c r="A108" i="1"/>
  <c r="A109" i="1"/>
  <c r="A110" i="1"/>
  <c r="A112" i="1"/>
  <c r="A113" i="1"/>
  <c r="A114" i="1"/>
  <c r="A115" i="1"/>
  <c r="A116" i="1"/>
  <c r="A117" i="1"/>
  <c r="A118" i="1"/>
  <c r="A119" i="1"/>
  <c r="A121" i="1"/>
  <c r="A124" i="1"/>
  <c r="A126" i="1"/>
  <c r="A128" i="1"/>
  <c r="A129" i="1"/>
  <c r="A131" i="1"/>
  <c r="A136" i="1"/>
  <c r="A137" i="1"/>
  <c r="A139" i="1"/>
  <c r="A141" i="1"/>
  <c r="A142" i="1"/>
  <c r="A143" i="1"/>
  <c r="A144" i="1"/>
  <c r="A145" i="1"/>
  <c r="A146" i="1"/>
  <c r="A147" i="1"/>
  <c r="A148" i="1"/>
  <c r="A149" i="1"/>
  <c r="A150" i="1"/>
  <c r="A152" i="1"/>
  <c r="A153" i="1"/>
  <c r="A154" i="1"/>
  <c r="A155" i="1"/>
  <c r="A156" i="1"/>
  <c r="A157" i="1"/>
  <c r="A159" i="1"/>
  <c r="A160" i="1"/>
  <c r="A161" i="1"/>
  <c r="A162" i="1"/>
  <c r="A166" i="1"/>
  <c r="A167" i="1"/>
  <c r="A169" i="1"/>
  <c r="A170" i="1"/>
  <c r="A171" i="1"/>
  <c r="A172" i="1"/>
  <c r="A173" i="1"/>
  <c r="A174" i="1"/>
  <c r="A175" i="1"/>
  <c r="A176" i="1"/>
  <c r="A177" i="1"/>
  <c r="A180" i="1"/>
  <c r="A181" i="1"/>
  <c r="A182" i="1"/>
  <c r="A185" i="1"/>
  <c r="A186" i="1"/>
  <c r="A187" i="1"/>
  <c r="A188" i="1"/>
  <c r="A189" i="1"/>
  <c r="A190" i="1"/>
  <c r="A191" i="1"/>
  <c r="A192" i="1"/>
  <c r="A193" i="1"/>
  <c r="A194" i="1"/>
  <c r="A195" i="1"/>
  <c r="A197" i="1"/>
  <c r="A199" i="1"/>
  <c r="A201" i="1"/>
  <c r="A205" i="1"/>
  <c r="A208" i="1"/>
  <c r="A210" i="1"/>
  <c r="A212" i="1"/>
  <c r="A214" i="1"/>
  <c r="A216" i="1"/>
  <c r="A217" i="1"/>
  <c r="A218" i="1"/>
  <c r="A219" i="1"/>
  <c r="A222" i="1"/>
  <c r="A223" i="1"/>
  <c r="A224" i="1"/>
  <c r="A225" i="1"/>
  <c r="A226" i="1"/>
  <c r="A227" i="1"/>
  <c r="A229" i="1"/>
  <c r="A230" i="1"/>
  <c r="A231" i="1"/>
  <c r="A232" i="1"/>
  <c r="A233" i="1"/>
  <c r="A234" i="1"/>
  <c r="A235" i="1"/>
  <c r="A236" i="1"/>
  <c r="A237" i="1"/>
  <c r="A238" i="1"/>
  <c r="A241" i="1"/>
  <c r="A243" i="1"/>
  <c r="A244" i="1"/>
  <c r="A245" i="1"/>
  <c r="A248" i="1"/>
  <c r="A254" i="1"/>
  <c r="A255" i="1"/>
  <c r="A256" i="1"/>
  <c r="A258" i="1"/>
  <c r="A262" i="1"/>
  <c r="A263" i="1"/>
  <c r="A264" i="1"/>
  <c r="A265" i="1"/>
  <c r="A267" i="1"/>
  <c r="A269" i="1"/>
  <c r="A271" i="1"/>
  <c r="A272" i="1"/>
  <c r="A276" i="1"/>
  <c r="A278" i="1"/>
  <c r="A280" i="1"/>
  <c r="A281" i="1"/>
  <c r="A284" i="1"/>
  <c r="A285" i="1"/>
  <c r="A288" i="1"/>
  <c r="A294" i="1"/>
  <c r="A295" i="1"/>
  <c r="A296" i="1"/>
  <c r="A297" i="1"/>
  <c r="A299" i="1"/>
  <c r="A302" i="1"/>
  <c r="A303" i="1"/>
  <c r="A306" i="1"/>
  <c r="A308" i="1"/>
  <c r="A310" i="1"/>
  <c r="A311" i="1"/>
  <c r="A312" i="1"/>
  <c r="A313" i="1"/>
  <c r="A315" i="1"/>
  <c r="A319" i="1"/>
  <c r="A320" i="1"/>
  <c r="A323" i="1"/>
  <c r="A324" i="1"/>
  <c r="A326" i="1"/>
  <c r="A327" i="1"/>
  <c r="A328" i="1"/>
  <c r="A329" i="1"/>
  <c r="A330" i="1"/>
  <c r="A331" i="1"/>
  <c r="A333" i="1"/>
  <c r="A334" i="1"/>
  <c r="A335" i="1"/>
  <c r="A336" i="1"/>
  <c r="A337" i="1"/>
  <c r="A338" i="1"/>
  <c r="A339" i="1"/>
  <c r="A340" i="1"/>
  <c r="A341" i="1"/>
  <c r="A343" i="1"/>
  <c r="A344" i="1"/>
  <c r="A346" i="1"/>
  <c r="A348" i="1"/>
  <c r="A349" i="1"/>
  <c r="A350" i="1"/>
  <c r="A351" i="1"/>
  <c r="A352" i="1"/>
  <c r="A353" i="1"/>
  <c r="A354" i="1"/>
  <c r="A355" i="1"/>
  <c r="A357" i="1"/>
  <c r="A359" i="1"/>
  <c r="A360" i="1"/>
  <c r="A361" i="1"/>
  <c r="A362" i="1"/>
  <c r="A363" i="1"/>
  <c r="A365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3" i="1"/>
  <c r="A384" i="1"/>
  <c r="A388" i="1"/>
  <c r="A389" i="1"/>
  <c r="A390" i="1"/>
  <c r="A392" i="1"/>
  <c r="A393" i="1"/>
  <c r="A396" i="1"/>
  <c r="A398" i="1"/>
  <c r="A399" i="1"/>
  <c r="A401" i="1"/>
  <c r="A406" i="1"/>
  <c r="A407" i="1"/>
  <c r="A408" i="1"/>
  <c r="A410" i="1"/>
  <c r="A411" i="1"/>
  <c r="A412" i="1"/>
  <c r="A413" i="1"/>
  <c r="A414" i="1"/>
  <c r="A415" i="1"/>
  <c r="A416" i="1"/>
  <c r="A418" i="1"/>
  <c r="A419" i="1"/>
  <c r="A420" i="1"/>
  <c r="A421" i="1"/>
  <c r="A422" i="1"/>
  <c r="A426" i="1"/>
  <c r="A428" i="1"/>
  <c r="A429" i="1"/>
  <c r="A430" i="1"/>
  <c r="A431" i="1"/>
  <c r="A432" i="1"/>
  <c r="A433" i="1"/>
  <c r="A435" i="1"/>
  <c r="A437" i="1"/>
  <c r="A438" i="1"/>
  <c r="A440" i="1"/>
  <c r="A442" i="1"/>
  <c r="A443" i="1"/>
  <c r="A444" i="1"/>
  <c r="A445" i="1"/>
  <c r="A446" i="1"/>
  <c r="A447" i="1"/>
  <c r="A448" i="1"/>
  <c r="A449" i="1"/>
  <c r="A451" i="1"/>
  <c r="A452" i="1"/>
  <c r="A453" i="1"/>
  <c r="A454" i="1"/>
  <c r="A455" i="1"/>
  <c r="A456" i="1"/>
  <c r="A457" i="1"/>
  <c r="A458" i="1"/>
  <c r="A459" i="1"/>
  <c r="A460" i="1"/>
  <c r="A462" i="1"/>
  <c r="A463" i="1"/>
  <c r="A464" i="1"/>
  <c r="A465" i="1"/>
  <c r="A466" i="1"/>
  <c r="A467" i="1"/>
  <c r="A469" i="1"/>
  <c r="A471" i="1"/>
  <c r="A472" i="1"/>
  <c r="A473" i="1"/>
  <c r="A474" i="1"/>
  <c r="A475" i="1"/>
  <c r="A476" i="1"/>
  <c r="A477" i="1"/>
  <c r="A479" i="1"/>
  <c r="A480" i="1"/>
  <c r="A482" i="1"/>
  <c r="A484" i="1"/>
  <c r="A485" i="1"/>
  <c r="A486" i="1"/>
  <c r="A487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3" i="1"/>
  <c r="A504" i="1"/>
  <c r="A505" i="1"/>
  <c r="A506" i="1"/>
  <c r="A507" i="1"/>
  <c r="A508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1" i="1"/>
  <c r="A533" i="1"/>
  <c r="A535" i="1"/>
  <c r="A536" i="1"/>
  <c r="A537" i="1"/>
  <c r="A538" i="1"/>
  <c r="A539" i="1"/>
  <c r="A540" i="1"/>
  <c r="A541" i="1"/>
  <c r="A542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24" i="1"/>
  <c r="A54" i="1"/>
  <c r="A55" i="1"/>
  <c r="A57" i="1"/>
  <c r="A79" i="1"/>
  <c r="A101" i="1"/>
  <c r="A104" i="1"/>
  <c r="A106" i="1"/>
  <c r="A111" i="1"/>
  <c r="A120" i="1"/>
  <c r="A122" i="1"/>
  <c r="A123" i="1"/>
  <c r="A125" i="1"/>
  <c r="A127" i="1"/>
  <c r="A130" i="1"/>
  <c r="A132" i="1"/>
  <c r="A133" i="1"/>
  <c r="A134" i="1"/>
  <c r="A135" i="1"/>
  <c r="A138" i="1"/>
  <c r="A140" i="1"/>
  <c r="A151" i="1"/>
  <c r="A158" i="1"/>
  <c r="A163" i="1"/>
  <c r="A164" i="1"/>
  <c r="A165" i="1"/>
  <c r="A168" i="1"/>
  <c r="A178" i="1"/>
  <c r="A179" i="1"/>
  <c r="A183" i="1"/>
  <c r="A184" i="1"/>
  <c r="A196" i="1"/>
  <c r="A198" i="1"/>
  <c r="A200" i="1"/>
  <c r="A202" i="1"/>
  <c r="A203" i="1"/>
  <c r="A204" i="1"/>
  <c r="A206" i="1"/>
  <c r="A207" i="1"/>
  <c r="A209" i="1"/>
  <c r="A211" i="1"/>
  <c r="A213" i="1"/>
  <c r="A215" i="1"/>
  <c r="A220" i="1"/>
  <c r="A221" i="1"/>
  <c r="A228" i="1"/>
  <c r="A239" i="1"/>
  <c r="A240" i="1"/>
  <c r="A242" i="1"/>
  <c r="A246" i="1"/>
  <c r="A247" i="1"/>
  <c r="A249" i="1"/>
  <c r="A250" i="1"/>
  <c r="A251" i="1"/>
  <c r="A252" i="1"/>
  <c r="A253" i="1"/>
  <c r="A257" i="1"/>
  <c r="A259" i="1"/>
  <c r="A260" i="1"/>
  <c r="A261" i="1"/>
  <c r="A266" i="1"/>
  <c r="A268" i="1"/>
  <c r="A270" i="1"/>
  <c r="A273" i="1"/>
  <c r="A274" i="1"/>
  <c r="A275" i="1"/>
  <c r="A277" i="1"/>
  <c r="A279" i="1"/>
  <c r="A282" i="1"/>
  <c r="A283" i="1"/>
  <c r="A286" i="1"/>
  <c r="A287" i="1"/>
  <c r="A289" i="1"/>
  <c r="A290" i="1"/>
  <c r="A291" i="1"/>
  <c r="A292" i="1"/>
  <c r="A293" i="1"/>
  <c r="A298" i="1"/>
  <c r="A300" i="1"/>
  <c r="A301" i="1"/>
  <c r="A304" i="1"/>
  <c r="A305" i="1"/>
  <c r="A307" i="1"/>
  <c r="A309" i="1"/>
  <c r="A314" i="1"/>
  <c r="A316" i="1"/>
  <c r="A317" i="1"/>
  <c r="A318" i="1"/>
  <c r="A321" i="1"/>
  <c r="A322" i="1"/>
  <c r="A325" i="1"/>
  <c r="A332" i="1"/>
  <c r="A342" i="1"/>
  <c r="A345" i="1"/>
  <c r="A347" i="1"/>
  <c r="A356" i="1"/>
  <c r="A358" i="1"/>
  <c r="A364" i="1"/>
  <c r="A366" i="1"/>
  <c r="A382" i="1"/>
  <c r="A385" i="1"/>
  <c r="A386" i="1"/>
  <c r="A387" i="1"/>
  <c r="A391" i="1"/>
  <c r="A394" i="1"/>
  <c r="A395" i="1"/>
  <c r="A397" i="1"/>
  <c r="A400" i="1"/>
  <c r="A402" i="1"/>
  <c r="A403" i="1"/>
  <c r="A404" i="1"/>
  <c r="A405" i="1"/>
  <c r="A409" i="1"/>
  <c r="A417" i="1"/>
  <c r="A423" i="1"/>
  <c r="A424" i="1"/>
  <c r="A425" i="1"/>
  <c r="A427" i="1"/>
  <c r="A434" i="1"/>
  <c r="A436" i="1"/>
  <c r="A439" i="1"/>
  <c r="A441" i="1"/>
  <c r="A450" i="1"/>
  <c r="A461" i="1"/>
  <c r="A468" i="1"/>
  <c r="A470" i="1"/>
  <c r="A478" i="1"/>
  <c r="A481" i="1"/>
  <c r="A483" i="1"/>
  <c r="A488" i="1"/>
  <c r="A502" i="1"/>
  <c r="A509" i="1"/>
  <c r="A510" i="1"/>
  <c r="A530" i="1"/>
  <c r="A532" i="1"/>
  <c r="A534" i="1"/>
  <c r="A543" i="1"/>
  <c r="A4" i="1"/>
  <c r="J66" i="1" l="1"/>
  <c r="J550" i="1"/>
  <c r="J437" i="1"/>
  <c r="J334" i="1"/>
  <c r="J64" i="1"/>
  <c r="J486" i="1"/>
  <c r="J383" i="1"/>
  <c r="J329" i="1"/>
  <c r="J46" i="1"/>
  <c r="J544" i="1"/>
  <c r="J429" i="1"/>
  <c r="J328" i="1"/>
  <c r="J192" i="1"/>
  <c r="J106" i="1"/>
  <c r="J537" i="1"/>
  <c r="J424" i="1"/>
  <c r="J320" i="1"/>
  <c r="J186" i="1"/>
  <c r="J100" i="1"/>
  <c r="J586" i="1"/>
  <c r="J473" i="1"/>
  <c r="J367" i="1"/>
  <c r="J271" i="1"/>
  <c r="J99" i="1"/>
  <c r="J531" i="1"/>
  <c r="J415" i="1"/>
  <c r="J312" i="1"/>
  <c r="J30" i="1"/>
  <c r="J572" i="1"/>
  <c r="J530" i="1"/>
  <c r="J465" i="1"/>
  <c r="J414" i="1"/>
  <c r="J358" i="1"/>
  <c r="J311" i="1"/>
  <c r="J261" i="1"/>
  <c r="J175" i="1"/>
  <c r="J89" i="1"/>
  <c r="J509" i="1"/>
  <c r="J219" i="1"/>
  <c r="J600" i="1"/>
  <c r="J196" i="1"/>
  <c r="J185" i="1"/>
  <c r="J551" i="1"/>
  <c r="J443" i="1"/>
  <c r="J391" i="1"/>
  <c r="J336" i="1"/>
  <c r="J288" i="1"/>
  <c r="J220" i="1"/>
  <c r="J116" i="1"/>
  <c r="J602" i="1"/>
  <c r="J487" i="1"/>
  <c r="J390" i="1"/>
  <c r="J287" i="1"/>
  <c r="J115" i="1"/>
  <c r="J545" i="1"/>
  <c r="J430" i="1"/>
  <c r="J282" i="1"/>
  <c r="J108" i="1"/>
  <c r="J595" i="1"/>
  <c r="J480" i="1"/>
  <c r="J382" i="1"/>
  <c r="J280" i="1"/>
  <c r="J45" i="1"/>
  <c r="J587" i="1"/>
  <c r="J479" i="1"/>
  <c r="J368" i="1"/>
  <c r="J272" i="1"/>
  <c r="J40" i="1"/>
  <c r="J536" i="1"/>
  <c r="J420" i="1"/>
  <c r="J319" i="1"/>
  <c r="J39" i="1"/>
  <c r="J573" i="1"/>
  <c r="J466" i="1"/>
  <c r="J359" i="1"/>
  <c r="J262" i="1"/>
  <c r="J176" i="1"/>
  <c r="J90" i="1"/>
  <c r="J29" i="1"/>
  <c r="J566" i="1"/>
  <c r="J523" i="1"/>
  <c r="J459" i="1"/>
  <c r="J406" i="1"/>
  <c r="J353" i="1"/>
  <c r="J305" i="1"/>
  <c r="J256" i="1"/>
  <c r="J150" i="1"/>
  <c r="J82" i="1"/>
  <c r="J22" i="1"/>
  <c r="J564" i="1"/>
  <c r="J522" i="1"/>
  <c r="J452" i="1"/>
  <c r="J405" i="1"/>
  <c r="J352" i="1"/>
  <c r="J304" i="1"/>
  <c r="J245" i="1"/>
  <c r="J142" i="1"/>
  <c r="J81" i="1"/>
  <c r="J20" i="1"/>
  <c r="J559" i="1"/>
  <c r="J516" i="1"/>
  <c r="J451" i="1"/>
  <c r="J400" i="1"/>
  <c r="J344" i="1"/>
  <c r="J297" i="1"/>
  <c r="J236" i="1"/>
  <c r="J141" i="1"/>
  <c r="J72" i="1"/>
  <c r="J12" i="1"/>
  <c r="J558" i="1"/>
  <c r="J515" i="1"/>
  <c r="J444" i="1"/>
  <c r="J399" i="1"/>
  <c r="J343" i="1"/>
  <c r="J296" i="1"/>
  <c r="J227" i="1"/>
  <c r="J131" i="1"/>
  <c r="J71" i="1"/>
  <c r="J11" i="1"/>
  <c r="J578" i="1"/>
  <c r="J563" i="1"/>
  <c r="J549" i="1"/>
  <c r="J535" i="1"/>
  <c r="J521" i="1"/>
  <c r="J507" i="1"/>
  <c r="J478" i="1"/>
  <c r="J450" i="1"/>
  <c r="J435" i="1"/>
  <c r="J419" i="1"/>
  <c r="J404" i="1"/>
  <c r="J389" i="1"/>
  <c r="J372" i="1"/>
  <c r="J357" i="1"/>
  <c r="J342" i="1"/>
  <c r="J327" i="1"/>
  <c r="J310" i="1"/>
  <c r="J295" i="1"/>
  <c r="J276" i="1"/>
  <c r="J260" i="1"/>
  <c r="J226" i="1"/>
  <c r="J190" i="1"/>
  <c r="J174" i="1"/>
  <c r="J140" i="1"/>
  <c r="J104" i="1"/>
  <c r="J88" i="1"/>
  <c r="J70" i="1"/>
  <c r="J36" i="1"/>
  <c r="J18" i="1"/>
  <c r="J605" i="1"/>
  <c r="J591" i="1"/>
  <c r="J576" i="1"/>
  <c r="J562" i="1"/>
  <c r="J548" i="1"/>
  <c r="J520" i="1"/>
  <c r="J506" i="1"/>
  <c r="J491" i="1"/>
  <c r="J477" i="1"/>
  <c r="J463" i="1"/>
  <c r="J448" i="1"/>
  <c r="J418" i="1"/>
  <c r="J403" i="1"/>
  <c r="J388" i="1"/>
  <c r="J371" i="1"/>
  <c r="J356" i="1"/>
  <c r="J341" i="1"/>
  <c r="J324" i="1"/>
  <c r="J309" i="1"/>
  <c r="J294" i="1"/>
  <c r="J259" i="1"/>
  <c r="J243" i="1"/>
  <c r="J225" i="1"/>
  <c r="J208" i="1"/>
  <c r="J189" i="1"/>
  <c r="J173" i="1"/>
  <c r="J139" i="1"/>
  <c r="J120" i="1"/>
  <c r="J87" i="1"/>
  <c r="J69" i="1"/>
  <c r="J53" i="1"/>
  <c r="J34" i="1"/>
  <c r="J17" i="1"/>
  <c r="J575" i="1"/>
  <c r="J561" i="1"/>
  <c r="J547" i="1"/>
  <c r="J533" i="1"/>
  <c r="J519" i="1"/>
  <c r="J490" i="1"/>
  <c r="J476" i="1"/>
  <c r="J461" i="1"/>
  <c r="J417" i="1"/>
  <c r="J387" i="1"/>
  <c r="J370" i="1"/>
  <c r="J340" i="1"/>
  <c r="J323" i="1"/>
  <c r="J308" i="1"/>
  <c r="J292" i="1"/>
  <c r="J274" i="1"/>
  <c r="J258" i="1"/>
  <c r="J224" i="1"/>
  <c r="J188" i="1"/>
  <c r="J172" i="1"/>
  <c r="J154" i="1"/>
  <c r="J138" i="1"/>
  <c r="J118" i="1"/>
  <c r="J102" i="1"/>
  <c r="J84" i="1"/>
  <c r="J68" i="1"/>
  <c r="J52" i="1"/>
  <c r="J32" i="1"/>
  <c r="J16" i="1"/>
  <c r="J603" i="1"/>
  <c r="J574" i="1"/>
  <c r="J560" i="1"/>
  <c r="J546" i="1"/>
  <c r="J532" i="1"/>
  <c r="J518" i="1"/>
  <c r="J489" i="1"/>
  <c r="J474" i="1"/>
  <c r="J460" i="1"/>
  <c r="J446" i="1"/>
  <c r="J431" i="1"/>
  <c r="J416" i="1"/>
  <c r="J401" i="1"/>
  <c r="J384" i="1"/>
  <c r="J369" i="1"/>
  <c r="J354" i="1"/>
  <c r="J339" i="1"/>
  <c r="J322" i="1"/>
  <c r="J306" i="1"/>
  <c r="J291" i="1"/>
  <c r="J273" i="1"/>
  <c r="J222" i="1"/>
  <c r="J187" i="1"/>
  <c r="J171" i="1"/>
  <c r="J153" i="1"/>
  <c r="J136" i="1"/>
  <c r="J117" i="1"/>
  <c r="J101" i="1"/>
  <c r="J83" i="1"/>
  <c r="J67" i="1"/>
  <c r="J48" i="1"/>
  <c r="J31" i="1"/>
  <c r="J15" i="1"/>
  <c r="J499" i="1"/>
  <c r="J598" i="1"/>
  <c r="J542" i="1"/>
  <c r="J526" i="1"/>
  <c r="J512" i="1"/>
  <c r="J470" i="1"/>
  <c r="J455" i="1"/>
  <c r="J441" i="1"/>
  <c r="J412" i="1"/>
  <c r="J395" i="1"/>
  <c r="J380" i="1"/>
  <c r="J332" i="1"/>
  <c r="J317" i="1"/>
  <c r="J300" i="1"/>
  <c r="J285" i="1"/>
  <c r="J269" i="1"/>
  <c r="J250" i="1"/>
  <c r="J233" i="1"/>
  <c r="J183" i="1"/>
  <c r="J164" i="1"/>
  <c r="J147" i="1"/>
  <c r="J129" i="1"/>
  <c r="J113" i="1"/>
  <c r="J95" i="1"/>
  <c r="J78" i="1"/>
  <c r="J59" i="1"/>
  <c r="J43" i="1"/>
  <c r="J27" i="1"/>
  <c r="J9" i="1"/>
  <c r="J597" i="1"/>
  <c r="J583" i="1"/>
  <c r="J569" i="1"/>
  <c r="J555" i="1"/>
  <c r="J539" i="1"/>
  <c r="J525" i="1"/>
  <c r="J511" i="1"/>
  <c r="J483" i="1"/>
  <c r="J468" i="1"/>
  <c r="J454" i="1"/>
  <c r="J440" i="1"/>
  <c r="J426" i="1"/>
  <c r="J411" i="1"/>
  <c r="J394" i="1"/>
  <c r="J378" i="1"/>
  <c r="J363" i="1"/>
  <c r="J346" i="1"/>
  <c r="J331" i="1"/>
  <c r="J316" i="1"/>
  <c r="J299" i="1"/>
  <c r="J284" i="1"/>
  <c r="J268" i="1"/>
  <c r="J232" i="1"/>
  <c r="J180" i="1"/>
  <c r="J162" i="1"/>
  <c r="J144" i="1"/>
  <c r="J112" i="1"/>
  <c r="J94" i="1"/>
  <c r="J76" i="1"/>
  <c r="J58" i="1"/>
  <c r="J42" i="1"/>
  <c r="J24" i="1"/>
  <c r="J8" i="1"/>
  <c r="J585" i="1"/>
  <c r="J543" i="1"/>
  <c r="J528" i="1"/>
  <c r="J513" i="1"/>
  <c r="J485" i="1"/>
  <c r="J471" i="1"/>
  <c r="J456" i="1"/>
  <c r="J442" i="1"/>
  <c r="J413" i="1"/>
  <c r="J396" i="1"/>
  <c r="J381" i="1"/>
  <c r="J366" i="1"/>
  <c r="J348" i="1"/>
  <c r="J333" i="1"/>
  <c r="J318" i="1"/>
  <c r="J303" i="1"/>
  <c r="J286" i="1"/>
  <c r="J270" i="1"/>
  <c r="J252" i="1"/>
  <c r="J234" i="1"/>
  <c r="J130" i="1"/>
  <c r="J114" i="1"/>
  <c r="J96" i="1"/>
  <c r="J80" i="1"/>
  <c r="J60" i="1"/>
  <c r="J44" i="1"/>
  <c r="J28" i="1"/>
  <c r="J10" i="1"/>
  <c r="J364" i="1"/>
  <c r="J596" i="1"/>
  <c r="J568" i="1"/>
  <c r="J552" i="1"/>
  <c r="J538" i="1"/>
  <c r="J524" i="1"/>
  <c r="J510" i="1"/>
  <c r="J482" i="1"/>
  <c r="J467" i="1"/>
  <c r="J453" i="1"/>
  <c r="J439" i="1"/>
  <c r="J425" i="1"/>
  <c r="J408" i="1"/>
  <c r="J392" i="1"/>
  <c r="J377" i="1"/>
  <c r="J360" i="1"/>
  <c r="J345" i="1"/>
  <c r="J330" i="1"/>
  <c r="J315" i="1"/>
  <c r="J298" i="1"/>
  <c r="J283" i="1"/>
  <c r="J264" i="1"/>
  <c r="J231" i="1"/>
  <c r="J143" i="1"/>
  <c r="J92" i="1"/>
  <c r="J75" i="1"/>
  <c r="J57" i="1"/>
  <c r="J41" i="1"/>
  <c r="J23" i="1"/>
  <c r="J6" i="1"/>
  <c r="J267" i="1"/>
  <c r="J251" i="1"/>
  <c r="J237" i="1"/>
  <c r="J223" i="1"/>
  <c r="J195" i="1"/>
  <c r="J179" i="1"/>
  <c r="J137" i="1"/>
  <c r="J107" i="1"/>
  <c r="J93" i="1"/>
  <c r="J65" i="1"/>
  <c r="J51" i="1"/>
  <c r="J35" i="1"/>
  <c r="J21" i="1"/>
  <c r="J4" i="1"/>
  <c r="J13" i="1"/>
  <c r="J25" i="1"/>
  <c r="J37" i="1"/>
  <c r="J49" i="1"/>
  <c r="J61" i="1"/>
  <c r="J73" i="1"/>
  <c r="J85" i="1"/>
  <c r="J97" i="1"/>
  <c r="J109" i="1"/>
  <c r="J121" i="1"/>
  <c r="J145" i="1"/>
  <c r="J169" i="1"/>
  <c r="J181" i="1"/>
  <c r="J241" i="1"/>
  <c r="J265" i="1"/>
  <c r="J289" i="1"/>
  <c r="J301" i="1"/>
  <c r="J313" i="1"/>
  <c r="J325" i="1"/>
  <c r="J337" i="1"/>
  <c r="J349" i="1"/>
  <c r="J361" i="1"/>
  <c r="J373" i="1"/>
  <c r="J385" i="1"/>
  <c r="J397" i="1"/>
  <c r="J409" i="1"/>
  <c r="J421" i="1"/>
  <c r="J433" i="1"/>
  <c r="J445" i="1"/>
  <c r="J457" i="1"/>
  <c r="J469" i="1"/>
  <c r="J481" i="1"/>
  <c r="J517" i="1"/>
  <c r="J529" i="1"/>
  <c r="J541" i="1"/>
  <c r="J553" i="1"/>
  <c r="J565" i="1"/>
  <c r="J577" i="1"/>
  <c r="J601" i="1"/>
  <c r="J14" i="1"/>
  <c r="J26" i="1"/>
  <c r="J38" i="1"/>
  <c r="J50" i="1"/>
  <c r="J62" i="1"/>
  <c r="J74" i="1"/>
  <c r="J86" i="1"/>
  <c r="J98" i="1"/>
  <c r="J110" i="1"/>
  <c r="J146" i="1"/>
  <c r="J170" i="1"/>
  <c r="J182" i="1"/>
  <c r="J194" i="1"/>
  <c r="J266" i="1"/>
  <c r="J278" i="1"/>
  <c r="J290" i="1"/>
  <c r="J302" i="1"/>
  <c r="J314" i="1"/>
  <c r="J326" i="1"/>
  <c r="J338" i="1"/>
  <c r="J350" i="1"/>
  <c r="J362" i="1"/>
  <c r="J374" i="1"/>
  <c r="J386" i="1"/>
  <c r="J398" i="1"/>
  <c r="J410" i="1"/>
  <c r="J422" i="1"/>
  <c r="J593" i="1"/>
  <c r="J567" i="1"/>
  <c r="J554" i="1"/>
  <c r="J540" i="1"/>
  <c r="J527" i="1"/>
  <c r="J514" i="1"/>
  <c r="J488" i="1"/>
  <c r="J475" i="1"/>
  <c r="J462" i="1"/>
  <c r="J436" i="1"/>
  <c r="J423" i="1"/>
  <c r="J407" i="1"/>
  <c r="J393" i="1"/>
  <c r="J379" i="1"/>
  <c r="J365" i="1"/>
  <c r="J351" i="1"/>
  <c r="J335" i="1"/>
  <c r="J321" i="1"/>
  <c r="J293" i="1"/>
  <c r="J279" i="1"/>
  <c r="J263" i="1"/>
  <c r="J249" i="1"/>
  <c r="J235" i="1"/>
  <c r="J221" i="1"/>
  <c r="J177" i="1"/>
  <c r="J119" i="1"/>
  <c r="J105" i="1"/>
  <c r="J91" i="1"/>
  <c r="J77" i="1"/>
  <c r="J63" i="1"/>
  <c r="J47" i="1"/>
  <c r="J33" i="1"/>
  <c r="J19" i="1"/>
  <c r="J5" i="1"/>
  <c r="K374" i="4"/>
  <c r="K372" i="4"/>
  <c r="I372" i="4"/>
  <c r="I374" i="4"/>
</calcChain>
</file>

<file path=xl/sharedStrings.xml><?xml version="1.0" encoding="utf-8"?>
<sst xmlns="http://schemas.openxmlformats.org/spreadsheetml/2006/main" count="19846" uniqueCount="3585">
  <si>
    <t>اسم الموظف</t>
  </si>
  <si>
    <t>النوع</t>
  </si>
  <si>
    <t>الجنسية</t>
  </si>
  <si>
    <t>تصنيف التذكرة</t>
  </si>
  <si>
    <t>رقم الهوية / الإقامة</t>
  </si>
  <si>
    <t>تاريخ انتهاء الهوية</t>
  </si>
  <si>
    <t>تاريخ الميلاد</t>
  </si>
  <si>
    <t>العمر</t>
  </si>
  <si>
    <t>المهنة فى الاقامة</t>
  </si>
  <si>
    <t>المسمي الوظيفي</t>
  </si>
  <si>
    <t>تاريخ بداية العمل</t>
  </si>
  <si>
    <t>مدة العقد</t>
  </si>
  <si>
    <t>تاريخ أخر عودة من الأجازة</t>
  </si>
  <si>
    <t>الموقع</t>
  </si>
  <si>
    <t>المشروع</t>
  </si>
  <si>
    <t>القسم</t>
  </si>
  <si>
    <t>نوع الوظيفة</t>
  </si>
  <si>
    <t>مدة الدوام</t>
  </si>
  <si>
    <t>تاريخ بداية العقد</t>
  </si>
  <si>
    <t>تاريخ نهاية العقد</t>
  </si>
  <si>
    <t>تاريخ إنتهاء الشهادة الصحية</t>
  </si>
  <si>
    <t>رقم جواز السفر</t>
  </si>
  <si>
    <t>تاريخ انتهاء جواز السفر</t>
  </si>
  <si>
    <t>رقم الجوال</t>
  </si>
  <si>
    <t>البريد الإلكتروني</t>
  </si>
  <si>
    <t>رقم الحساب البنك (IBN)</t>
  </si>
  <si>
    <t>رمز البنك</t>
  </si>
  <si>
    <t>الرقم 700</t>
  </si>
  <si>
    <t>اسم الشركة</t>
  </si>
  <si>
    <t>الكيان</t>
  </si>
  <si>
    <t>تاريخ الإستقالة/ انهاء التعاقد</t>
  </si>
  <si>
    <t>نوع الاستبعاد</t>
  </si>
  <si>
    <t>ملاحظات</t>
  </si>
  <si>
    <t>نوع رخصة القيادة</t>
  </si>
  <si>
    <t>انتهاء الرخصة</t>
  </si>
  <si>
    <t>حالة الموظف</t>
  </si>
  <si>
    <t>1000</t>
  </si>
  <si>
    <t>سلطان عبدالرحمن صالح الرزيحي</t>
  </si>
  <si>
    <t>ذكر</t>
  </si>
  <si>
    <t>سعودي</t>
  </si>
  <si>
    <t>مواطن</t>
  </si>
  <si>
    <t>1023619636</t>
  </si>
  <si>
    <t/>
  </si>
  <si>
    <t>رئيس مجلس الإدارة</t>
  </si>
  <si>
    <t>الرياض</t>
  </si>
  <si>
    <t>الإدارة</t>
  </si>
  <si>
    <t>مجلس الإدارة</t>
  </si>
  <si>
    <t>دوام كامل</t>
  </si>
  <si>
    <t>050540082</t>
  </si>
  <si>
    <t>SA7310000004000000048604</t>
  </si>
  <si>
    <t>NCBK</t>
  </si>
  <si>
    <t>المالك</t>
  </si>
  <si>
    <t>1001</t>
  </si>
  <si>
    <t>سنوار عبد المجيد</t>
  </si>
  <si>
    <t>بنجلاديش</t>
  </si>
  <si>
    <t>غير عربي</t>
  </si>
  <si>
    <t>2183771753</t>
  </si>
  <si>
    <t>عامل تعبئة رفوف</t>
  </si>
  <si>
    <t>مشرف فرع</t>
  </si>
  <si>
    <t>النسيم</t>
  </si>
  <si>
    <t>نقاط البيع</t>
  </si>
  <si>
    <t>EJ0074623</t>
  </si>
  <si>
    <t>0541326417</t>
  </si>
  <si>
    <t>sanowar222ajs@gmail.com</t>
  </si>
  <si>
    <t>SA4710000035762757000108</t>
  </si>
  <si>
    <t>شركة ريال البركة للتجارة</t>
  </si>
  <si>
    <t>جملة ريال البركة</t>
  </si>
  <si>
    <t>1002</t>
  </si>
  <si>
    <t>عبدالرحمن محمد عبده السلمي</t>
  </si>
  <si>
    <t>اليمن</t>
  </si>
  <si>
    <t>عربي</t>
  </si>
  <si>
    <t>2278047721</t>
  </si>
  <si>
    <t>مندوب مشتريات</t>
  </si>
  <si>
    <t>المشتريات</t>
  </si>
  <si>
    <t>07497058</t>
  </si>
  <si>
    <t>0534888345</t>
  </si>
  <si>
    <t>SA0810000028300000176502</t>
  </si>
  <si>
    <t>1003</t>
  </si>
  <si>
    <t>سليم عبده علي الرعوي</t>
  </si>
  <si>
    <t>2258083357</t>
  </si>
  <si>
    <t>مندوب مبيعات</t>
  </si>
  <si>
    <t>مشرف عام</t>
  </si>
  <si>
    <t>07496936</t>
  </si>
  <si>
    <t>0556069639</t>
  </si>
  <si>
    <t>salome109765@gmail.com</t>
  </si>
  <si>
    <t>SA2510000037400000377404</t>
  </si>
  <si>
    <t>1004</t>
  </si>
  <si>
    <t>مصطفى عبده علي صالح الرعوي</t>
  </si>
  <si>
    <t>2294076340</t>
  </si>
  <si>
    <t>عامل مخزن</t>
  </si>
  <si>
    <t>مشرف أفرع</t>
  </si>
  <si>
    <t>03891773</t>
  </si>
  <si>
    <t>0504938015</t>
  </si>
  <si>
    <t>mustafa.riyal123@gmail.com</t>
  </si>
  <si>
    <t>SA3510000028300000166510</t>
  </si>
  <si>
    <t>1005</t>
  </si>
  <si>
    <t>عبدالسلام محمد سعيد ناجي</t>
  </si>
  <si>
    <t>2265219804</t>
  </si>
  <si>
    <t>فرع جده</t>
  </si>
  <si>
    <t>06059233</t>
  </si>
  <si>
    <t>0556640381</t>
  </si>
  <si>
    <t>abdomohamed164@gmail.com</t>
  </si>
  <si>
    <t>SA6710000028300000154003</t>
  </si>
  <si>
    <t>مؤسسة سلطان عبدالرحمن صالح الرزيحي للتجارة</t>
  </si>
  <si>
    <t>1006</t>
  </si>
  <si>
    <t>بلال صالح حمود الفهد</t>
  </si>
  <si>
    <t>2259512115</t>
  </si>
  <si>
    <t>النسيم 2</t>
  </si>
  <si>
    <t>11308838</t>
  </si>
  <si>
    <t>0501647835</t>
  </si>
  <si>
    <t>belalalfahd285@gmail.com</t>
  </si>
  <si>
    <t>SA0710000009800000191607</t>
  </si>
  <si>
    <t>1007</t>
  </si>
  <si>
    <t>محمد عبدالدائم محمد عبدالرحمن</t>
  </si>
  <si>
    <t>2278571605</t>
  </si>
  <si>
    <t>مستودع عكاظ 23</t>
  </si>
  <si>
    <t>يعمل لحسابه</t>
  </si>
  <si>
    <t>09536880</t>
  </si>
  <si>
    <t>0567134029</t>
  </si>
  <si>
    <t>1008</t>
  </si>
  <si>
    <t>فوزية هزال عيسى الهزال</t>
  </si>
  <si>
    <t>أنثى</t>
  </si>
  <si>
    <t>1031868324</t>
  </si>
  <si>
    <t>فني حسابات عام</t>
  </si>
  <si>
    <t>عمل عن بعد</t>
  </si>
  <si>
    <t>عن بعد</t>
  </si>
  <si>
    <t>0558077109</t>
  </si>
  <si>
    <t>noufsultan987@gmail.com</t>
  </si>
  <si>
    <t>SA0480000195608010336522</t>
  </si>
  <si>
    <t>RJHI</t>
  </si>
  <si>
    <t>1009</t>
  </si>
  <si>
    <t>اسد الزمان علي</t>
  </si>
  <si>
    <t>2217477385</t>
  </si>
  <si>
    <t>عامل تحميل وتنزيل</t>
  </si>
  <si>
    <t>عامل</t>
  </si>
  <si>
    <t>أونلاين</t>
  </si>
  <si>
    <t>EA0954167</t>
  </si>
  <si>
    <t>0573397800</t>
  </si>
  <si>
    <t>SA6880000537608016047187</t>
  </si>
  <si>
    <t>1010</t>
  </si>
  <si>
    <t>تفضل ولي</t>
  </si>
  <si>
    <t>2201478860</t>
  </si>
  <si>
    <t>مستودع جملة سلطان والسويلم</t>
  </si>
  <si>
    <t>EA0957049</t>
  </si>
  <si>
    <t>0536523775</t>
  </si>
  <si>
    <t>zafor2220@gmail.com</t>
  </si>
  <si>
    <t>SA3910000028300000148202</t>
  </si>
  <si>
    <t>جملة سلطان</t>
  </si>
  <si>
    <t>1011</t>
  </si>
  <si>
    <t>أيمن محمد فتحي خلف</t>
  </si>
  <si>
    <t>مصر</t>
  </si>
  <si>
    <t>2368855538</t>
  </si>
  <si>
    <t>محاسب عام</t>
  </si>
  <si>
    <t>رئيس حسابات</t>
  </si>
  <si>
    <t>قضمة</t>
  </si>
  <si>
    <t>المالية</t>
  </si>
  <si>
    <t>تحت التجربة</t>
  </si>
  <si>
    <t>0535124131</t>
  </si>
  <si>
    <t>aymanmorgan56@gmail.com</t>
  </si>
  <si>
    <t>SA5030400108069269500011</t>
  </si>
  <si>
    <t>ANB</t>
  </si>
  <si>
    <t>1012</t>
  </si>
  <si>
    <t>نوبي امير شيخ</t>
  </si>
  <si>
    <t>الهند</t>
  </si>
  <si>
    <t>2280543253</t>
  </si>
  <si>
    <t>الدمام</t>
  </si>
  <si>
    <t>العنود</t>
  </si>
  <si>
    <t>S1257358</t>
  </si>
  <si>
    <t>0503547269</t>
  </si>
  <si>
    <t>SA8010000028300000155903</t>
  </si>
  <si>
    <t>1013</t>
  </si>
  <si>
    <t>منال سلطان عبدالرحمن الرزيحي</t>
  </si>
  <si>
    <t>1092729258</t>
  </si>
  <si>
    <t>0500023185</t>
  </si>
  <si>
    <t>SA7480000195608010453699</t>
  </si>
  <si>
    <t>1014</t>
  </si>
  <si>
    <t>منيره سلطان عبدالرحمن الرزيحي</t>
  </si>
  <si>
    <t>1092729241</t>
  </si>
  <si>
    <t>وكالة ممكن حلول</t>
  </si>
  <si>
    <t>التسويق</t>
  </si>
  <si>
    <t>0550332117</t>
  </si>
  <si>
    <t>munira.al-rezihi@hotmail.com</t>
  </si>
  <si>
    <t>SA4110000074500002899007</t>
  </si>
  <si>
    <t>1015</t>
  </si>
  <si>
    <t>عجيب بيلافي</t>
  </si>
  <si>
    <t>2489500492</t>
  </si>
  <si>
    <t>سائق دينا</t>
  </si>
  <si>
    <t>T8662223</t>
  </si>
  <si>
    <t>0571201560</t>
  </si>
  <si>
    <t>ajeebajee603@gmail.com</t>
  </si>
  <si>
    <t>SA5610000029600000504209</t>
  </si>
  <si>
    <t>1016</t>
  </si>
  <si>
    <t>معشوق أحمد أنصاري</t>
  </si>
  <si>
    <t>هندي</t>
  </si>
  <si>
    <t>2393348749</t>
  </si>
  <si>
    <t>سائق خاص</t>
  </si>
  <si>
    <t>المنزل</t>
  </si>
  <si>
    <t>0540746137</t>
  </si>
  <si>
    <t>SA6080000537608016051114</t>
  </si>
  <si>
    <t>سعد الرزيحي</t>
  </si>
  <si>
    <t>1017</t>
  </si>
  <si>
    <t>جهانقير عبد الرزاق بادي</t>
  </si>
  <si>
    <t>2249559515</t>
  </si>
  <si>
    <t>الدائري الغربي</t>
  </si>
  <si>
    <t>EF0750070</t>
  </si>
  <si>
    <t>0571842210</t>
  </si>
  <si>
    <t>jahangirpada12@gmail.com</t>
  </si>
  <si>
    <t>SA6210000028300000153802</t>
  </si>
  <si>
    <t>1018</t>
  </si>
  <si>
    <t>محمد عبدالله محمد الحبجي</t>
  </si>
  <si>
    <t>2465674733</t>
  </si>
  <si>
    <t>أمين صندوق</t>
  </si>
  <si>
    <t>10669885</t>
  </si>
  <si>
    <t>0556913618</t>
  </si>
  <si>
    <t>mohammed.alhmeikani.rb@gmail.com</t>
  </si>
  <si>
    <t>SA7980000195608010695430</t>
  </si>
  <si>
    <t>1019</t>
  </si>
  <si>
    <t>رؤوف انصاري سفيدة</t>
  </si>
  <si>
    <t>نيبال</t>
  </si>
  <si>
    <t>2341519797</t>
  </si>
  <si>
    <t>عامل نظافة نوافذ</t>
  </si>
  <si>
    <t>الخرج</t>
  </si>
  <si>
    <t>المصنع</t>
  </si>
  <si>
    <t>المناديل</t>
  </si>
  <si>
    <t>12268346</t>
  </si>
  <si>
    <t>0571940321</t>
  </si>
  <si>
    <t>SA9280000639608016086372</t>
  </si>
  <si>
    <t>مصنع المناديل</t>
  </si>
  <si>
    <t>1021</t>
  </si>
  <si>
    <t>ياسر عبدالولي قايد الغابري</t>
  </si>
  <si>
    <t>2466030422</t>
  </si>
  <si>
    <t>مسؤول المتجر الإلكتروني</t>
  </si>
  <si>
    <t>التجارة الإلكترونية</t>
  </si>
  <si>
    <t>08001001</t>
  </si>
  <si>
    <t>0509686482</t>
  </si>
  <si>
    <t>yasser4182@gmail.com</t>
  </si>
  <si>
    <t>SA1880000195608010459654</t>
  </si>
  <si>
    <t>1022</t>
  </si>
  <si>
    <t>عمر احمد علي الشامي</t>
  </si>
  <si>
    <t>2214431989</t>
  </si>
  <si>
    <t>سائق شاحنة صغيرة</t>
  </si>
  <si>
    <t>أمين مستودع</t>
  </si>
  <si>
    <t>07289644</t>
  </si>
  <si>
    <t>0538003981</t>
  </si>
  <si>
    <t>alshamio907@gmail.com</t>
  </si>
  <si>
    <t>SA7810000028300000176600</t>
  </si>
  <si>
    <t>1023</t>
  </si>
  <si>
    <t>عبدالرحمن سلطان الرزيحي</t>
  </si>
  <si>
    <t>1061419220</t>
  </si>
  <si>
    <t>المدير العام</t>
  </si>
  <si>
    <t>0597749776</t>
  </si>
  <si>
    <t>gm.riyal1@gmail.com</t>
  </si>
  <si>
    <t>SA0680000640608010038368</t>
  </si>
  <si>
    <t>1024</t>
  </si>
  <si>
    <t>إسماعيل دحدوح مياه</t>
  </si>
  <si>
    <t>2184651574</t>
  </si>
  <si>
    <t>BQ0875119</t>
  </si>
  <si>
    <t>0552263817</t>
  </si>
  <si>
    <t>SA2210000028300000148605</t>
  </si>
  <si>
    <t>1025</t>
  </si>
  <si>
    <t>فرهد حسين</t>
  </si>
  <si>
    <t>2426108722</t>
  </si>
  <si>
    <t>EH0983921</t>
  </si>
  <si>
    <t>0578788036</t>
  </si>
  <si>
    <t>fh8262041@gmail.com</t>
  </si>
  <si>
    <t>SA7530100942000097178330</t>
  </si>
  <si>
    <t>ARNB</t>
  </si>
  <si>
    <t>1026</t>
  </si>
  <si>
    <t>أنور حسين</t>
  </si>
  <si>
    <t>2425771561</t>
  </si>
  <si>
    <t>عنيزة</t>
  </si>
  <si>
    <t>EJ0522123</t>
  </si>
  <si>
    <t>0544326393</t>
  </si>
  <si>
    <t>baa461213@gmail.com</t>
  </si>
  <si>
    <t>SA4010000028300000150803</t>
  </si>
  <si>
    <t>1027</t>
  </si>
  <si>
    <t>محمد شيمون</t>
  </si>
  <si>
    <t>2426599862</t>
  </si>
  <si>
    <t>EL0008025</t>
  </si>
  <si>
    <t>0542327761</t>
  </si>
  <si>
    <t>md.sumon87726@gmail.com</t>
  </si>
  <si>
    <t>SA0310000020100000425904</t>
  </si>
  <si>
    <t>1028</t>
  </si>
  <si>
    <t>فاكي أحمد بري خان</t>
  </si>
  <si>
    <t>2379964170</t>
  </si>
  <si>
    <t>P1748466</t>
  </si>
  <si>
    <t>0548013957</t>
  </si>
  <si>
    <t>weekl14@gmail.com</t>
  </si>
  <si>
    <t>SA5410000009800000192701</t>
  </si>
  <si>
    <t>1029</t>
  </si>
  <si>
    <t>محمد رفيق الإسلام</t>
  </si>
  <si>
    <t>2427581463</t>
  </si>
  <si>
    <t>غرناطة</t>
  </si>
  <si>
    <t>EH0105815</t>
  </si>
  <si>
    <t>0572457373</t>
  </si>
  <si>
    <t>ri7549484@gmail.com</t>
  </si>
  <si>
    <t>SA5010000035700000038606</t>
  </si>
  <si>
    <t>1030</t>
  </si>
  <si>
    <t>ميدى حسن</t>
  </si>
  <si>
    <t>2429930478</t>
  </si>
  <si>
    <t>EH0846338</t>
  </si>
  <si>
    <t>0571748299</t>
  </si>
  <si>
    <t>SA3410000009800000191509</t>
  </si>
  <si>
    <t>1031</t>
  </si>
  <si>
    <t>أبو بكر عبد اللطيف</t>
  </si>
  <si>
    <t>2434409518</t>
  </si>
  <si>
    <t>الشفا</t>
  </si>
  <si>
    <t>EA0948816</t>
  </si>
  <si>
    <t>0560530376</t>
  </si>
  <si>
    <t>SA3680000195608010459621</t>
  </si>
  <si>
    <t>1032</t>
  </si>
  <si>
    <t>حمزه الاحمر</t>
  </si>
  <si>
    <t>سوريا</t>
  </si>
  <si>
    <t>2088386467</t>
  </si>
  <si>
    <t>N013347938</t>
  </si>
  <si>
    <t>0533563369</t>
  </si>
  <si>
    <t>SA3910000004000000017109</t>
  </si>
  <si>
    <t>1033</t>
  </si>
  <si>
    <t>محمد بارفيج محمد أكتير</t>
  </si>
  <si>
    <t>2442201907</t>
  </si>
  <si>
    <t>كفالة شخصية</t>
  </si>
  <si>
    <t>EJ0281433</t>
  </si>
  <si>
    <t>0573284902</t>
  </si>
  <si>
    <t>SA9210000028300000148703</t>
  </si>
  <si>
    <t>1034</t>
  </si>
  <si>
    <t>مد ميلون باطوري</t>
  </si>
  <si>
    <t>2439079886</t>
  </si>
  <si>
    <t>سائق توصيل طلبات</t>
  </si>
  <si>
    <t>A01780927</t>
  </si>
  <si>
    <t>0559331046</t>
  </si>
  <si>
    <t>milompatwary@gmail.com</t>
  </si>
  <si>
    <t>SA5480000355608019366179</t>
  </si>
  <si>
    <t>1035</t>
  </si>
  <si>
    <t>شاهين هولدير</t>
  </si>
  <si>
    <t>2348234200</t>
  </si>
  <si>
    <t>القصيم</t>
  </si>
  <si>
    <t>بريدة</t>
  </si>
  <si>
    <t>EG0940110</t>
  </si>
  <si>
    <t>0573473765</t>
  </si>
  <si>
    <t>shahin09877@gmail.com</t>
  </si>
  <si>
    <t>SA5510000028300000151309</t>
  </si>
  <si>
    <t>أجازه سنوية</t>
  </si>
  <si>
    <t>1036</t>
  </si>
  <si>
    <t>عارف نور الإسلام</t>
  </si>
  <si>
    <t>2436104687</t>
  </si>
  <si>
    <t>EH0001454</t>
  </si>
  <si>
    <t>0550301681</t>
  </si>
  <si>
    <t>SA7710000009800000191705</t>
  </si>
  <si>
    <t>1037</t>
  </si>
  <si>
    <t>نوف عبدالرحمن صالح الرزيحي</t>
  </si>
  <si>
    <t>1060845557</t>
  </si>
  <si>
    <t>0506101789</t>
  </si>
  <si>
    <t>SA1680000369608010975469</t>
  </si>
  <si>
    <t>1038</t>
  </si>
  <si>
    <t>محمد عارف حسين</t>
  </si>
  <si>
    <t>2439069309</t>
  </si>
  <si>
    <t>EJ0408183</t>
  </si>
  <si>
    <t>0577218214</t>
  </si>
  <si>
    <t>ha1985443@gmail.com</t>
  </si>
  <si>
    <t>SA2230100942000143231101</t>
  </si>
  <si>
    <t>1039</t>
  </si>
  <si>
    <t>يحي صالح سالم شامس</t>
  </si>
  <si>
    <t>2178279747</t>
  </si>
  <si>
    <t>09923857</t>
  </si>
  <si>
    <t>0509992481</t>
  </si>
  <si>
    <t>SA6210000018047104007903</t>
  </si>
  <si>
    <t>1040</t>
  </si>
  <si>
    <t>فاطمه محمد عبدالعزيز الشليل</t>
  </si>
  <si>
    <t>1085931283</t>
  </si>
  <si>
    <t>0555730473</t>
  </si>
  <si>
    <t>fatimah.alshulyl@gmail.com</t>
  </si>
  <si>
    <t>SA82550000000A6257000127</t>
  </si>
  <si>
    <t>BSFR</t>
  </si>
  <si>
    <t>1041</t>
  </si>
  <si>
    <t>محمد عارف الإسلام</t>
  </si>
  <si>
    <t>2415090105</t>
  </si>
  <si>
    <t>EH0143474</t>
  </si>
  <si>
    <t>Ajeeb787898ajs@gmail.com</t>
  </si>
  <si>
    <t>SA1810000024300000749307</t>
  </si>
  <si>
    <t>1042</t>
  </si>
  <si>
    <t>هياء سليمان صالح المريشد</t>
  </si>
  <si>
    <t>1072033960</t>
  </si>
  <si>
    <t>0544431868</t>
  </si>
  <si>
    <t>SA8760000000302154682001</t>
  </si>
  <si>
    <t>BJAZ</t>
  </si>
  <si>
    <t>1043</t>
  </si>
  <si>
    <t>عهود سعد محمد دهمش</t>
  </si>
  <si>
    <t>1043624756</t>
  </si>
  <si>
    <t>0582680992</t>
  </si>
  <si>
    <t>AhoudSaad52@gmail.com</t>
  </si>
  <si>
    <t>SA0780000282608016086158</t>
  </si>
  <si>
    <t>1044</t>
  </si>
  <si>
    <t>محمد علي فورازي</t>
  </si>
  <si>
    <t>2429704196</t>
  </si>
  <si>
    <t>الرس</t>
  </si>
  <si>
    <t>BY0960320</t>
  </si>
  <si>
    <t>0573357851</t>
  </si>
  <si>
    <t>mdalihossain19931@gmail.com</t>
  </si>
  <si>
    <t>SA5730100942000143235806</t>
  </si>
  <si>
    <t>1045</t>
  </si>
  <si>
    <t>لمياء سليمان صالح المريشد</t>
  </si>
  <si>
    <t>1088719834</t>
  </si>
  <si>
    <t>0597749772</t>
  </si>
  <si>
    <t>SA6280000369608010459183</t>
  </si>
  <si>
    <t>1046</t>
  </si>
  <si>
    <t>سليمان صالح سليمان المريشد</t>
  </si>
  <si>
    <t>1005114796</t>
  </si>
  <si>
    <t>مدير علاقات عامة</t>
  </si>
  <si>
    <t>سعودة</t>
  </si>
  <si>
    <t>0552366366</t>
  </si>
  <si>
    <t>fawaz.s.1413@gmail.com</t>
  </si>
  <si>
    <t>SA1310000022051194000102</t>
  </si>
  <si>
    <t>1047</t>
  </si>
  <si>
    <t>هشام عثمان موسى احمد</t>
  </si>
  <si>
    <t>السودان</t>
  </si>
  <si>
    <t>2435149386</t>
  </si>
  <si>
    <t>مدخل بيانات</t>
  </si>
  <si>
    <t>P08720886</t>
  </si>
  <si>
    <t>0550529514</t>
  </si>
  <si>
    <t>SA7110000029600000178310</t>
  </si>
  <si>
    <t>1048</t>
  </si>
  <si>
    <t>محمد شؤيف حسين</t>
  </si>
  <si>
    <t>2440102875</t>
  </si>
  <si>
    <t>EH0264506</t>
  </si>
  <si>
    <t>500481891</t>
  </si>
  <si>
    <t>SA3910000029800000456005</t>
  </si>
  <si>
    <t>1049</t>
  </si>
  <si>
    <t>محمد شجون</t>
  </si>
  <si>
    <t>2443897380</t>
  </si>
  <si>
    <t>نادل</t>
  </si>
  <si>
    <t>كابتن صالة</t>
  </si>
  <si>
    <t>هاينس</t>
  </si>
  <si>
    <t>ويتر</t>
  </si>
  <si>
    <t>EJ0951406</t>
  </si>
  <si>
    <t>572668082</t>
  </si>
  <si>
    <t>SA2710000028900000535709</t>
  </si>
  <si>
    <t>دن</t>
  </si>
  <si>
    <t>1052</t>
  </si>
  <si>
    <t>محمد يحي محسن عميسان</t>
  </si>
  <si>
    <t>2213474048</t>
  </si>
  <si>
    <t>شريك</t>
  </si>
  <si>
    <t>0507563883</t>
  </si>
  <si>
    <t>Myz608010@gmail.com</t>
  </si>
  <si>
    <t>شركة عبدالرحمن الرزيحي التجارية</t>
  </si>
  <si>
    <t>1054</t>
  </si>
  <si>
    <t>نبيل محمد علي السلمي</t>
  </si>
  <si>
    <t>2381616388</t>
  </si>
  <si>
    <t>11563751</t>
  </si>
  <si>
    <t>508467970</t>
  </si>
  <si>
    <t>SA3810000028900000665103</t>
  </si>
  <si>
    <t>1055</t>
  </si>
  <si>
    <t>محضار عبدالله حسين السيد</t>
  </si>
  <si>
    <t>2271066652</t>
  </si>
  <si>
    <t>10644758</t>
  </si>
  <si>
    <t>533512860</t>
  </si>
  <si>
    <t>mhdar774@gmail.com</t>
  </si>
  <si>
    <t>SA5810000035600001058907</t>
  </si>
  <si>
    <t>1056</t>
  </si>
  <si>
    <t>جمال علي فرحان الفنيني</t>
  </si>
  <si>
    <t>2233369574</t>
  </si>
  <si>
    <t>10088103</t>
  </si>
  <si>
    <t>554254792</t>
  </si>
  <si>
    <t>SA8410000009685705000108</t>
  </si>
  <si>
    <t>1057</t>
  </si>
  <si>
    <t>أكرم ال حقي</t>
  </si>
  <si>
    <t>2415874664</t>
  </si>
  <si>
    <t>المصيف</t>
  </si>
  <si>
    <t>EH0077915</t>
  </si>
  <si>
    <t>571503918</t>
  </si>
  <si>
    <t>akramulhoque3918@gmail.com</t>
  </si>
  <si>
    <t>SA3980000530608016266115</t>
  </si>
  <si>
    <t>مؤسسة زاوية ريال بركة للكماليات</t>
  </si>
  <si>
    <t>1058</t>
  </si>
  <si>
    <t>ألمغير حسين</t>
  </si>
  <si>
    <t>2428739169</t>
  </si>
  <si>
    <t>اليرموك</t>
  </si>
  <si>
    <t>BT0137955</t>
  </si>
  <si>
    <t>571230270</t>
  </si>
  <si>
    <t>SA2910000028600000641709</t>
  </si>
  <si>
    <t>1059</t>
  </si>
  <si>
    <t>رامجان علي صديقي</t>
  </si>
  <si>
    <t>2431488325</t>
  </si>
  <si>
    <t>عامل عادي</t>
  </si>
  <si>
    <t>07588811</t>
  </si>
  <si>
    <t>563038199</t>
  </si>
  <si>
    <t>ramegenramegen@gmail.com</t>
  </si>
  <si>
    <t>SA6480000640608018692828</t>
  </si>
  <si>
    <t>1060</t>
  </si>
  <si>
    <t>عبدالرحمن علي حسين قرانه</t>
  </si>
  <si>
    <t>2448299566</t>
  </si>
  <si>
    <t>07588814</t>
  </si>
  <si>
    <t>538334278</t>
  </si>
  <si>
    <t>lyb07980@gmai.com</t>
  </si>
  <si>
    <t>SA5380000602608016042170</t>
  </si>
  <si>
    <t>1061</t>
  </si>
  <si>
    <t>ماجد محمد يحيى السودي</t>
  </si>
  <si>
    <t>2351495946</t>
  </si>
  <si>
    <t>10658796</t>
  </si>
  <si>
    <t>532811709</t>
  </si>
  <si>
    <t>majdabwhsam681@gmail.com</t>
  </si>
  <si>
    <t>SA7680000530608016129164</t>
  </si>
  <si>
    <t>1062</t>
  </si>
  <si>
    <t>مراد علي حسن قرانه</t>
  </si>
  <si>
    <t>2444716852</t>
  </si>
  <si>
    <t>الاشراف</t>
  </si>
  <si>
    <t>06860118</t>
  </si>
  <si>
    <t>550392145</t>
  </si>
  <si>
    <t>SA8780000275608010154779</t>
  </si>
  <si>
    <t>1063</t>
  </si>
  <si>
    <t>جميل علي حسن عبدالله</t>
  </si>
  <si>
    <t>2177037914</t>
  </si>
  <si>
    <t>11309039</t>
  </si>
  <si>
    <t>501205208</t>
  </si>
  <si>
    <t>SA9310000035649736000100</t>
  </si>
  <si>
    <t>اجازة</t>
  </si>
  <si>
    <t>1064</t>
  </si>
  <si>
    <t>معين الدين وحيد</t>
  </si>
  <si>
    <t>2445662816</t>
  </si>
  <si>
    <t>EJ0757957</t>
  </si>
  <si>
    <t>0568016237</t>
  </si>
  <si>
    <t>Mhkmiunddin33@gmail.com</t>
  </si>
  <si>
    <t>SA5220000009325109169940</t>
  </si>
  <si>
    <t>RIBL</t>
  </si>
  <si>
    <t>1065</t>
  </si>
  <si>
    <t>عمر محمد عبده علي السلمي</t>
  </si>
  <si>
    <t>2464009899</t>
  </si>
  <si>
    <t>8061756</t>
  </si>
  <si>
    <t>554084106</t>
  </si>
  <si>
    <t>Omaralsulami1992@gmail.com</t>
  </si>
  <si>
    <t>SA3610000011100077119101</t>
  </si>
  <si>
    <t>1066</t>
  </si>
  <si>
    <t>محمد عبدالله حسين محمد السيد</t>
  </si>
  <si>
    <t>2469385732</t>
  </si>
  <si>
    <t>7868180</t>
  </si>
  <si>
    <t>540767897</t>
  </si>
  <si>
    <t>SA4910000011100072684706</t>
  </si>
  <si>
    <t>اجازة طارئة</t>
  </si>
  <si>
    <t>1067</t>
  </si>
  <si>
    <t>شوقي النور مصطفي أحمد</t>
  </si>
  <si>
    <t>2463326849</t>
  </si>
  <si>
    <t>P05265195</t>
  </si>
  <si>
    <t>0551872184</t>
  </si>
  <si>
    <t>shaweialnoor@gmail.com</t>
  </si>
  <si>
    <t>SA5410000035600001028909</t>
  </si>
  <si>
    <t>1068</t>
  </si>
  <si>
    <t>تهاني محمد محسن السهلي</t>
  </si>
  <si>
    <t>1068412897</t>
  </si>
  <si>
    <t>كاشير</t>
  </si>
  <si>
    <t>557138147</t>
  </si>
  <si>
    <t>ttahani2022@icloud.com</t>
  </si>
  <si>
    <t>SA6115000432130926510004</t>
  </si>
  <si>
    <t>ALBI</t>
  </si>
  <si>
    <t>1069</t>
  </si>
  <si>
    <t>هشام مقبل عبده علي السلمي</t>
  </si>
  <si>
    <t>2315332334</t>
  </si>
  <si>
    <t>بائع</t>
  </si>
  <si>
    <t>7610150</t>
  </si>
  <si>
    <t>538878300</t>
  </si>
  <si>
    <t>hisham78300@gmail.com</t>
  </si>
  <si>
    <t>SA5610000011100069346907</t>
  </si>
  <si>
    <t>1070</t>
  </si>
  <si>
    <t>مطيع صالح حمود قايد الفهد</t>
  </si>
  <si>
    <t>2297145332</t>
  </si>
  <si>
    <t>مساعد بائع</t>
  </si>
  <si>
    <t>11308836</t>
  </si>
  <si>
    <t>0509096708</t>
  </si>
  <si>
    <t>SA9810000009800000205004</t>
  </si>
  <si>
    <t>مصنع سلطان الرزيحي للمنتجات الورقية</t>
  </si>
  <si>
    <t>1071</t>
  </si>
  <si>
    <t>أحمد أحمد عبدالله أحمد قرانه</t>
  </si>
  <si>
    <t>2444717033</t>
  </si>
  <si>
    <t>11596069</t>
  </si>
  <si>
    <t>576839077</t>
  </si>
  <si>
    <t>ahmdb4332@gmail.com</t>
  </si>
  <si>
    <t>SA2410000051200000164302</t>
  </si>
  <si>
    <t>1072</t>
  </si>
  <si>
    <t>محمد أحمد محمد عبد القوي الزيادي</t>
  </si>
  <si>
    <t>2294959602</t>
  </si>
  <si>
    <t>حائل</t>
  </si>
  <si>
    <t>3909039</t>
  </si>
  <si>
    <t>538678602</t>
  </si>
  <si>
    <t>mohame565@gmail.com</t>
  </si>
  <si>
    <t>1073</t>
  </si>
  <si>
    <t>محمد عباس علي</t>
  </si>
  <si>
    <t>2434158859</t>
  </si>
  <si>
    <t>547683205</t>
  </si>
  <si>
    <t>abbasali1989ab@gmail.com</t>
  </si>
  <si>
    <t>SA4610000035600000655506</t>
  </si>
  <si>
    <t>1074</t>
  </si>
  <si>
    <t>زكريا علي صالح احمد</t>
  </si>
  <si>
    <t>2287699033</t>
  </si>
  <si>
    <t>الدعم الفني</t>
  </si>
  <si>
    <t>قسم IT</t>
  </si>
  <si>
    <t>08486609</t>
  </si>
  <si>
    <t>530880090</t>
  </si>
  <si>
    <t>SA3680000203608010309065</t>
  </si>
  <si>
    <t>1076</t>
  </si>
  <si>
    <t>ايمان حسين</t>
  </si>
  <si>
    <t>2477303503</t>
  </si>
  <si>
    <t>BY0623243</t>
  </si>
  <si>
    <t>541486210</t>
  </si>
  <si>
    <t>malaksohag80@gmail.com</t>
  </si>
  <si>
    <t>SA6910000011100055028406</t>
  </si>
  <si>
    <t>1077</t>
  </si>
  <si>
    <t>رابي حسين</t>
  </si>
  <si>
    <t>2475243123</t>
  </si>
  <si>
    <t>المطبخ</t>
  </si>
  <si>
    <t>EJ0778075</t>
  </si>
  <si>
    <t>0573441421</t>
  </si>
  <si>
    <t>rh639492@gmail.com</t>
  </si>
  <si>
    <t>SA8510000011100055012307</t>
  </si>
  <si>
    <t>1078</t>
  </si>
  <si>
    <t>فكري عبدالدائم محمد عبدالرحمن</t>
  </si>
  <si>
    <t>2302314501</t>
  </si>
  <si>
    <t>12329615</t>
  </si>
  <si>
    <t>595989991</t>
  </si>
  <si>
    <t>SA7505000068200816718000</t>
  </si>
  <si>
    <t>INMA</t>
  </si>
  <si>
    <t>1079</t>
  </si>
  <si>
    <t>خالق عبد الرشيد</t>
  </si>
  <si>
    <t>2477303669</t>
  </si>
  <si>
    <t>BY0918943</t>
  </si>
  <si>
    <t>571301909</t>
  </si>
  <si>
    <t>SA8910000011100077329704</t>
  </si>
  <si>
    <t>1080</t>
  </si>
  <si>
    <t>محمد السر علي الخليفة</t>
  </si>
  <si>
    <t>2469710228</t>
  </si>
  <si>
    <t>عامل تعبئه باليد</t>
  </si>
  <si>
    <t>P05702024</t>
  </si>
  <si>
    <t>545859366</t>
  </si>
  <si>
    <t>SA9610000011100077348202</t>
  </si>
  <si>
    <t>ايقاف عن العمل وانهاء خدمات</t>
  </si>
  <si>
    <t>1081</t>
  </si>
  <si>
    <t>حسام حسن عبده الحاج حزام</t>
  </si>
  <si>
    <t>2484398744</t>
  </si>
  <si>
    <t>8672278</t>
  </si>
  <si>
    <t>541268049</t>
  </si>
  <si>
    <t>SA9310000011100077133207</t>
  </si>
  <si>
    <t>1082</t>
  </si>
  <si>
    <t>امجد حسين صديقي</t>
  </si>
  <si>
    <t>2489500203</t>
  </si>
  <si>
    <t>11017478</t>
  </si>
  <si>
    <t>571087697</t>
  </si>
  <si>
    <t>amjadraza223322@gmail.com</t>
  </si>
  <si>
    <t>SA7510000011100054808108</t>
  </si>
  <si>
    <t>1083</t>
  </si>
  <si>
    <t>خدادين منصور</t>
  </si>
  <si>
    <t>2489563854</t>
  </si>
  <si>
    <t>09614966</t>
  </si>
  <si>
    <t>572724816</t>
  </si>
  <si>
    <t>SA7610000011100055147008</t>
  </si>
  <si>
    <t>1084</t>
  </si>
  <si>
    <t>رانجيف شيخ</t>
  </si>
  <si>
    <t>2489484002</t>
  </si>
  <si>
    <t>06263403</t>
  </si>
  <si>
    <t>0572628558</t>
  </si>
  <si>
    <t>SA6710000011100054884300</t>
  </si>
  <si>
    <t>1085</t>
  </si>
  <si>
    <t>شيخ احمد علام</t>
  </si>
  <si>
    <t>2489500641</t>
  </si>
  <si>
    <t>10999940</t>
  </si>
  <si>
    <t>563861090</t>
  </si>
  <si>
    <t>amjad547269@gmail.com</t>
  </si>
  <si>
    <t>SA1110000011100055308810</t>
  </si>
  <si>
    <t>1086</t>
  </si>
  <si>
    <t>شيخ اسك</t>
  </si>
  <si>
    <t>2489500682</t>
  </si>
  <si>
    <t>عامل مهن فريدة</t>
  </si>
  <si>
    <t>09829949</t>
  </si>
  <si>
    <t>565096204</t>
  </si>
  <si>
    <t>ashik123ajs@gmail.com</t>
  </si>
  <si>
    <t>SA8610000011100055845907</t>
  </si>
  <si>
    <t>1087</t>
  </si>
  <si>
    <t>ضيا انصاري</t>
  </si>
  <si>
    <t>2489490876</t>
  </si>
  <si>
    <t>10777145</t>
  </si>
  <si>
    <t>546243492</t>
  </si>
  <si>
    <t>SA1710000011100054830007</t>
  </si>
  <si>
    <t>1088</t>
  </si>
  <si>
    <t>عطا بول انصاري</t>
  </si>
  <si>
    <t>2489500617</t>
  </si>
  <si>
    <t>10164446</t>
  </si>
  <si>
    <t>571279543</t>
  </si>
  <si>
    <t>atabulansari872@gmail.com</t>
  </si>
  <si>
    <t>SA1210000011100055854805</t>
  </si>
  <si>
    <t>1089</t>
  </si>
  <si>
    <t>كنانين سيس</t>
  </si>
  <si>
    <t>2489500120</t>
  </si>
  <si>
    <t>08969291</t>
  </si>
  <si>
    <t>0571167275</t>
  </si>
  <si>
    <t>kanianshekh@gmail.com</t>
  </si>
  <si>
    <t>SA0210000011100056362004</t>
  </si>
  <si>
    <t>1090</t>
  </si>
  <si>
    <t>شاة بران</t>
  </si>
  <si>
    <t>2485181958</t>
  </si>
  <si>
    <t>EB0198495</t>
  </si>
  <si>
    <t>580953940</t>
  </si>
  <si>
    <t>SA7810000011100076822204</t>
  </si>
  <si>
    <t>1091</t>
  </si>
  <si>
    <t>محمد مأمون حسين</t>
  </si>
  <si>
    <t>2479860054</t>
  </si>
  <si>
    <t>EK0613771</t>
  </si>
  <si>
    <t>571567902</t>
  </si>
  <si>
    <t>SA1910000011100077142105</t>
  </si>
  <si>
    <t>1092</t>
  </si>
  <si>
    <t>اسف علم كندي عبد الستار</t>
  </si>
  <si>
    <t>2489500823</t>
  </si>
  <si>
    <t>فني صيانة عام</t>
  </si>
  <si>
    <t>الصيانة</t>
  </si>
  <si>
    <t>W8055086</t>
  </si>
  <si>
    <t>568927450</t>
  </si>
  <si>
    <t>SA7410000011100054889509</t>
  </si>
  <si>
    <t>1093</t>
  </si>
  <si>
    <t>وسيم بري خان</t>
  </si>
  <si>
    <t>2489500757</t>
  </si>
  <si>
    <t>N9658973</t>
  </si>
  <si>
    <t>571289468</t>
  </si>
  <si>
    <t>SA9210000011100055043900</t>
  </si>
  <si>
    <t>1094</t>
  </si>
  <si>
    <t>بلال حوسان سيفال</t>
  </si>
  <si>
    <t>2484400953</t>
  </si>
  <si>
    <t>الأحساء</t>
  </si>
  <si>
    <t>الأندلس</t>
  </si>
  <si>
    <t>EA0446154</t>
  </si>
  <si>
    <t>542938750</t>
  </si>
  <si>
    <t>billalhossain765billal@gmail.com</t>
  </si>
  <si>
    <t>SA3110000011100077270705</t>
  </si>
  <si>
    <t>1095</t>
  </si>
  <si>
    <t>سري بيدان ساركار</t>
  </si>
  <si>
    <t>2484401118</t>
  </si>
  <si>
    <t>BQ0354233</t>
  </si>
  <si>
    <t>563443156</t>
  </si>
  <si>
    <t>bidansk36@gmail.com</t>
  </si>
  <si>
    <t>SA6410000011100075029508</t>
  </si>
  <si>
    <t>1096</t>
  </si>
  <si>
    <t>محمد أنس علي</t>
  </si>
  <si>
    <t>2484400714</t>
  </si>
  <si>
    <t>EA0038653</t>
  </si>
  <si>
    <t>543212928</t>
  </si>
  <si>
    <t>anashasas40@gmail.com</t>
  </si>
  <si>
    <t>SA4510000011100074459005</t>
  </si>
  <si>
    <t>1098</t>
  </si>
  <si>
    <t>محمد فاروق حسين</t>
  </si>
  <si>
    <t>2479860518</t>
  </si>
  <si>
    <t>لبن</t>
  </si>
  <si>
    <t>BT0428682</t>
  </si>
  <si>
    <t>571231266</t>
  </si>
  <si>
    <t>mdfaroukislam123456@gmail.com</t>
  </si>
  <si>
    <t>SA1810000011100083735601</t>
  </si>
  <si>
    <t>1099</t>
  </si>
  <si>
    <t>عبدالله الطحامي</t>
  </si>
  <si>
    <t>1011232413</t>
  </si>
  <si>
    <t>مدير التطوير</t>
  </si>
  <si>
    <t>التطوير</t>
  </si>
  <si>
    <t>دوام جزئي</t>
  </si>
  <si>
    <t>552470177</t>
  </si>
  <si>
    <t>abdullah.tahami@gmail.com</t>
  </si>
  <si>
    <t>SA1880000281608012009585</t>
  </si>
  <si>
    <t>1101</t>
  </si>
  <si>
    <t>فاطمة إبراهيم سعود العبودي</t>
  </si>
  <si>
    <t>1077000451</t>
  </si>
  <si>
    <t>533699224</t>
  </si>
  <si>
    <t>Toto200970@hotmail.com</t>
  </si>
  <si>
    <t>SA9580000614608016025973</t>
  </si>
  <si>
    <t>1103</t>
  </si>
  <si>
    <t>شهد سلطان عبدالرحمن الرزيحي</t>
  </si>
  <si>
    <t>1117511145</t>
  </si>
  <si>
    <t>موظف اداري</t>
  </si>
  <si>
    <t>موظف إداري</t>
  </si>
  <si>
    <t>503457812</t>
  </si>
  <si>
    <t>SA9780000195608010453673</t>
  </si>
  <si>
    <t>1104</t>
  </si>
  <si>
    <t>الهنوف خالد محمد الباحوث</t>
  </si>
  <si>
    <t>1103050892</t>
  </si>
  <si>
    <t>محاسب زبائن</t>
  </si>
  <si>
    <t>مدير فرع</t>
  </si>
  <si>
    <t>558298288</t>
  </si>
  <si>
    <t>alhanoufkhaled.1998@gmail.com</t>
  </si>
  <si>
    <t>SA9880000129608010968242</t>
  </si>
  <si>
    <t>1105</t>
  </si>
  <si>
    <t>حافظ محمد يحي حكمي</t>
  </si>
  <si>
    <t>1085804589</t>
  </si>
  <si>
    <t>مسؤول علاقات حكومية</t>
  </si>
  <si>
    <t>إداري</t>
  </si>
  <si>
    <t>التعقيب</t>
  </si>
  <si>
    <t>533899220</t>
  </si>
  <si>
    <t>hafed9977@gmail.com</t>
  </si>
  <si>
    <t>SA9110000022072191000102</t>
  </si>
  <si>
    <t>خارج الكفالة</t>
  </si>
  <si>
    <t>1106</t>
  </si>
  <si>
    <t>محمد عبدالمنعم السيد عرفه</t>
  </si>
  <si>
    <t>2105722603</t>
  </si>
  <si>
    <t>اختصاصي تسويق</t>
  </si>
  <si>
    <t>A28343325</t>
  </si>
  <si>
    <t>509194006</t>
  </si>
  <si>
    <t>1108</t>
  </si>
  <si>
    <t>عمر محمود محمد احمد</t>
  </si>
  <si>
    <t>2491844243</t>
  </si>
  <si>
    <t>محاسب</t>
  </si>
  <si>
    <t>A26294562</t>
  </si>
  <si>
    <t>507776126</t>
  </si>
  <si>
    <t>aboeloonomar0699@gmail.com</t>
  </si>
  <si>
    <t>SA4110000011100108382402</t>
  </si>
  <si>
    <t>1109</t>
  </si>
  <si>
    <t>احمد سمير محمود الجندى</t>
  </si>
  <si>
    <t>2495386662</t>
  </si>
  <si>
    <t>A26738530</t>
  </si>
  <si>
    <t>547388915</t>
  </si>
  <si>
    <t>SA6610000011100132459001</t>
  </si>
  <si>
    <t>1110</t>
  </si>
  <si>
    <t>خالد محمود لالديم</t>
  </si>
  <si>
    <t>باكستان</t>
  </si>
  <si>
    <t>2119480024</t>
  </si>
  <si>
    <t>كهربائي</t>
  </si>
  <si>
    <t>TM0156112</t>
  </si>
  <si>
    <t>551476846</t>
  </si>
  <si>
    <t>SA5310000035600000680600</t>
  </si>
  <si>
    <t>1111</t>
  </si>
  <si>
    <t>أبو طاهر أبو الحسم</t>
  </si>
  <si>
    <t>2477823666</t>
  </si>
  <si>
    <t>EJ0428203</t>
  </si>
  <si>
    <t>578524819</t>
  </si>
  <si>
    <t>at523695@gmail.com</t>
  </si>
  <si>
    <t>SA0410000011100077102605</t>
  </si>
  <si>
    <t>1112</t>
  </si>
  <si>
    <t>طه اسامه طه يسين</t>
  </si>
  <si>
    <t>2493819805</t>
  </si>
  <si>
    <t>A26972867</t>
  </si>
  <si>
    <t>509994264</t>
  </si>
  <si>
    <t>Tahaosama2932@gmail.com</t>
  </si>
  <si>
    <t>SA6710000011100123085000</t>
  </si>
  <si>
    <t>1113</t>
  </si>
  <si>
    <t>عمار عبدالغني صادق حمود الجعمي</t>
  </si>
  <si>
    <t>2498428230</t>
  </si>
  <si>
    <t>09234932</t>
  </si>
  <si>
    <t>506448971</t>
  </si>
  <si>
    <t>mar881860@gmail.com</t>
  </si>
  <si>
    <t>SA0680000216608016241572</t>
  </si>
  <si>
    <t>1114</t>
  </si>
  <si>
    <t>فواز سليمان صالح المريشد</t>
  </si>
  <si>
    <t>1074549708</t>
  </si>
  <si>
    <t>مدير شؤون الموظفين</t>
  </si>
  <si>
    <t>HR</t>
  </si>
  <si>
    <t>0530358600</t>
  </si>
  <si>
    <t>fawaz.s.1413@hotmail.com</t>
  </si>
  <si>
    <t>SA9780000168608010115135</t>
  </si>
  <si>
    <t>1115</t>
  </si>
  <si>
    <t>شير محمد قلشي</t>
  </si>
  <si>
    <t>2270266154</t>
  </si>
  <si>
    <t>عامل معماري</t>
  </si>
  <si>
    <t>CA0158403</t>
  </si>
  <si>
    <t>558598812</t>
  </si>
  <si>
    <t>1117</t>
  </si>
  <si>
    <t>منيرة شافي هضيبان النتيفات</t>
  </si>
  <si>
    <t>1111203160</t>
  </si>
  <si>
    <t>503889721</t>
  </si>
  <si>
    <t>monirashfi1@icloud.com</t>
  </si>
  <si>
    <t>SA1380000142608016001967</t>
  </si>
  <si>
    <t>1120</t>
  </si>
  <si>
    <t>أشواق سويد يحي قاصر</t>
  </si>
  <si>
    <t>1087203905</t>
  </si>
  <si>
    <t>0554585099</t>
  </si>
  <si>
    <t>ayq11@hotmail.com</t>
  </si>
  <si>
    <t>SA2780000221608010565474</t>
  </si>
  <si>
    <t>1122</t>
  </si>
  <si>
    <t>حصه خالد يوسف الزيد</t>
  </si>
  <si>
    <t>1082299536</t>
  </si>
  <si>
    <t>SA8110000024387390000104</t>
  </si>
  <si>
    <t>1124</t>
  </si>
  <si>
    <t>محمد عيضة عوض المالكي</t>
  </si>
  <si>
    <t>1117588747</t>
  </si>
  <si>
    <t>0509491204</t>
  </si>
  <si>
    <t>m.almalki20@hotmail.com</t>
  </si>
  <si>
    <t>SA5205000068202320872000</t>
  </si>
  <si>
    <t>1125</t>
  </si>
  <si>
    <t>محمد عبدالسلام محمد سيف العامري</t>
  </si>
  <si>
    <t>2500370032</t>
  </si>
  <si>
    <t>09369947</t>
  </si>
  <si>
    <t>0506336936</t>
  </si>
  <si>
    <t>am382450@gmail.com</t>
  </si>
  <si>
    <t>SA6310000011100262440704</t>
  </si>
  <si>
    <t>1127</t>
  </si>
  <si>
    <t>اسامه عبداللطيف عمر عبداللطيف</t>
  </si>
  <si>
    <t>2504344645</t>
  </si>
  <si>
    <t>A04239646</t>
  </si>
  <si>
    <t>0549025518</t>
  </si>
  <si>
    <t>osama.omar1251810@gmail.com</t>
  </si>
  <si>
    <t>SA2710000011100203065906</t>
  </si>
  <si>
    <t>1132</t>
  </si>
  <si>
    <t>عزالدين عبدالله موسي الفكي</t>
  </si>
  <si>
    <t>2505611299</t>
  </si>
  <si>
    <t>P07640930</t>
  </si>
  <si>
    <t>0531080629</t>
  </si>
  <si>
    <t>SA6080000165608016243538</t>
  </si>
  <si>
    <t>1133</t>
  </si>
  <si>
    <t>محسن يحي محسن عميسان</t>
  </si>
  <si>
    <t>2216941035</t>
  </si>
  <si>
    <t>سائق سيارة عمومي</t>
  </si>
  <si>
    <t>مدير إنتاج</t>
  </si>
  <si>
    <t>ورشة أثاث</t>
  </si>
  <si>
    <t>الأثاث</t>
  </si>
  <si>
    <t>03661794</t>
  </si>
  <si>
    <t>0532612444</t>
  </si>
  <si>
    <t>شركة أدفان للصناعة ( شركة شخص واحد )</t>
  </si>
  <si>
    <t>أدفان</t>
  </si>
  <si>
    <t>1135</t>
  </si>
  <si>
    <t>اسامه عبده احمد عبدالله العبادي</t>
  </si>
  <si>
    <t>2512494606</t>
  </si>
  <si>
    <t>عامل تصنيع</t>
  </si>
  <si>
    <t>معلم دهان</t>
  </si>
  <si>
    <t>09087598</t>
  </si>
  <si>
    <t>0577759016</t>
  </si>
  <si>
    <t>SA5810000011100272557700</t>
  </si>
  <si>
    <t>1137</t>
  </si>
  <si>
    <t>حسن عبده حزام عساج</t>
  </si>
  <si>
    <t>2516856826</t>
  </si>
  <si>
    <t>معلم بوية</t>
  </si>
  <si>
    <t>09582643</t>
  </si>
  <si>
    <t>0576498825</t>
  </si>
  <si>
    <t>SA9810000011100284037803</t>
  </si>
  <si>
    <t>1138</t>
  </si>
  <si>
    <t>محمد عمر سعد محمود</t>
  </si>
  <si>
    <t>2483331274</t>
  </si>
  <si>
    <t>معلم حدادة</t>
  </si>
  <si>
    <t>A26239013</t>
  </si>
  <si>
    <t>0581601215</t>
  </si>
  <si>
    <t>SA2280000119608016224600</t>
  </si>
  <si>
    <t>1139</t>
  </si>
  <si>
    <t>صالحه علي أحمد هزازي</t>
  </si>
  <si>
    <t>1113117053</t>
  </si>
  <si>
    <t>0536149156</t>
  </si>
  <si>
    <t>salihah1422@icloud.com</t>
  </si>
  <si>
    <t>SA9380000365608010878253</t>
  </si>
  <si>
    <t>1140</t>
  </si>
  <si>
    <t>علي سمير حسن</t>
  </si>
  <si>
    <t>2514045612</t>
  </si>
  <si>
    <t>مشغل آلة قص ورق</t>
  </si>
  <si>
    <t>0534544960</t>
  </si>
  <si>
    <t>alisamir8878@gmail.com</t>
  </si>
  <si>
    <t>SA4210000011100239994506</t>
  </si>
  <si>
    <t>1141</t>
  </si>
  <si>
    <t>أحمد جابر احمد مدكور</t>
  </si>
  <si>
    <t>2514039698</t>
  </si>
  <si>
    <t>مشغل ألة تصنيع ورق</t>
  </si>
  <si>
    <t>مهندس انتاج</t>
  </si>
  <si>
    <t>0534529454</t>
  </si>
  <si>
    <t>ahmedwadam313@gmail.com</t>
  </si>
  <si>
    <t>SA9580000195608016091931</t>
  </si>
  <si>
    <t>1142</t>
  </si>
  <si>
    <t>معتز عصام الصافي الرضي</t>
  </si>
  <si>
    <t>2503035392</t>
  </si>
  <si>
    <t>P07109733</t>
  </si>
  <si>
    <t>0500930568</t>
  </si>
  <si>
    <t>motazessam557@gmail.com</t>
  </si>
  <si>
    <t>SA1310000083800000649907</t>
  </si>
  <si>
    <t>1143</t>
  </si>
  <si>
    <t>AMIR ALAM WARKOTAY KHAN</t>
  </si>
  <si>
    <t>2487643674</t>
  </si>
  <si>
    <t>خاص عم سلطان</t>
  </si>
  <si>
    <t>AY1752873</t>
  </si>
  <si>
    <t>0551200277</t>
  </si>
  <si>
    <t>SA7480000614608016164285</t>
  </si>
  <si>
    <t>خاص</t>
  </si>
  <si>
    <t>1144</t>
  </si>
  <si>
    <t>صالحة محمد أحمد عتين</t>
  </si>
  <si>
    <t>1069605119</t>
  </si>
  <si>
    <t>0538970747</t>
  </si>
  <si>
    <t>aslkjpqaap@icloud.com</t>
  </si>
  <si>
    <t>SA7205000068200228861000</t>
  </si>
  <si>
    <t>1145</t>
  </si>
  <si>
    <t>مرام عبدالوهاب الخولاني</t>
  </si>
  <si>
    <t>2373237367</t>
  </si>
  <si>
    <t>تابع</t>
  </si>
  <si>
    <t>تسويق</t>
  </si>
  <si>
    <t>0504443853</t>
  </si>
  <si>
    <t>SA2080000149608010405852</t>
  </si>
  <si>
    <t>1146</t>
  </si>
  <si>
    <t>مشاعل زيد زيدان الهلالي</t>
  </si>
  <si>
    <t>1081911024</t>
  </si>
  <si>
    <t>أخصائي دعم فني</t>
  </si>
  <si>
    <t>0550779449</t>
  </si>
  <si>
    <t>mish.alhilali@gmail.com</t>
  </si>
  <si>
    <t>SA5710000023286032000106</t>
  </si>
  <si>
    <t>SNB</t>
  </si>
  <si>
    <t>1148</t>
  </si>
  <si>
    <t>مرام ناصر عبدالرحمن السلمان</t>
  </si>
  <si>
    <t>1095041834</t>
  </si>
  <si>
    <t>0507606173</t>
  </si>
  <si>
    <t>maram202_5@hotmail.com</t>
  </si>
  <si>
    <t>SA9380000282608016102070</t>
  </si>
  <si>
    <t>1149</t>
  </si>
  <si>
    <t>أميرة احمد محمد السميح</t>
  </si>
  <si>
    <t>1110338876</t>
  </si>
  <si>
    <t>0546143269</t>
  </si>
  <si>
    <t>ameerh_sm3@hotmail.com</t>
  </si>
  <si>
    <t>SA6480000216608010446136</t>
  </si>
  <si>
    <t>1150</t>
  </si>
  <si>
    <t>نوره عبدالعزيز حسين ابوساق</t>
  </si>
  <si>
    <t>1022148199</t>
  </si>
  <si>
    <t>0551680973</t>
  </si>
  <si>
    <t>nourhase@gmail.com</t>
  </si>
  <si>
    <t>SA8880000282608010554342</t>
  </si>
  <si>
    <t>1151</t>
  </si>
  <si>
    <t>ريم عبدالعزيز حسين أبوساق</t>
  </si>
  <si>
    <t>1054822943</t>
  </si>
  <si>
    <t>0530672998</t>
  </si>
  <si>
    <t>REEM-A_444@hotmail.com</t>
  </si>
  <si>
    <t>SA1120000001763292629940</t>
  </si>
  <si>
    <t>1152</t>
  </si>
  <si>
    <t>سجاء علي عبدالله المحيميد</t>
  </si>
  <si>
    <t>1108055201</t>
  </si>
  <si>
    <t>0550867102</t>
  </si>
  <si>
    <t>sajaa2s1a@gmail.com</t>
  </si>
  <si>
    <t>SA4780000210608016191179</t>
  </si>
  <si>
    <t>1153</t>
  </si>
  <si>
    <t>سارة عدنان علي الصالح</t>
  </si>
  <si>
    <t>1109675643</t>
  </si>
  <si>
    <t>0569220259</t>
  </si>
  <si>
    <t>ba83426@gmail.com</t>
  </si>
  <si>
    <t>SA7110000011100135935003</t>
  </si>
  <si>
    <t>1155</t>
  </si>
  <si>
    <t>ساره ناصر سليمان الوهيبي</t>
  </si>
  <si>
    <t>1110563218</t>
  </si>
  <si>
    <t>مندوب خدمات سلعية</t>
  </si>
  <si>
    <t>مندوب خدمات سلعيه</t>
  </si>
  <si>
    <t>0551236589</t>
  </si>
  <si>
    <t>sara.nasser.w@gmail.com</t>
  </si>
  <si>
    <t>SA6980000602608016014625</t>
  </si>
  <si>
    <t>1156</t>
  </si>
  <si>
    <t>هديل سليمان صالح المريشد</t>
  </si>
  <si>
    <t>1060137807</t>
  </si>
  <si>
    <t>0557455703</t>
  </si>
  <si>
    <t>Saleh.s1411@jotmail.com</t>
  </si>
  <si>
    <t>SA4980000282608016169210</t>
  </si>
  <si>
    <t>1157</t>
  </si>
  <si>
    <t>نور محمد حسين الحدب</t>
  </si>
  <si>
    <t>1093007274</t>
  </si>
  <si>
    <t>0553761389</t>
  </si>
  <si>
    <t>nwr10427@gmail.com</t>
  </si>
  <si>
    <t>SA0880000210608010772297</t>
  </si>
  <si>
    <t>1158</t>
  </si>
  <si>
    <t>محمد كوثر</t>
  </si>
  <si>
    <t>2432559835</t>
  </si>
  <si>
    <t>خاص المدير العام</t>
  </si>
  <si>
    <t>0531002887</t>
  </si>
  <si>
    <t>SA1080000210608016175743</t>
  </si>
  <si>
    <t>1162</t>
  </si>
  <si>
    <t>ريم عبدالرحمن صالح الفنتوخ</t>
  </si>
  <si>
    <t>1109349900</t>
  </si>
  <si>
    <t>0566403050</t>
  </si>
  <si>
    <t>Reemalfantookh11@gmail.com</t>
  </si>
  <si>
    <t>SA1680000355608016939341</t>
  </si>
  <si>
    <t>1163</t>
  </si>
  <si>
    <t>لطيفه عبدالله عبدالرحمن رشيد</t>
  </si>
  <si>
    <t>1048011967</t>
  </si>
  <si>
    <t>0505451141</t>
  </si>
  <si>
    <t>mngaou_f.s.m@hotmail.com</t>
  </si>
  <si>
    <t>SA3980000369608010459209</t>
  </si>
  <si>
    <t>1165</t>
  </si>
  <si>
    <t>رفاه ماطر علي اليامي</t>
  </si>
  <si>
    <t>1123245985</t>
  </si>
  <si>
    <t>0554613875</t>
  </si>
  <si>
    <t>rfaa48761@gmail.com</t>
  </si>
  <si>
    <t>SA5580000101608016395335</t>
  </si>
  <si>
    <t>1166</t>
  </si>
  <si>
    <t>مرسلين مد شفيق الإسلام</t>
  </si>
  <si>
    <t>2515596159</t>
  </si>
  <si>
    <t>عامل تعبئة وتغليف</t>
  </si>
  <si>
    <t>A02081039</t>
  </si>
  <si>
    <t>0566539217</t>
  </si>
  <si>
    <t>Mursalin3933@gmail.com</t>
  </si>
  <si>
    <t>SA0310000011100257329205</t>
  </si>
  <si>
    <t>1167</t>
  </si>
  <si>
    <t>حمزه قايد غالب المليكي</t>
  </si>
  <si>
    <t>2516201304</t>
  </si>
  <si>
    <t>9653029</t>
  </si>
  <si>
    <t>0548170975</t>
  </si>
  <si>
    <t>h77157706@gmail.com</t>
  </si>
  <si>
    <t>SA6410000011100279373103</t>
  </si>
  <si>
    <t>1168</t>
  </si>
  <si>
    <t>ليون مياه</t>
  </si>
  <si>
    <t>2517041469</t>
  </si>
  <si>
    <t>عامل تنظيف ادوات مطبخ</t>
  </si>
  <si>
    <t>عامل نظافة</t>
  </si>
  <si>
    <t>0573366943</t>
  </si>
  <si>
    <t>SA3310000011100305028706</t>
  </si>
  <si>
    <t>1169</t>
  </si>
  <si>
    <t>مد راسل</t>
  </si>
  <si>
    <t>2515528798</t>
  </si>
  <si>
    <t>عامل مطبخ</t>
  </si>
  <si>
    <t>بيتزا وباستا</t>
  </si>
  <si>
    <t>SA2320000009326009909940</t>
  </si>
  <si>
    <t>1170</t>
  </si>
  <si>
    <t>ياسين عرفات</t>
  </si>
  <si>
    <t>2499273106</t>
  </si>
  <si>
    <t>SA3230100942000141797746</t>
  </si>
  <si>
    <t>1171</t>
  </si>
  <si>
    <t>صفايات حسين</t>
  </si>
  <si>
    <t>2524334816</t>
  </si>
  <si>
    <t>SA8780000369608016199775</t>
  </si>
  <si>
    <t>1172</t>
  </si>
  <si>
    <t>نجود محمد جبران سفياني</t>
  </si>
  <si>
    <t>1118210655</t>
  </si>
  <si>
    <t>0550606623</t>
  </si>
  <si>
    <t>njoud2037@gmai.com</t>
  </si>
  <si>
    <t>SA8080000282608013215487</t>
  </si>
  <si>
    <t>1173</t>
  </si>
  <si>
    <t>اسامه عبدالقوي محسن احمد القاضي</t>
  </si>
  <si>
    <t>2516038847</t>
  </si>
  <si>
    <t>08841715</t>
  </si>
  <si>
    <t>0552804955</t>
  </si>
  <si>
    <t>osamaooko12@gmail.com</t>
  </si>
  <si>
    <t>SA4010000011100266505806</t>
  </si>
  <si>
    <t>1176</t>
  </si>
  <si>
    <t>سويل كمال أوسين</t>
  </si>
  <si>
    <t>2508671605</t>
  </si>
  <si>
    <t>0582840488</t>
  </si>
  <si>
    <t>SA9810000009800001301104</t>
  </si>
  <si>
    <t>1177</t>
  </si>
  <si>
    <t>محفوظ ال رحمان</t>
  </si>
  <si>
    <t>2506547484</t>
  </si>
  <si>
    <t>عامل تنظيف أدوات مطبخ</t>
  </si>
  <si>
    <t>النظافة</t>
  </si>
  <si>
    <t>SA2320000009326016699940</t>
  </si>
  <si>
    <t>1178</t>
  </si>
  <si>
    <t>محمد حمود محمد علي الراعي</t>
  </si>
  <si>
    <t>2508510282</t>
  </si>
  <si>
    <t>سائق</t>
  </si>
  <si>
    <t>10428783</t>
  </si>
  <si>
    <t>0500533812</t>
  </si>
  <si>
    <t>SA2310000011100279830808</t>
  </si>
  <si>
    <t>1181</t>
  </si>
  <si>
    <t>أحمد سليمان محمد عبد المنعم</t>
  </si>
  <si>
    <t>2375402035</t>
  </si>
  <si>
    <t>نجار مباني عام</t>
  </si>
  <si>
    <t>أخصائي موارد بشرية</t>
  </si>
  <si>
    <t>A12754485</t>
  </si>
  <si>
    <t>0530984052</t>
  </si>
  <si>
    <t>SA1020000009623455819940</t>
  </si>
  <si>
    <t>1182</t>
  </si>
  <si>
    <t>مد زكريا مد ربي الله</t>
  </si>
  <si>
    <t>2438036549</t>
  </si>
  <si>
    <t>0578680672</t>
  </si>
  <si>
    <t>m809957641994@gmail.com</t>
  </si>
  <si>
    <t>SA3310000011100278424807</t>
  </si>
  <si>
    <t>1183</t>
  </si>
  <si>
    <t>زكرياء تعلي</t>
  </si>
  <si>
    <t>المغرب</t>
  </si>
  <si>
    <t>2525764342</t>
  </si>
  <si>
    <t>صانع حلوي</t>
  </si>
  <si>
    <t>صائع حلويات</t>
  </si>
  <si>
    <t>WT2459704</t>
  </si>
  <si>
    <t>0532949673</t>
  </si>
  <si>
    <t>zakariataalla287@gmail.com</t>
  </si>
  <si>
    <t>SA5610000011100277842102</t>
  </si>
  <si>
    <t>1184</t>
  </si>
  <si>
    <t>يوسف ناجي حزام فازع</t>
  </si>
  <si>
    <t>2517808057</t>
  </si>
  <si>
    <t>مصمم جرافيك</t>
  </si>
  <si>
    <t>09978841</t>
  </si>
  <si>
    <t>0570333542</t>
  </si>
  <si>
    <t>yousiffazaa84@gmail.com</t>
  </si>
  <si>
    <t>SA9580000614608016144022</t>
  </si>
  <si>
    <t>1185</t>
  </si>
  <si>
    <t>سيف الدين مصطفي معوض محمد</t>
  </si>
  <si>
    <t>2484780040</t>
  </si>
  <si>
    <t>مدير التسويق</t>
  </si>
  <si>
    <t>0549040268</t>
  </si>
  <si>
    <t>seifbob2020@gmail.com</t>
  </si>
  <si>
    <t>SA5280000108608016059322</t>
  </si>
  <si>
    <t>1186</t>
  </si>
  <si>
    <t>ميد أنعام ال حقي</t>
  </si>
  <si>
    <t>2493363184</t>
  </si>
  <si>
    <t>SA8720000009326010569940</t>
  </si>
  <si>
    <t>1187</t>
  </si>
  <si>
    <t>مد إبراهيم هارون رشيد</t>
  </si>
  <si>
    <t>2516497266</t>
  </si>
  <si>
    <t>0531647172</t>
  </si>
  <si>
    <t>ibrahimmjir1000@gmail.com</t>
  </si>
  <si>
    <t>SA2030100942000126163308</t>
  </si>
  <si>
    <t>1188</t>
  </si>
  <si>
    <t>نازميل حسين حسين حسين</t>
  </si>
  <si>
    <t>2508788656</t>
  </si>
  <si>
    <t>0576687863</t>
  </si>
  <si>
    <t>nazmulhossain199800@gmail.com</t>
  </si>
  <si>
    <t>SA6710000011100242375309</t>
  </si>
  <si>
    <t>1189</t>
  </si>
  <si>
    <t>مصعب سلطان عبدالرحمن الرزيحي</t>
  </si>
  <si>
    <t>1105768467</t>
  </si>
  <si>
    <t>0558077067</t>
  </si>
  <si>
    <t>195000010006080660004</t>
  </si>
  <si>
    <t>1190</t>
  </si>
  <si>
    <t>منصور آيت بلكوهية</t>
  </si>
  <si>
    <t>2544512201</t>
  </si>
  <si>
    <t>خباز حلويات</t>
  </si>
  <si>
    <t>0578657739</t>
  </si>
  <si>
    <t>mansouraitbelkouhia@gmail.com</t>
  </si>
  <si>
    <t>SA1810000037400000410801</t>
  </si>
  <si>
    <t>1191</t>
  </si>
  <si>
    <t>JASHIM UDDIN</t>
  </si>
  <si>
    <t>2487151835</t>
  </si>
  <si>
    <t>EE0391805</t>
  </si>
  <si>
    <t>0572520564</t>
  </si>
  <si>
    <t>SA3910000011100097467901</t>
  </si>
  <si>
    <t>1193</t>
  </si>
  <si>
    <t>طارق محمد محمد علوان الخضر</t>
  </si>
  <si>
    <t>2524767692</t>
  </si>
  <si>
    <t>0532850301</t>
  </si>
  <si>
    <t>Tarqlwan465@gmail.com</t>
  </si>
  <si>
    <t>SA2010000011100293768307</t>
  </si>
  <si>
    <t>1195</t>
  </si>
  <si>
    <t>فهد محمد نايف الميموني المطيري</t>
  </si>
  <si>
    <t>1115522581</t>
  </si>
  <si>
    <t>بائع مأكولات ومشروبات</t>
  </si>
  <si>
    <t>بارستا</t>
  </si>
  <si>
    <t>0536720677</t>
  </si>
  <si>
    <t>fahd.1423@hotmail.com</t>
  </si>
  <si>
    <t>SA2280000396608016001424</t>
  </si>
  <si>
    <t>1197</t>
  </si>
  <si>
    <t>محمد مطلق نائف النفيعي العتيبي</t>
  </si>
  <si>
    <t>1118122355</t>
  </si>
  <si>
    <t>0503088133</t>
  </si>
  <si>
    <t>grandizer20@gmail.com</t>
  </si>
  <si>
    <t>SA9880000216608016054355</t>
  </si>
  <si>
    <t>1201</t>
  </si>
  <si>
    <t>جاسم عبدالكريم محمد قميش</t>
  </si>
  <si>
    <t>1124287820</t>
  </si>
  <si>
    <t>0544694507</t>
  </si>
  <si>
    <t>sredq132@gmail.com</t>
  </si>
  <si>
    <t>SA1980000369608016034741</t>
  </si>
  <si>
    <t>1204</t>
  </si>
  <si>
    <t>جهاد سعد محمد العشبي</t>
  </si>
  <si>
    <t>2557757784</t>
  </si>
  <si>
    <t>عامل تجميع أثاث</t>
  </si>
  <si>
    <t>مشرف انتاج</t>
  </si>
  <si>
    <t>0501903280</t>
  </si>
  <si>
    <t>jhada7689@gmail.com</t>
  </si>
  <si>
    <t>1206</t>
  </si>
  <si>
    <t>حسين علي محمد علي</t>
  </si>
  <si>
    <t>2444716753</t>
  </si>
  <si>
    <t>0504889181</t>
  </si>
  <si>
    <t>afjjfdvjhggu@gmail.com</t>
  </si>
  <si>
    <t>SA8010000011100386687601</t>
  </si>
  <si>
    <t>1208</t>
  </si>
  <si>
    <t>عبد الاله محسن هزاع ناجي</t>
  </si>
  <si>
    <t>2508377971</t>
  </si>
  <si>
    <t>0571825723</t>
  </si>
  <si>
    <t>SA2410000011100343249002</t>
  </si>
  <si>
    <t>1210</t>
  </si>
  <si>
    <t>محمد نجيب علي اليافعي</t>
  </si>
  <si>
    <t>2523643985</t>
  </si>
  <si>
    <t>مساعد نجار</t>
  </si>
  <si>
    <t>0571945436</t>
  </si>
  <si>
    <t>1212</t>
  </si>
  <si>
    <t>خالد علي احمد الخطيب</t>
  </si>
  <si>
    <t>2306440112</t>
  </si>
  <si>
    <t>عامل تشطيب</t>
  </si>
  <si>
    <t>0542073194</t>
  </si>
  <si>
    <t>SA5580000370608010325399</t>
  </si>
  <si>
    <t>1213</t>
  </si>
  <si>
    <t>جميل يحي محسن عميسان</t>
  </si>
  <si>
    <t>2292393333</t>
  </si>
  <si>
    <t>مسؤول استلام الطلبيات</t>
  </si>
  <si>
    <t>عقد أجير</t>
  </si>
  <si>
    <t>0558619250</t>
  </si>
  <si>
    <t>SA5610000011100092397502</t>
  </si>
  <si>
    <t>اجير</t>
  </si>
  <si>
    <t>أجير</t>
  </si>
  <si>
    <t>1214</t>
  </si>
  <si>
    <t>علاء أبو السعود محمد عبدالجواد</t>
  </si>
  <si>
    <t>2301534695</t>
  </si>
  <si>
    <t>0566468114</t>
  </si>
  <si>
    <t>alaaabouelseoud48@gmail.com</t>
  </si>
  <si>
    <t>SA7610000011100219943509</t>
  </si>
  <si>
    <t>1215</t>
  </si>
  <si>
    <t>سكينة ناجي منصور الحرز</t>
  </si>
  <si>
    <t>1002997326</t>
  </si>
  <si>
    <t>0559283598</t>
  </si>
  <si>
    <t>herzsakinah@gmail.com</t>
  </si>
  <si>
    <t>SA1310000008249599000110</t>
  </si>
  <si>
    <t>1218</t>
  </si>
  <si>
    <t>كليم حسين أي بي رشيد</t>
  </si>
  <si>
    <t>2523299143</t>
  </si>
  <si>
    <t>SA1205000068204266328000</t>
  </si>
  <si>
    <t>1219</t>
  </si>
  <si>
    <t>جايد حسن</t>
  </si>
  <si>
    <t>2521145389</t>
  </si>
  <si>
    <t>A02027389</t>
  </si>
  <si>
    <t>0577349281</t>
  </si>
  <si>
    <t>Shantomiji96@gmail.com</t>
  </si>
  <si>
    <t>SA7120000009325647139940</t>
  </si>
  <si>
    <t>1220</t>
  </si>
  <si>
    <t>مد جمال أوسين</t>
  </si>
  <si>
    <t>2516365471</t>
  </si>
  <si>
    <t>قهوجي</t>
  </si>
  <si>
    <t>A02490031</t>
  </si>
  <si>
    <t>0531635824</t>
  </si>
  <si>
    <t>mdjamalhossen202020@gmail.com</t>
  </si>
  <si>
    <t>SA6730100942000126163335</t>
  </si>
  <si>
    <t>1221</t>
  </si>
  <si>
    <t>محمد طارق مد مياه</t>
  </si>
  <si>
    <t>2514860937</t>
  </si>
  <si>
    <t>A00668911</t>
  </si>
  <si>
    <t>0566420372</t>
  </si>
  <si>
    <t>jexahmed86@gmail.com</t>
  </si>
  <si>
    <t>SA8730100942000140807259</t>
  </si>
  <si>
    <t>1222</t>
  </si>
  <si>
    <t>رافت رافت حسين حسين</t>
  </si>
  <si>
    <t>2522513858</t>
  </si>
  <si>
    <t>اكليريزيه</t>
  </si>
  <si>
    <t>SA1730100942000144655539</t>
  </si>
  <si>
    <t>1223</t>
  </si>
  <si>
    <t>عبدالعزيز عبدالواحد لطف الشلفي</t>
  </si>
  <si>
    <t>2479933422</t>
  </si>
  <si>
    <t>الحركة</t>
  </si>
  <si>
    <t>0551881952</t>
  </si>
  <si>
    <t>SA3510000011100149733610</t>
  </si>
  <si>
    <t>نوف سلطان الرزيحي</t>
  </si>
  <si>
    <t>1225</t>
  </si>
  <si>
    <t>غيداء سليمان صالح المريشد</t>
  </si>
  <si>
    <t>1117758530</t>
  </si>
  <si>
    <t>SA1480000369608010840093</t>
  </si>
  <si>
    <t>1226</t>
  </si>
  <si>
    <t>محمد المبارك ( أبو سامي)</t>
  </si>
  <si>
    <t>SA2110000023500000302608</t>
  </si>
  <si>
    <t>1227</t>
  </si>
  <si>
    <t>محمد ريدوري</t>
  </si>
  <si>
    <t>2522194626</t>
  </si>
  <si>
    <t>عامل كاونتر مأكولات ومشروبات</t>
  </si>
  <si>
    <t>SA4030100942000139134661</t>
  </si>
  <si>
    <t>1228</t>
  </si>
  <si>
    <t>مد تان</t>
  </si>
  <si>
    <t>2526581166</t>
  </si>
  <si>
    <t>مظبوط الشاي</t>
  </si>
  <si>
    <t>SA5910000011100307777509</t>
  </si>
  <si>
    <t>1229</t>
  </si>
  <si>
    <t>عريف الرحمن</t>
  </si>
  <si>
    <t>2518494626</t>
  </si>
  <si>
    <t>SA9230100942000142287680</t>
  </si>
  <si>
    <t>1230</t>
  </si>
  <si>
    <t>رياض أوسين</t>
  </si>
  <si>
    <t>2525137192</t>
  </si>
  <si>
    <t>0577920397</t>
  </si>
  <si>
    <t>mdriadmdriad40@gmail.com</t>
  </si>
  <si>
    <t>SA4805000068204202267000</t>
  </si>
  <si>
    <t>1231</t>
  </si>
  <si>
    <t>يعقوب نبي</t>
  </si>
  <si>
    <t>2521033999</t>
  </si>
  <si>
    <t>mdkalimulla46@gmail.com</t>
  </si>
  <si>
    <t>SA8120000009326017479940</t>
  </si>
  <si>
    <t>1232</t>
  </si>
  <si>
    <t>مسعود علام</t>
  </si>
  <si>
    <t>2522117650</t>
  </si>
  <si>
    <t>0576250641</t>
  </si>
  <si>
    <t>alommasud771@gmail.com</t>
  </si>
  <si>
    <t>SA0630100942000139139444</t>
  </si>
  <si>
    <t>1233</t>
  </si>
  <si>
    <t>حبيب آل ارحمن</t>
  </si>
  <si>
    <t>2522117726</t>
  </si>
  <si>
    <t>0539121735</t>
  </si>
  <si>
    <t>sabbirrahmanpubg@gmail.com</t>
  </si>
  <si>
    <t>SA6480000127608016048165</t>
  </si>
  <si>
    <t>1234</t>
  </si>
  <si>
    <t>فيصل عيضه عوض الوهبي المالكي</t>
  </si>
  <si>
    <t>1090338755</t>
  </si>
  <si>
    <t>0507642672</t>
  </si>
  <si>
    <t>faisal3996@hotmail.com</t>
  </si>
  <si>
    <t>SA1505000068201042764000</t>
  </si>
  <si>
    <t>1237</t>
  </si>
  <si>
    <t>فاطمة إبراهيم حدور ال عيسى</t>
  </si>
  <si>
    <t>1082731298</t>
  </si>
  <si>
    <t>امين صندوق</t>
  </si>
  <si>
    <t>0535213543</t>
  </si>
  <si>
    <t>rwwj017@gmail.com</t>
  </si>
  <si>
    <t>SA4680000221608010777368</t>
  </si>
  <si>
    <t>1239</t>
  </si>
  <si>
    <t>جابر محمد ناجي علي مراد</t>
  </si>
  <si>
    <t>2532058480</t>
  </si>
  <si>
    <t>0590919657</t>
  </si>
  <si>
    <t>gaber58480@gmail.com</t>
  </si>
  <si>
    <t>SA9580000537608016049514</t>
  </si>
  <si>
    <t>1240</t>
  </si>
  <si>
    <t>كريم مجد علي عباس</t>
  </si>
  <si>
    <t>4803364852</t>
  </si>
  <si>
    <t>حداد</t>
  </si>
  <si>
    <t>1241</t>
  </si>
  <si>
    <t>خليل نجيب اليافعي</t>
  </si>
  <si>
    <t>4769674989</t>
  </si>
  <si>
    <t>0570646581</t>
  </si>
  <si>
    <t>تاريخ الالتحاق للمرة الثانية 27-05-2023</t>
  </si>
  <si>
    <t>1244</t>
  </si>
  <si>
    <t>عمر عبد القادر حسن</t>
  </si>
  <si>
    <t>0501412949</t>
  </si>
  <si>
    <t>SA6380000157608016014285</t>
  </si>
  <si>
    <t>1250</t>
  </si>
  <si>
    <t>ريناد العمري</t>
  </si>
  <si>
    <t>مصور فيديو</t>
  </si>
  <si>
    <t>0509241902</t>
  </si>
  <si>
    <t>rinadali33@gmail.com</t>
  </si>
  <si>
    <t>SA4580000251608010240543</t>
  </si>
  <si>
    <t>1251</t>
  </si>
  <si>
    <t>أحمد السيد</t>
  </si>
  <si>
    <t>مصمم بوستات</t>
  </si>
  <si>
    <t>+201277800074</t>
  </si>
  <si>
    <t>تحويل دولي</t>
  </si>
  <si>
    <t>1252</t>
  </si>
  <si>
    <t>مد لامين</t>
  </si>
  <si>
    <t>2528211788</t>
  </si>
  <si>
    <t>عامل تنظيف مكاتب منشأت</t>
  </si>
  <si>
    <t>0571961171</t>
  </si>
  <si>
    <t>alaminsheikh3850@gmail.com</t>
  </si>
  <si>
    <t>SA3010000011100329539108</t>
  </si>
  <si>
    <t>1254</t>
  </si>
  <si>
    <t>نوف حسن عبدالله بن قعود</t>
  </si>
  <si>
    <t>1084424330</t>
  </si>
  <si>
    <t>أخصائي تسويق</t>
  </si>
  <si>
    <t>0552441986</t>
  </si>
  <si>
    <t>n_1414_n@hotmail.com</t>
  </si>
  <si>
    <t>SA6680000195608016000303</t>
  </si>
  <si>
    <t>1258</t>
  </si>
  <si>
    <t>نظم أل حسن</t>
  </si>
  <si>
    <t>2527261321</t>
  </si>
  <si>
    <t>A02049572</t>
  </si>
  <si>
    <t>0546968690</t>
  </si>
  <si>
    <t>nh938492@gmail.com</t>
  </si>
  <si>
    <t>SA7930100942000139851856</t>
  </si>
  <si>
    <t>1259</t>
  </si>
  <si>
    <t>2529330140</t>
  </si>
  <si>
    <t>mohammadkeuser445@gmail.com</t>
  </si>
  <si>
    <t>SA6030100942000141791034</t>
  </si>
  <si>
    <t>1260</t>
  </si>
  <si>
    <t>محمود حسن</t>
  </si>
  <si>
    <t>2527261222</t>
  </si>
  <si>
    <t>A029053340</t>
  </si>
  <si>
    <t>dulal4321hossen@gmail.com</t>
  </si>
  <si>
    <t>SA5830100942000141373485</t>
  </si>
  <si>
    <t>1261</t>
  </si>
  <si>
    <t>مد طارق</t>
  </si>
  <si>
    <t>2529318855</t>
  </si>
  <si>
    <t>A03430680</t>
  </si>
  <si>
    <t>0541619157</t>
  </si>
  <si>
    <t>tarekazizjhony@gmail.com</t>
  </si>
  <si>
    <t>SA8980000614608016160523</t>
  </si>
  <si>
    <t>1263</t>
  </si>
  <si>
    <t>شكيل كازي</t>
  </si>
  <si>
    <t>2529318863</t>
  </si>
  <si>
    <t>BT0040978</t>
  </si>
  <si>
    <t>salimmohammed1678@gmail.com</t>
  </si>
  <si>
    <t>SA4980000640608017573136</t>
  </si>
  <si>
    <t>1265</t>
  </si>
  <si>
    <t>نادر محمد عبدالله احمد السامعي</t>
  </si>
  <si>
    <t>2532609720</t>
  </si>
  <si>
    <t>نجار أثاث</t>
  </si>
  <si>
    <t>0577036706</t>
  </si>
  <si>
    <t>abwqsyasamy80@gmail.com</t>
  </si>
  <si>
    <t>1267</t>
  </si>
  <si>
    <t>محمد سيد عبدالعظيم سليمان</t>
  </si>
  <si>
    <t>2495925618</t>
  </si>
  <si>
    <t>0593119252</t>
  </si>
  <si>
    <t>melsayad555882@gmail.com</t>
  </si>
  <si>
    <t>SA3680000660608016045008</t>
  </si>
  <si>
    <t>1268</t>
  </si>
  <si>
    <t>أحمد صبري محمد جعلوص</t>
  </si>
  <si>
    <t>2400293862</t>
  </si>
  <si>
    <t>مدقق حسابات</t>
  </si>
  <si>
    <t>0549499140</t>
  </si>
  <si>
    <t>Ahmedgaalous@gmail.com</t>
  </si>
  <si>
    <t>SA3905000068202170976000</t>
  </si>
  <si>
    <t>1272</t>
  </si>
  <si>
    <t>سعد محمد ردعان القرني</t>
  </si>
  <si>
    <t>1030121915</t>
  </si>
  <si>
    <t>رئيس تنفيذي</t>
  </si>
  <si>
    <t>0532224660</t>
  </si>
  <si>
    <t>saad.q.10@hotmail.com</t>
  </si>
  <si>
    <t>SA4605000068201595917000</t>
  </si>
  <si>
    <t>شركة نكهات مختصة للتجارة</t>
  </si>
  <si>
    <t>1274</t>
  </si>
  <si>
    <t>منصور  محمد يحي حكمي</t>
  </si>
  <si>
    <t>1122136961</t>
  </si>
  <si>
    <t>0501615811</t>
  </si>
  <si>
    <t>SA8980000448608016052326</t>
  </si>
  <si>
    <t>1276</t>
  </si>
  <si>
    <t>احمد محمد علي احمد العبدلي</t>
  </si>
  <si>
    <t>2440678429</t>
  </si>
  <si>
    <t>إدارة الكافية</t>
  </si>
  <si>
    <t>0557594096</t>
  </si>
  <si>
    <t>Ahmedalabdli4@gmail.com</t>
  </si>
  <si>
    <t>SA9580000475608016309276</t>
  </si>
  <si>
    <t>1277</t>
  </si>
  <si>
    <t>منى احمد محمد السميح</t>
  </si>
  <si>
    <t>1110338900</t>
  </si>
  <si>
    <t>SA0580000216608010676021</t>
  </si>
  <si>
    <t>1280</t>
  </si>
  <si>
    <t>بياترس دينا منيازي</t>
  </si>
  <si>
    <t>كينيا</t>
  </si>
  <si>
    <t>2532701600</t>
  </si>
  <si>
    <t>عامل منزلي</t>
  </si>
  <si>
    <t>خاص المالك</t>
  </si>
  <si>
    <t>نوره علي محمد الرزيحي</t>
  </si>
  <si>
    <t>1281</t>
  </si>
  <si>
    <t>اصيل عبدالله علي احمد</t>
  </si>
  <si>
    <t>2537368140</t>
  </si>
  <si>
    <t>0545100535</t>
  </si>
  <si>
    <t>SA2710000011100343240800</t>
  </si>
  <si>
    <t>1284</t>
  </si>
  <si>
    <t>نوره محمد عبدالله النمي</t>
  </si>
  <si>
    <t>1101949806</t>
  </si>
  <si>
    <t>055 822 2206</t>
  </si>
  <si>
    <t>noura_tmimi1418@hotmail.com</t>
  </si>
  <si>
    <t>SA9605000068202491003000</t>
  </si>
  <si>
    <t>1290</t>
  </si>
  <si>
    <t>شهيد خان سودير خان</t>
  </si>
  <si>
    <t>2520050721</t>
  </si>
  <si>
    <t>سائق شاحنة ثقيلة</t>
  </si>
  <si>
    <t>0582890951</t>
  </si>
  <si>
    <t>xarddukhan@gmail.com</t>
  </si>
  <si>
    <t>SA3010000011100337056608</t>
  </si>
  <si>
    <t>1291</t>
  </si>
  <si>
    <t>وائل معوض حفناوي الحفناوي</t>
  </si>
  <si>
    <t>2342543580</t>
  </si>
  <si>
    <t>محاسب تكاليف</t>
  </si>
  <si>
    <t>0503287373</t>
  </si>
  <si>
    <t>Remaswael5555@gmail.com</t>
  </si>
  <si>
    <t>SA7010000026200000233206</t>
  </si>
  <si>
    <t>1292</t>
  </si>
  <si>
    <t>مد راسل شيخ</t>
  </si>
  <si>
    <t>2533569550</t>
  </si>
  <si>
    <t>0570456801</t>
  </si>
  <si>
    <t>SA7180000614608016159004</t>
  </si>
  <si>
    <t>1293</t>
  </si>
  <si>
    <t>محمد ضيف الله محمديحيى شحره</t>
  </si>
  <si>
    <t>2533839151</t>
  </si>
  <si>
    <t>0550892553</t>
  </si>
  <si>
    <t>mdresalshak1990@gmail.com</t>
  </si>
  <si>
    <t>SA8005000068204495343000</t>
  </si>
  <si>
    <t>1295</t>
  </si>
  <si>
    <t>الزيتوني عسيلة</t>
  </si>
  <si>
    <t>2534441148</t>
  </si>
  <si>
    <t>شيف حلويات</t>
  </si>
  <si>
    <t>HR3908958</t>
  </si>
  <si>
    <t>0531890237</t>
  </si>
  <si>
    <t>Zitouni.asila@gmail.com</t>
  </si>
  <si>
    <t>SA4380000448608016161697</t>
  </si>
  <si>
    <t>1298</t>
  </si>
  <si>
    <t>احلام ذياب يوسف الزهراني</t>
  </si>
  <si>
    <t>1088653322</t>
  </si>
  <si>
    <t>0534731121</t>
  </si>
  <si>
    <t>aziz2929@gmail.com</t>
  </si>
  <si>
    <t>SA3880000501608010053084</t>
  </si>
  <si>
    <t>1299</t>
  </si>
  <si>
    <t>رجب صلاح ابراهيم فتح الباب</t>
  </si>
  <si>
    <t>2492074675</t>
  </si>
  <si>
    <t>عامل تربية مواشي</t>
  </si>
  <si>
    <t>0569040891</t>
  </si>
  <si>
    <t>ragapsalahe@gmail.com</t>
  </si>
  <si>
    <t>SA7780000101608016207050</t>
  </si>
  <si>
    <t>1302</t>
  </si>
  <si>
    <t>خلود عبدالرحمن سعود الجبيرى</t>
  </si>
  <si>
    <t>1030367765</t>
  </si>
  <si>
    <t>0555293369</t>
  </si>
  <si>
    <t>khullood99@gmail.com</t>
  </si>
  <si>
    <t>SA4280000282608010917077</t>
  </si>
  <si>
    <t>1304</t>
  </si>
  <si>
    <t>احمد عبد العزيز محمد الشمراني</t>
  </si>
  <si>
    <t>1124303833</t>
  </si>
  <si>
    <t>0504574273</t>
  </si>
  <si>
    <t>abdalazizahmd919@gmail.com</t>
  </si>
  <si>
    <t>SA5480000675608010040701</t>
  </si>
  <si>
    <t>1306</t>
  </si>
  <si>
    <t>الهام سليمان فهد الطريمان</t>
  </si>
  <si>
    <t>1036881496</t>
  </si>
  <si>
    <t>0501094449</t>
  </si>
  <si>
    <t>sulimanelham63@gmail.com</t>
  </si>
  <si>
    <t>SA9880000174608010128882</t>
  </si>
  <si>
    <t>1307</t>
  </si>
  <si>
    <t>وفاء عبدالرحمن سعود الجبيرى</t>
  </si>
  <si>
    <t>1030367724</t>
  </si>
  <si>
    <t>0548362793</t>
  </si>
  <si>
    <t>wafa-141@hotmail.com</t>
  </si>
  <si>
    <t>SA3380000454608012006194</t>
  </si>
  <si>
    <t>1308</t>
  </si>
  <si>
    <t>رولا سعد عبدالله بن هويمل</t>
  </si>
  <si>
    <t>1097503104</t>
  </si>
  <si>
    <t>0563500706</t>
  </si>
  <si>
    <t>rolahuwaimel@gmail.com</t>
  </si>
  <si>
    <t>SA5905000068202031575000</t>
  </si>
  <si>
    <t>1309</t>
  </si>
  <si>
    <t>عارف علي حسين علي قرانه</t>
  </si>
  <si>
    <t>2540728058</t>
  </si>
  <si>
    <t>عامل انشاءات.</t>
  </si>
  <si>
    <t>11529664</t>
  </si>
  <si>
    <t>0504835376</t>
  </si>
  <si>
    <t>SA0280000640608018959433</t>
  </si>
  <si>
    <t>1311</t>
  </si>
  <si>
    <t>خالد محمد عاصم فراج</t>
  </si>
  <si>
    <t>2480986641</t>
  </si>
  <si>
    <t>صانع قهوة</t>
  </si>
  <si>
    <t>0582525346</t>
  </si>
  <si>
    <t>khaliedkaboo@yahoo.com</t>
  </si>
  <si>
    <t>SA3115000900131216570009</t>
  </si>
  <si>
    <t>1315</t>
  </si>
  <si>
    <t>معاذ احمد محمد سيف</t>
  </si>
  <si>
    <t>2443570425</t>
  </si>
  <si>
    <t>12969137</t>
  </si>
  <si>
    <t>0533245137</t>
  </si>
  <si>
    <t>moaad454561@gmail.com</t>
  </si>
  <si>
    <t>SA0780000572608016015495</t>
  </si>
  <si>
    <t>1316</t>
  </si>
  <si>
    <t>شروق عبدالرحمن عواد العواد</t>
  </si>
  <si>
    <t>1086376421</t>
  </si>
  <si>
    <t>مصور فوتوغرافي</t>
  </si>
  <si>
    <t>0536166061</t>
  </si>
  <si>
    <t>Souq_as@hotmail.com</t>
  </si>
  <si>
    <t>SA9880000528608010140088</t>
  </si>
  <si>
    <t>1319</t>
  </si>
  <si>
    <t>شؤيف اوسين</t>
  </si>
  <si>
    <t>2532687825</t>
  </si>
  <si>
    <t>صانع شاي</t>
  </si>
  <si>
    <t>0534353724</t>
  </si>
  <si>
    <t>sirifhosanwww1234@gmail.com</t>
  </si>
  <si>
    <t>SA7480000640608017176344</t>
  </si>
  <si>
    <t>1320</t>
  </si>
  <si>
    <t>مد راسل فرازي</t>
  </si>
  <si>
    <t>2532145436</t>
  </si>
  <si>
    <t>0572949419</t>
  </si>
  <si>
    <t>mly975660@gmail.com</t>
  </si>
  <si>
    <t>SA4980000614608016159012</t>
  </si>
  <si>
    <t>1322</t>
  </si>
  <si>
    <t>عبير الحسين علي حماطى</t>
  </si>
  <si>
    <t>1101186086</t>
  </si>
  <si>
    <t>0554982870</t>
  </si>
  <si>
    <t>abeerx.0@icloud.com</t>
  </si>
  <si>
    <t>SA9680000282608016134123</t>
  </si>
  <si>
    <t>1323</t>
  </si>
  <si>
    <t>شمس الدين زايال بوريال</t>
  </si>
  <si>
    <t>2538656543</t>
  </si>
  <si>
    <t>SA5980000632608016059186</t>
  </si>
  <si>
    <t>1324</t>
  </si>
  <si>
    <t>محمد زيدان محمد زيدان</t>
  </si>
  <si>
    <t>2498911995</t>
  </si>
  <si>
    <t>0545928859</t>
  </si>
  <si>
    <t>zaydan.mh@gmail.com</t>
  </si>
  <si>
    <t>SA7110000011100169254503</t>
  </si>
  <si>
    <t>1325</t>
  </si>
  <si>
    <t>سجيب سو ليمان</t>
  </si>
  <si>
    <t>2536753755</t>
  </si>
  <si>
    <t>0578257610</t>
  </si>
  <si>
    <t>mim35741@gmail.com</t>
  </si>
  <si>
    <t>SA4330100942000149426792</t>
  </si>
  <si>
    <t>1326</t>
  </si>
  <si>
    <t>فهد دلوار أوسين</t>
  </si>
  <si>
    <t>2536662022</t>
  </si>
  <si>
    <t>عامل تنظيف مكاتب ومنشأت</t>
  </si>
  <si>
    <t>0578596403</t>
  </si>
  <si>
    <t>fahadmia4566@gmail.com</t>
  </si>
  <si>
    <t>SA9830100942000149429197</t>
  </si>
  <si>
    <t>1327</t>
  </si>
  <si>
    <t>محمد جي بقاء ال</t>
  </si>
  <si>
    <t>2528275064</t>
  </si>
  <si>
    <t>عامل نظافة حدائق</t>
  </si>
  <si>
    <t>0577029050</t>
  </si>
  <si>
    <t>rajuislam5500@gmail.com</t>
  </si>
  <si>
    <t>SA5830100942000149689586</t>
  </si>
  <si>
    <t>1329</t>
  </si>
  <si>
    <t>مد أبو بكر صديق</t>
  </si>
  <si>
    <t>2527261669</t>
  </si>
  <si>
    <t>0564538531</t>
  </si>
  <si>
    <t>YY255717@GMAIL.COM</t>
  </si>
  <si>
    <t>SA5180000640608017573003</t>
  </si>
  <si>
    <t>1330</t>
  </si>
  <si>
    <t>مؤمن باكاول</t>
  </si>
  <si>
    <t>2525705451</t>
  </si>
  <si>
    <t>صانع شاي ومشروبات ساخنة</t>
  </si>
  <si>
    <t>0542375931</t>
  </si>
  <si>
    <t>mdmominislam65@gmail.com</t>
  </si>
  <si>
    <t>SA0330100942000149429452</t>
  </si>
  <si>
    <t>1331</t>
  </si>
  <si>
    <t>سميرة عبدالله كريوين النفيعي العتيبي</t>
  </si>
  <si>
    <t>1044099990</t>
  </si>
  <si>
    <t>صانع محتوي</t>
  </si>
  <si>
    <t>0550707819</t>
  </si>
  <si>
    <t>samira.a.otaibi@gmail.com</t>
  </si>
  <si>
    <t>SA8205000068200482025000</t>
  </si>
  <si>
    <t>1332</t>
  </si>
  <si>
    <t>منيرة فهد علي مديهش</t>
  </si>
  <si>
    <t>1121485021</t>
  </si>
  <si>
    <t>كاتب صحفي</t>
  </si>
  <si>
    <t>0504867290</t>
  </si>
  <si>
    <t>Munirafahd11@gmail.com</t>
  </si>
  <si>
    <t>SA6880000671608016005470</t>
  </si>
  <si>
    <t>1333</t>
  </si>
  <si>
    <t>زينب علي مهدي سماني</t>
  </si>
  <si>
    <t>1062387806</t>
  </si>
  <si>
    <t>مساعد اداري</t>
  </si>
  <si>
    <t>0504360758</t>
  </si>
  <si>
    <t>al-saman@hotmail.com</t>
  </si>
  <si>
    <t>SA5710000024477343000103</t>
  </si>
  <si>
    <t>1334</t>
  </si>
  <si>
    <t>عائشة محمد عبدالرزاق الدهام</t>
  </si>
  <si>
    <t>1104998362</t>
  </si>
  <si>
    <t>خدمة عملاء</t>
  </si>
  <si>
    <t>0535425615</t>
  </si>
  <si>
    <t>aishamaldaham@gmail.com</t>
  </si>
  <si>
    <t>SA9780000686608010454149</t>
  </si>
  <si>
    <t>1335</t>
  </si>
  <si>
    <t>اسامه محمد تركي ال جراد</t>
  </si>
  <si>
    <t>1125186740</t>
  </si>
  <si>
    <t>0552375089</t>
  </si>
  <si>
    <t>qqq_1440@icloud.com</t>
  </si>
  <si>
    <t>SA9580000410608016009692</t>
  </si>
  <si>
    <t>1336</t>
  </si>
  <si>
    <t>أسامه سعيد سعد الشهراني</t>
  </si>
  <si>
    <t>1123444588</t>
  </si>
  <si>
    <t>0506353166</t>
  </si>
  <si>
    <t>alshhranya040@gmail.com</t>
  </si>
  <si>
    <t>SA9580000410608016039665</t>
  </si>
  <si>
    <t>1337</t>
  </si>
  <si>
    <t>وليد عيظة يحيى عميشان</t>
  </si>
  <si>
    <t>2344876285</t>
  </si>
  <si>
    <t>0506721106</t>
  </si>
  <si>
    <t>waleadomishan225@gmail.com</t>
  </si>
  <si>
    <t>SA6910000011100106778003</t>
  </si>
  <si>
    <t>1339</t>
  </si>
  <si>
    <t>عبد الحميد محمد ذكى عتيم</t>
  </si>
  <si>
    <t>2518092552</t>
  </si>
  <si>
    <t>عامل زراعي</t>
  </si>
  <si>
    <t>0550285163</t>
  </si>
  <si>
    <t>bdalhmydtym51@gmail.com</t>
  </si>
  <si>
    <t>1340</t>
  </si>
  <si>
    <t>محمد حسن علي الرعوي</t>
  </si>
  <si>
    <t>2538656550</t>
  </si>
  <si>
    <t>0536597636</t>
  </si>
  <si>
    <t>marrawy1@gmail.com</t>
  </si>
  <si>
    <t>SA6305000068204564262000</t>
  </si>
  <si>
    <t>1342</t>
  </si>
  <si>
    <t>PUTHIYA PURAYIL RAJU</t>
  </si>
  <si>
    <t>2432636310</t>
  </si>
  <si>
    <t>1344</t>
  </si>
  <si>
    <t>اسامة احمد محمد الكامل</t>
  </si>
  <si>
    <t>2529380178</t>
  </si>
  <si>
    <t>مبرمج</t>
  </si>
  <si>
    <t>0557428843</t>
  </si>
  <si>
    <t>alkamel.osama1@gmail.com</t>
  </si>
  <si>
    <t>SA7605000068204284157000</t>
  </si>
  <si>
    <t>1345</t>
  </si>
  <si>
    <t>اوس فيصل ناجي الرعوي</t>
  </si>
  <si>
    <t>2540550064</t>
  </si>
  <si>
    <t>0501754520</t>
  </si>
  <si>
    <t>awsfisal2002@gmail.com</t>
  </si>
  <si>
    <t>SA0380000216608016445520</t>
  </si>
  <si>
    <t>1346</t>
  </si>
  <si>
    <t>محمد رمزان محمد نفيس</t>
  </si>
  <si>
    <t>2545834760</t>
  </si>
  <si>
    <t>عامل صيانة اجهزة كهربائية</t>
  </si>
  <si>
    <t>عامل صيانة أجهزة كهربائية</t>
  </si>
  <si>
    <t>AE9519103</t>
  </si>
  <si>
    <t>SA5110000011100378207510</t>
  </si>
  <si>
    <t>1347</t>
  </si>
  <si>
    <t>عمرو ماجد عبده علي الرعوي</t>
  </si>
  <si>
    <t>2549549323</t>
  </si>
  <si>
    <t>1348</t>
  </si>
  <si>
    <t>اثير يحيى علي حكمي</t>
  </si>
  <si>
    <t>1101526802</t>
  </si>
  <si>
    <t>مصور فوتغرافي.</t>
  </si>
  <si>
    <t>0535577315</t>
  </si>
  <si>
    <t>AtheerAlhakami1@gmail.com</t>
  </si>
  <si>
    <t>SA6780000686608011251544</t>
  </si>
  <si>
    <t>1349</t>
  </si>
  <si>
    <t>صلاح اديب يحيى الشامي</t>
  </si>
  <si>
    <t>2542194382</t>
  </si>
  <si>
    <t>0570271249</t>
  </si>
  <si>
    <t>salah2051998@gmail.com</t>
  </si>
  <si>
    <t>SA0605000068204595278000</t>
  </si>
  <si>
    <t>1350</t>
  </si>
  <si>
    <t>رقيه علي مهدي سماني</t>
  </si>
  <si>
    <t>1100801966</t>
  </si>
  <si>
    <t>hno_sa333@outlook.sa</t>
  </si>
  <si>
    <t>SA9020000002611839289940</t>
  </si>
  <si>
    <t>1351</t>
  </si>
  <si>
    <t>مصطفي سعيد محمد خالد الجعدي</t>
  </si>
  <si>
    <t>1353</t>
  </si>
  <si>
    <t>منصور عبد العزيز ماشع المشرافي المطيري</t>
  </si>
  <si>
    <t>1122972456</t>
  </si>
  <si>
    <t>0536126960</t>
  </si>
  <si>
    <t>mansooor11033@gmail.com</t>
  </si>
  <si>
    <t>SA4780000412608016064679</t>
  </si>
  <si>
    <t>1355</t>
  </si>
  <si>
    <t>شهد فهد إبراهيم الرزيحي</t>
  </si>
  <si>
    <t>1110778030</t>
  </si>
  <si>
    <t>0533996362</t>
  </si>
  <si>
    <t>SHAREZEHI@GMAIL.COM</t>
  </si>
  <si>
    <t>SA82550000000G9689300116</t>
  </si>
  <si>
    <t>1356</t>
  </si>
  <si>
    <t>دانه أحمد صالح المبيريك</t>
  </si>
  <si>
    <t>1080876889</t>
  </si>
  <si>
    <t>0549755543</t>
  </si>
  <si>
    <t>Dn-.-dn20@hotmail.com</t>
  </si>
  <si>
    <t>SA1680000521608016086753</t>
  </si>
  <si>
    <t>1357</t>
  </si>
  <si>
    <t>راويه محمد بن عبده رياني</t>
  </si>
  <si>
    <t>1071460826</t>
  </si>
  <si>
    <t>rawia.alrayani@gmail.com</t>
  </si>
  <si>
    <t>SA5020000003183949969940</t>
  </si>
  <si>
    <t>1358</t>
  </si>
  <si>
    <t>بيان صالح عبدالعزيز العجيان</t>
  </si>
  <si>
    <t>1112370810</t>
  </si>
  <si>
    <t>0551367646</t>
  </si>
  <si>
    <t>BAYAN.ALOJAYAN11@GMAIL.COM</t>
  </si>
  <si>
    <t>SA8580000216608016066714</t>
  </si>
  <si>
    <t>1359</t>
  </si>
  <si>
    <t>سهام احمد محمد السميح</t>
  </si>
  <si>
    <t>1110338884</t>
  </si>
  <si>
    <t>0545500104</t>
  </si>
  <si>
    <t>sehamii.s22@gmail.com</t>
  </si>
  <si>
    <t>SA5580000216608010967867</t>
  </si>
  <si>
    <t>1361</t>
  </si>
  <si>
    <t>مدناهد ال اسلام</t>
  </si>
  <si>
    <t>2511228443</t>
  </si>
  <si>
    <t>BT0035294</t>
  </si>
  <si>
    <t>0540651965</t>
  </si>
  <si>
    <t>naidislam78@gmail.com</t>
  </si>
  <si>
    <t>SA7810000028300002649809</t>
  </si>
  <si>
    <t>1363</t>
  </si>
  <si>
    <t>ليتون ساردار</t>
  </si>
  <si>
    <t>2535213090</t>
  </si>
  <si>
    <t>0570097133</t>
  </si>
  <si>
    <t>sarderliton1989@gmail.com</t>
  </si>
  <si>
    <t>SA6980000640608017038403</t>
  </si>
  <si>
    <t>1364</t>
  </si>
  <si>
    <t>عاشق ال رحمن</t>
  </si>
  <si>
    <t>2535213124</t>
  </si>
  <si>
    <t>0572005762</t>
  </si>
  <si>
    <t>ariyanashik070bd@gmail.com</t>
  </si>
  <si>
    <t>SA4180000640608016910479</t>
  </si>
  <si>
    <t>1365</t>
  </si>
  <si>
    <t>مد شفيق ال اسلام</t>
  </si>
  <si>
    <t>2534253832</t>
  </si>
  <si>
    <t>SA7815000900139634050004</t>
  </si>
  <si>
    <t>1366</t>
  </si>
  <si>
    <t>مد اقبال حسين</t>
  </si>
  <si>
    <t>2431861596</t>
  </si>
  <si>
    <t>البوفية</t>
  </si>
  <si>
    <t>0509056706</t>
  </si>
  <si>
    <t>hoiqbal997@gmail.com</t>
  </si>
  <si>
    <t>SA6620000002351786649940</t>
  </si>
  <si>
    <t>1367</t>
  </si>
  <si>
    <t>نجد سعد زيد الشايقي</t>
  </si>
  <si>
    <t>1110223326</t>
  </si>
  <si>
    <t>0533611016</t>
  </si>
  <si>
    <t>Najdsaad12@hotmail.com</t>
  </si>
  <si>
    <t>SA3280000216608010957223</t>
  </si>
  <si>
    <t>1368</t>
  </si>
  <si>
    <t>شوق مرشد عبدالله ال خرعان</t>
  </si>
  <si>
    <t>1113058711</t>
  </si>
  <si>
    <t>SA6105000068202989410000</t>
  </si>
  <si>
    <t>1369</t>
  </si>
  <si>
    <t>حسن حسن حسن عطوة</t>
  </si>
  <si>
    <t>2538185592</t>
  </si>
  <si>
    <t>عامل انشاءات</t>
  </si>
  <si>
    <t>0575640876</t>
  </si>
  <si>
    <t>daliahasan592@gmail.com</t>
  </si>
  <si>
    <t>SA6410000011100352181303</t>
  </si>
  <si>
    <t>1370</t>
  </si>
  <si>
    <t>رغد زيد سلطان الكثيري</t>
  </si>
  <si>
    <t>1126532223</t>
  </si>
  <si>
    <t>0530119891</t>
  </si>
  <si>
    <t>rzs13alka@gmail.com</t>
  </si>
  <si>
    <t>SA2580000355608016925308</t>
  </si>
  <si>
    <t>1371</t>
  </si>
  <si>
    <t>لينا ناصر بن محمد المنقور</t>
  </si>
  <si>
    <t>1067807683</t>
  </si>
  <si>
    <t>0566979299</t>
  </si>
  <si>
    <t>thelina.nm@gmail.com</t>
  </si>
  <si>
    <t>SA7480000160608010307912</t>
  </si>
  <si>
    <t>1372</t>
  </si>
  <si>
    <t>لولوه ناصر محمد الخنين</t>
  </si>
  <si>
    <t>1064820994</t>
  </si>
  <si>
    <t>0508555435</t>
  </si>
  <si>
    <t>Ioly.n.k.1.0@gmail.com</t>
  </si>
  <si>
    <t>SA7060100007281306230001</t>
  </si>
  <si>
    <t>1373</t>
  </si>
  <si>
    <t>مد معراج حسن</t>
  </si>
  <si>
    <t>2502033851</t>
  </si>
  <si>
    <t>mdm488953@gmail.com</t>
  </si>
  <si>
    <t>SA6080000101608016720292</t>
  </si>
  <si>
    <t>1374</t>
  </si>
  <si>
    <t>زهراء مطاعن محمد شيخين</t>
  </si>
  <si>
    <t>1087777478</t>
  </si>
  <si>
    <t>0500345584</t>
  </si>
  <si>
    <t>zzaazz707@gmail.com</t>
  </si>
  <si>
    <t>SA9080000665608016032340</t>
  </si>
  <si>
    <t>1375</t>
  </si>
  <si>
    <t>ريناد احمد محمد جرشي مجرشي</t>
  </si>
  <si>
    <t>1018588754</t>
  </si>
  <si>
    <t>0570107888</t>
  </si>
  <si>
    <t>RTOOOSH1405@GMAIL.COM</t>
  </si>
  <si>
    <t>SA5580000365608010263472</t>
  </si>
  <si>
    <t>1376</t>
  </si>
  <si>
    <t>ساره عبدالله بن علي الغامدي</t>
  </si>
  <si>
    <t>1114109760</t>
  </si>
  <si>
    <t>0539018884</t>
  </si>
  <si>
    <t>saraalhokran1@gmail.com</t>
  </si>
  <si>
    <t>SA1080000513608016163503</t>
  </si>
  <si>
    <t>1377</t>
  </si>
  <si>
    <t>نوره مرشد عبد الله ال خرعان</t>
  </si>
  <si>
    <t>1074403583</t>
  </si>
  <si>
    <t>SA5880000296608010999897</t>
  </si>
  <si>
    <t>1379</t>
  </si>
  <si>
    <t>موضي راشد حمد بن دهيش</t>
  </si>
  <si>
    <t>1032324368</t>
  </si>
  <si>
    <t>0552995850</t>
  </si>
  <si>
    <t>mrd02070@gmail.com</t>
  </si>
  <si>
    <t>SA9680000369608010446834</t>
  </si>
  <si>
    <t>1380</t>
  </si>
  <si>
    <t>روابي راشد حمد بن دهيش</t>
  </si>
  <si>
    <t>1092354776</t>
  </si>
  <si>
    <t>0534892735</t>
  </si>
  <si>
    <t>Rawabyrashed1@gmail.com</t>
  </si>
  <si>
    <t>SA7060100031280159941001</t>
  </si>
  <si>
    <t>1384</t>
  </si>
  <si>
    <t>ساره عبدالمحسن عبدالله البجادي</t>
  </si>
  <si>
    <t>1025757327</t>
  </si>
  <si>
    <t>SA7180000423608010599008</t>
  </si>
  <si>
    <t>1385</t>
  </si>
  <si>
    <t>فاطمه ابراهيم محمد السريبي</t>
  </si>
  <si>
    <t>1093230496</t>
  </si>
  <si>
    <t>0553722792</t>
  </si>
  <si>
    <t>SA3005000068200753155001</t>
  </si>
  <si>
    <t>1386</t>
  </si>
  <si>
    <t>مي ابراهيم محمد السريبي</t>
  </si>
  <si>
    <t>1110671128</t>
  </si>
  <si>
    <t>0591493263</t>
  </si>
  <si>
    <t>may.seribi@hotmail.com</t>
  </si>
  <si>
    <t>SA0510000011100345051410</t>
  </si>
  <si>
    <t>1388</t>
  </si>
  <si>
    <t>خديجة مطاعن محمد شيخين</t>
  </si>
  <si>
    <t>1087777494</t>
  </si>
  <si>
    <t>0558696393</t>
  </si>
  <si>
    <t>m056mh@gmail.com</t>
  </si>
  <si>
    <t>SA4580000331608016067019</t>
  </si>
  <si>
    <t>1389</t>
  </si>
  <si>
    <t>افنان صالح بن محمد الحمدي</t>
  </si>
  <si>
    <t>1091129393</t>
  </si>
  <si>
    <t>SA0280000204608010782211</t>
  </si>
  <si>
    <t>1392</t>
  </si>
  <si>
    <t>زينب محمد مغيض الحايطي</t>
  </si>
  <si>
    <t>1104987712</t>
  </si>
  <si>
    <t>0567320488</t>
  </si>
  <si>
    <t>amnojig@gmail.com</t>
  </si>
  <si>
    <t>SA7980000385608010310055</t>
  </si>
  <si>
    <t>1394</t>
  </si>
  <si>
    <t>سامي قنديل محمد المكاوي</t>
  </si>
  <si>
    <t>2554120093</t>
  </si>
  <si>
    <t>A34073952</t>
  </si>
  <si>
    <t>0562986714</t>
  </si>
  <si>
    <t>Samykandilelmakewy@gmail.com</t>
  </si>
  <si>
    <t>SA2710000011100405760404</t>
  </si>
  <si>
    <t>1395</t>
  </si>
  <si>
    <t>سنان محمد</t>
  </si>
  <si>
    <t>2222439271</t>
  </si>
  <si>
    <t>ابن</t>
  </si>
  <si>
    <t>مستودع المصنع</t>
  </si>
  <si>
    <t>0551133231</t>
  </si>
  <si>
    <t>flker22222@gmail.com</t>
  </si>
  <si>
    <t>SA8580000216608016351991</t>
  </si>
  <si>
    <t>1397</t>
  </si>
  <si>
    <t>شذى خالد بن محمد سويد</t>
  </si>
  <si>
    <t>1114028358</t>
  </si>
  <si>
    <t>مصممة جرافيك</t>
  </si>
  <si>
    <t>0535939636</t>
  </si>
  <si>
    <t>SHATHASWID@GMAIL.COM</t>
  </si>
  <si>
    <t>SA0580000686608016032238</t>
  </si>
  <si>
    <t>1402</t>
  </si>
  <si>
    <t>مد هومين كوبير</t>
  </si>
  <si>
    <t>mhmain148@gmail.com</t>
  </si>
  <si>
    <t>1403</t>
  </si>
  <si>
    <t>مد ميدي حسن</t>
  </si>
  <si>
    <t>2530871322</t>
  </si>
  <si>
    <t>mehe67756@gmail.com</t>
  </si>
  <si>
    <t>SA7980000448608016184426</t>
  </si>
  <si>
    <t>1404</t>
  </si>
  <si>
    <t>ريان بكيل علي محمد محفوظ</t>
  </si>
  <si>
    <t>2504125499</t>
  </si>
  <si>
    <t>0506724143</t>
  </si>
  <si>
    <t>rayanbkail13@gmail.com</t>
  </si>
  <si>
    <t>SA4105000068204714761000</t>
  </si>
  <si>
    <t>1406</t>
  </si>
  <si>
    <t>مها ناصر سعد المهيدي</t>
  </si>
  <si>
    <t>1074144369</t>
  </si>
  <si>
    <t>0559267775</t>
  </si>
  <si>
    <t>maha.0559267775@gmail.com</t>
  </si>
  <si>
    <t>SA9110000020574554000202</t>
  </si>
  <si>
    <t>1407</t>
  </si>
  <si>
    <t>اسماعيل قحطان محمد صالح الضلعي</t>
  </si>
  <si>
    <t>2547315578</t>
  </si>
  <si>
    <t>11527657</t>
  </si>
  <si>
    <t>0568905623</t>
  </si>
  <si>
    <t>SA4480000165608016397474</t>
  </si>
  <si>
    <t>1408</t>
  </si>
  <si>
    <t>خالد علي حسين محسن الشرفي</t>
  </si>
  <si>
    <t>2453345130</t>
  </si>
  <si>
    <t>0563100508</t>
  </si>
  <si>
    <t>khldly234@gmail.com</t>
  </si>
  <si>
    <t>1409</t>
  </si>
  <si>
    <t>محمد رحمات نواز</t>
  </si>
  <si>
    <t>1410</t>
  </si>
  <si>
    <t>هشام قاف</t>
  </si>
  <si>
    <t>2545832202</t>
  </si>
  <si>
    <t>صانع حلويات</t>
  </si>
  <si>
    <t>SA6380000614608016178160</t>
  </si>
  <si>
    <t>1411</t>
  </si>
  <si>
    <t>عبدالكريم مامون</t>
  </si>
  <si>
    <t>2544512938</t>
  </si>
  <si>
    <t>SA8910000011100370328001</t>
  </si>
  <si>
    <t>1412</t>
  </si>
  <si>
    <t>حسن فرخ</t>
  </si>
  <si>
    <t>2544512805</t>
  </si>
  <si>
    <t>SA0610000011100370306700</t>
  </si>
  <si>
    <t>1414</t>
  </si>
  <si>
    <t>عزام صادق محمد محمد ناجي</t>
  </si>
  <si>
    <t>2519444547</t>
  </si>
  <si>
    <t>0540656503</t>
  </si>
  <si>
    <t>SA8505000068204591661000</t>
  </si>
  <si>
    <t>1415</t>
  </si>
  <si>
    <t>طيف عائل محمد سفياني</t>
  </si>
  <si>
    <t>1127584397</t>
  </si>
  <si>
    <t>0558375692</t>
  </si>
  <si>
    <t>tyfsfyan41@gmail.com</t>
  </si>
  <si>
    <t>SA3210000011100183384710</t>
  </si>
  <si>
    <t>1416</t>
  </si>
  <si>
    <t>رهف خالد راشد الدوسري</t>
  </si>
  <si>
    <t>1102135611</t>
  </si>
  <si>
    <t>0508659787</t>
  </si>
  <si>
    <t>SA4580000684608010129750</t>
  </si>
  <si>
    <t>1417</t>
  </si>
  <si>
    <t>مد تنزيل اسلام</t>
  </si>
  <si>
    <t>A02594932</t>
  </si>
  <si>
    <t>mdtanjil1795@gmail.com</t>
  </si>
  <si>
    <t>SA6880000640608018457628</t>
  </si>
  <si>
    <t>1418</t>
  </si>
  <si>
    <t>يونس امين اصحيح</t>
  </si>
  <si>
    <t>2530688148</t>
  </si>
  <si>
    <t>معد وجبات سريعة</t>
  </si>
  <si>
    <t>شيف مخبوزات</t>
  </si>
  <si>
    <t>0560593114</t>
  </si>
  <si>
    <t>shiehyounnesamine@gmail.com</t>
  </si>
  <si>
    <t>SA7010000011100303648700</t>
  </si>
  <si>
    <t>1422</t>
  </si>
  <si>
    <t>عبدالملك عبدالمجيد بن عبدالله الدرويش</t>
  </si>
  <si>
    <t>1119150652</t>
  </si>
  <si>
    <t>0554740532</t>
  </si>
  <si>
    <t>rlxn6@icloud.com</t>
  </si>
  <si>
    <t>SA9580000614608016026070</t>
  </si>
  <si>
    <t>1424</t>
  </si>
  <si>
    <t>محمد ناجي غانم سيعد غالب</t>
  </si>
  <si>
    <t>1425</t>
  </si>
  <si>
    <t>خلود صلاح صلبي العريفي العنزي</t>
  </si>
  <si>
    <t>1065338657</t>
  </si>
  <si>
    <t>0550269376</t>
  </si>
  <si>
    <t>khloud0909@hotmail.com</t>
  </si>
  <si>
    <t>SA5580000666608010200504</t>
  </si>
  <si>
    <t>1426</t>
  </si>
  <si>
    <t>وسايم هادي موسى المسرحي</t>
  </si>
  <si>
    <t>1116713775</t>
  </si>
  <si>
    <t>0509925276</t>
  </si>
  <si>
    <t>wsaim8877@gmail.com</t>
  </si>
  <si>
    <t>SA3480000514608016006172</t>
  </si>
  <si>
    <t>1427</t>
  </si>
  <si>
    <t>مدعث عوينان الرحمناني  البقمي</t>
  </si>
  <si>
    <t>1121290744</t>
  </si>
  <si>
    <t>0550246311</t>
  </si>
  <si>
    <t>mdath9fgj@gmail.com</t>
  </si>
  <si>
    <t>SA1180000165608016051196</t>
  </si>
  <si>
    <t>1428</t>
  </si>
  <si>
    <t>عبد الحميد عبدالحميد محمد عجلان</t>
  </si>
  <si>
    <t>2204619312</t>
  </si>
  <si>
    <t>المبيعات</t>
  </si>
  <si>
    <t>0569666343</t>
  </si>
  <si>
    <t>abdulhameedajlan@gmail.com</t>
  </si>
  <si>
    <t>SA6210000012358878000108</t>
  </si>
  <si>
    <t>1429</t>
  </si>
  <si>
    <t>محمد السيد محمود مصطفى</t>
  </si>
  <si>
    <t>2506264965</t>
  </si>
  <si>
    <t>A27690743</t>
  </si>
  <si>
    <t>0546277499</t>
  </si>
  <si>
    <t>hrshtmhmd76@gmail.com</t>
  </si>
  <si>
    <t>SA6510000011100388671909</t>
  </si>
  <si>
    <t>1431</t>
  </si>
  <si>
    <t>محمد يحيى صالح احمد الورد</t>
  </si>
  <si>
    <t>2553147360</t>
  </si>
  <si>
    <t>مصور فوتغرافي</t>
  </si>
  <si>
    <t>SA8480000644608016473102</t>
  </si>
  <si>
    <t>1433</t>
  </si>
  <si>
    <t>عمر علي رمضان علي</t>
  </si>
  <si>
    <t>2506045810</t>
  </si>
  <si>
    <t>0568401814</t>
  </si>
  <si>
    <t>omaraliramdan@icioud.com</t>
  </si>
  <si>
    <t>SA5310000011100236845203</t>
  </si>
  <si>
    <t>1434</t>
  </si>
  <si>
    <t>محمد جمال الدين أبو المجد احمد</t>
  </si>
  <si>
    <t>2552239408</t>
  </si>
  <si>
    <t>A33711305</t>
  </si>
  <si>
    <t>bengamal2030@gmail.com</t>
  </si>
  <si>
    <t>SA9615000900140469510001</t>
  </si>
  <si>
    <t>1436</t>
  </si>
  <si>
    <t>اسامه اديب يحيى الشامي</t>
  </si>
  <si>
    <t>2545273787</t>
  </si>
  <si>
    <t>053695229</t>
  </si>
  <si>
    <t>SA7310000011100373308905</t>
  </si>
  <si>
    <t>1438</t>
  </si>
  <si>
    <t>ذكرى علي صالح البعداني</t>
  </si>
  <si>
    <t>2373237334</t>
  </si>
  <si>
    <t>مباشرة منزلية</t>
  </si>
  <si>
    <t>خياط</t>
  </si>
  <si>
    <t>12716499</t>
  </si>
  <si>
    <t>1439</t>
  </si>
  <si>
    <t>ربيع هائل سيف احمد</t>
  </si>
  <si>
    <t>2542185257</t>
  </si>
  <si>
    <t>عامل تحميل و تنزيل</t>
  </si>
  <si>
    <t>0535624598</t>
  </si>
  <si>
    <t>rabiehail4@gmail.com</t>
  </si>
  <si>
    <t>1440</t>
  </si>
  <si>
    <t>نوره عبدالله إبراهيم الرشيد</t>
  </si>
  <si>
    <t>1116441054</t>
  </si>
  <si>
    <t>أخصائي خدمة عملاء</t>
  </si>
  <si>
    <t>056 045 1635</t>
  </si>
  <si>
    <t>shsh_9393@hotmail.com</t>
  </si>
  <si>
    <t>SA6280000528608010450263</t>
  </si>
  <si>
    <t>1442</t>
  </si>
  <si>
    <t>ريوف صالح سليمان الجطيلي</t>
  </si>
  <si>
    <t>1056593864</t>
  </si>
  <si>
    <t>056 399 9553</t>
  </si>
  <si>
    <t>r1056593864@gmail.com</t>
  </si>
  <si>
    <t>SA6780000528608016119920</t>
  </si>
  <si>
    <t>1443</t>
  </si>
  <si>
    <t>صادق احمد احمد عبدالله قرانه</t>
  </si>
  <si>
    <t>2541385874</t>
  </si>
  <si>
    <t>0535372905</t>
  </si>
  <si>
    <t>SA6610000011100381710201</t>
  </si>
  <si>
    <t>1444</t>
  </si>
  <si>
    <t>سايمون سيمو مون سا</t>
  </si>
  <si>
    <t>2536214147</t>
  </si>
  <si>
    <t>عامل بناء</t>
  </si>
  <si>
    <t>المجمعه</t>
  </si>
  <si>
    <t>0572110462</t>
  </si>
  <si>
    <t>SA1510000011100377909204</t>
  </si>
  <si>
    <t>1445</t>
  </si>
  <si>
    <t>محمد عيسى احمد جعفري</t>
  </si>
  <si>
    <t>1129160790</t>
  </si>
  <si>
    <t>054 473 2774</t>
  </si>
  <si>
    <t>mayshshh@gmail.com</t>
  </si>
  <si>
    <t>SA1410000011100320912604</t>
  </si>
  <si>
    <t>1446</t>
  </si>
  <si>
    <t>فارس علي عبدالحميد المجيدي</t>
  </si>
  <si>
    <t>2526330135</t>
  </si>
  <si>
    <t>0552803967</t>
  </si>
  <si>
    <t>afaf22328@gmail.com</t>
  </si>
  <si>
    <t>SA9410000011100303491807</t>
  </si>
  <si>
    <t>1448</t>
  </si>
  <si>
    <t>محمد ناصر بن طميران البقمى</t>
  </si>
  <si>
    <t>1128268537</t>
  </si>
  <si>
    <t>0545717775</t>
  </si>
  <si>
    <t>trkyalpqmyt@gmail.com</t>
  </si>
  <si>
    <t>SA4580000632608016006864</t>
  </si>
  <si>
    <t>1449</t>
  </si>
  <si>
    <t>مالك علي فهد البديوي</t>
  </si>
  <si>
    <t>1117591378</t>
  </si>
  <si>
    <t>0536247640</t>
  </si>
  <si>
    <t>malkalbdywy017@gmail.com</t>
  </si>
  <si>
    <t>SA5380000108608011111334</t>
  </si>
  <si>
    <t>1450</t>
  </si>
  <si>
    <t>محمد علي بن محمد ربيع</t>
  </si>
  <si>
    <t>1080517541</t>
  </si>
  <si>
    <t>0531455197</t>
  </si>
  <si>
    <t>SA1280000407608010517547</t>
  </si>
  <si>
    <t>1451</t>
  </si>
  <si>
    <t>محمد كوثر شوجيب حسين</t>
  </si>
  <si>
    <t>2545416451</t>
  </si>
  <si>
    <t>0570314813</t>
  </si>
  <si>
    <t>akawcher333@gmail.com</t>
  </si>
  <si>
    <t>SA6810000011100378294407</t>
  </si>
  <si>
    <t>1452</t>
  </si>
  <si>
    <t>محمد شحادة شحل حسين</t>
  </si>
  <si>
    <t>2545373306</t>
  </si>
  <si>
    <t>0501439791</t>
  </si>
  <si>
    <t>shahadathossenshohhel16@gmail.com</t>
  </si>
  <si>
    <t>SA1810000011100379223403</t>
  </si>
  <si>
    <t>1453</t>
  </si>
  <si>
    <t>جبير اوسين</t>
  </si>
  <si>
    <t>2545942092</t>
  </si>
  <si>
    <t>SA1430100942000163870032</t>
  </si>
  <si>
    <t>1455</t>
  </si>
  <si>
    <t>عبد الله ناجي حزام فازع</t>
  </si>
  <si>
    <t>2461580207</t>
  </si>
  <si>
    <t>SA8410000011100037798802</t>
  </si>
  <si>
    <t>1456</t>
  </si>
  <si>
    <t>علي عبد الله علي علي الغابري</t>
  </si>
  <si>
    <t>2552377935</t>
  </si>
  <si>
    <t>0535214930</t>
  </si>
  <si>
    <t>SA9110000011100407762302</t>
  </si>
  <si>
    <t>1457</t>
  </si>
  <si>
    <t>صابر محمد مثنى الخديري</t>
  </si>
  <si>
    <t>311536969684</t>
  </si>
  <si>
    <t>1458</t>
  </si>
  <si>
    <t>محمد رضوان رمزان علي</t>
  </si>
  <si>
    <t>2240070868</t>
  </si>
  <si>
    <t>فاحص جودة</t>
  </si>
  <si>
    <t>مراقب جودة</t>
  </si>
  <si>
    <t>0531120617</t>
  </si>
  <si>
    <t>SA5480000129608010769699</t>
  </si>
  <si>
    <t>1460</t>
  </si>
  <si>
    <t>تهاني حمد محمد باجعفر</t>
  </si>
  <si>
    <t>1100868668</t>
  </si>
  <si>
    <t>اخصائي خدمة عملاء</t>
  </si>
  <si>
    <t>0538028369</t>
  </si>
  <si>
    <t>Tahanihb631@gmail.com</t>
  </si>
  <si>
    <t>SA9610000059200000020404</t>
  </si>
  <si>
    <t>1461</t>
  </si>
  <si>
    <t>شروق حسن محمد رفاعي</t>
  </si>
  <si>
    <t>1089159121</t>
  </si>
  <si>
    <t>055 915 1131</t>
  </si>
  <si>
    <t>shrouq1161@gmail.com</t>
  </si>
  <si>
    <t>SA8280000146608010387814</t>
  </si>
  <si>
    <t>1462</t>
  </si>
  <si>
    <t>إحساس إالياس احمد العزعزي</t>
  </si>
  <si>
    <t>1463</t>
  </si>
  <si>
    <t>عبدالرحمن محمد عبده الحاتمي</t>
  </si>
  <si>
    <t>2446047033</t>
  </si>
  <si>
    <t>مشرف صيانة</t>
  </si>
  <si>
    <t>0533991180</t>
  </si>
  <si>
    <t>Abdurhman111986@gmaill.com</t>
  </si>
  <si>
    <t>SA5180000558608016029759</t>
  </si>
  <si>
    <t>خصوصي</t>
  </si>
  <si>
    <t>1464</t>
  </si>
  <si>
    <t>فاطمه محمد محمد صندلي</t>
  </si>
  <si>
    <t>1022864241</t>
  </si>
  <si>
    <t>0501149508</t>
  </si>
  <si>
    <t>Fofofofo0710@gmail.com</t>
  </si>
  <si>
    <t>SA6080000221608015241444</t>
  </si>
  <si>
    <t>1465</t>
  </si>
  <si>
    <t>محمد صلاح بابكر محمد</t>
  </si>
  <si>
    <t>2492331539</t>
  </si>
  <si>
    <t>0556841258</t>
  </si>
  <si>
    <t>Mohmedsalah0915159549@gmail.com</t>
  </si>
  <si>
    <t>SA2010000011100200525602</t>
  </si>
  <si>
    <t>1467</t>
  </si>
  <si>
    <t>محمد ساقبل محمد حسن</t>
  </si>
  <si>
    <t>2548470885</t>
  </si>
  <si>
    <t>0578083093</t>
  </si>
  <si>
    <t>1469</t>
  </si>
  <si>
    <t>عبد الرحمن حمن الر</t>
  </si>
  <si>
    <t>2548470216</t>
  </si>
  <si>
    <t>1470</t>
  </si>
  <si>
    <t>عباس السيد ابو هاشم علي الطويل</t>
  </si>
  <si>
    <t>A24686752</t>
  </si>
  <si>
    <t>استقدام</t>
  </si>
  <si>
    <t>1471</t>
  </si>
  <si>
    <t>نهى راشد بن ابراهيم المبرك</t>
  </si>
  <si>
    <t>1077962635</t>
  </si>
  <si>
    <t>0542138839</t>
  </si>
  <si>
    <t>nunrashed2330@gmail.com</t>
  </si>
  <si>
    <t>SA7880000298608010331883</t>
  </si>
  <si>
    <t>1472</t>
  </si>
  <si>
    <t>محمد عبد المنعم وهيب</t>
  </si>
  <si>
    <t>2535642934</t>
  </si>
  <si>
    <t>A31154583</t>
  </si>
  <si>
    <t>0534060611</t>
  </si>
  <si>
    <t>monem2978@gmail.com</t>
  </si>
  <si>
    <t>SA0480000640608015045350</t>
  </si>
  <si>
    <t>1473</t>
  </si>
  <si>
    <t>ندى راشد بن ابراهيم المبرك</t>
  </si>
  <si>
    <t>1114525148</t>
  </si>
  <si>
    <t>0565698350</t>
  </si>
  <si>
    <t>Nada11223329@outlook.sa</t>
  </si>
  <si>
    <t>SA5180000374608010731022</t>
  </si>
  <si>
    <t>1474</t>
  </si>
  <si>
    <t>شرفت علي شير محمد</t>
  </si>
  <si>
    <t>2554085015</t>
  </si>
  <si>
    <t>KZ1839731</t>
  </si>
  <si>
    <t>SA5380000129608016716108</t>
  </si>
  <si>
    <t>1475</t>
  </si>
  <si>
    <t>محمود عبدالله صابر عبدالستار</t>
  </si>
  <si>
    <t>2534249236</t>
  </si>
  <si>
    <t>0548874463</t>
  </si>
  <si>
    <t>abdallahmahmoud989@gmail.com</t>
  </si>
  <si>
    <t>SA4480000101608016658500</t>
  </si>
  <si>
    <t>1477</t>
  </si>
  <si>
    <t>احمد يحي محسن عميسان</t>
  </si>
  <si>
    <t>2470332624</t>
  </si>
  <si>
    <t>سائق سيارة</t>
  </si>
  <si>
    <t>0532320365</t>
  </si>
  <si>
    <t>abunr.712@gmail.com</t>
  </si>
  <si>
    <t>SA2580000216608016482275</t>
  </si>
  <si>
    <t>1478</t>
  </si>
  <si>
    <t>عبد الله محمد محسن عامر</t>
  </si>
  <si>
    <t>4865213609</t>
  </si>
  <si>
    <t>1480</t>
  </si>
  <si>
    <t>محمد ياسين ياسين محمد</t>
  </si>
  <si>
    <t>2546388089</t>
  </si>
  <si>
    <t>0537246973</t>
  </si>
  <si>
    <t>SA4310000011100406297205</t>
  </si>
  <si>
    <t>1482</t>
  </si>
  <si>
    <t>اريج فرج بن عبدالله العوهلى</t>
  </si>
  <si>
    <t>1005567662</t>
  </si>
  <si>
    <t>0552949615</t>
  </si>
  <si>
    <t>id8892@icloud.com</t>
  </si>
  <si>
    <t>SA7280000372608010263689</t>
  </si>
  <si>
    <t>1483</t>
  </si>
  <si>
    <t>نوره راشد إبراهيم المبرك</t>
  </si>
  <si>
    <t>1066633668</t>
  </si>
  <si>
    <t>SA8480000374608016119263</t>
  </si>
  <si>
    <t>1484</t>
  </si>
  <si>
    <t>معلم برجر</t>
  </si>
  <si>
    <t>هاينس 2</t>
  </si>
  <si>
    <t>11773362</t>
  </si>
  <si>
    <t>1485</t>
  </si>
  <si>
    <t>محمد فايز محمد صالح الدعاس</t>
  </si>
  <si>
    <t>2368060048</t>
  </si>
  <si>
    <t>سائق عموم المركبات</t>
  </si>
  <si>
    <t>0505275187</t>
  </si>
  <si>
    <t>mahamid.br26@gmail.com</t>
  </si>
  <si>
    <t>SA5780000149608016103451</t>
  </si>
  <si>
    <t>1487</t>
  </si>
  <si>
    <t>نشوان عبدالجليل احمد ناجي</t>
  </si>
  <si>
    <t>2545977270</t>
  </si>
  <si>
    <t>0564482562</t>
  </si>
  <si>
    <t>SA0310000011100370143309</t>
  </si>
  <si>
    <t>1488</t>
  </si>
  <si>
    <t>عبدالله يحيى بن ضعافي خبراني</t>
  </si>
  <si>
    <t>1120092141</t>
  </si>
  <si>
    <t>0531368384</t>
  </si>
  <si>
    <t>abadalah007700@icloud.com</t>
  </si>
  <si>
    <t>SA7180000119608016402198</t>
  </si>
  <si>
    <t>1489</t>
  </si>
  <si>
    <t>نوال عبدالمنعم عبدالله ناصر</t>
  </si>
  <si>
    <t>1090524214</t>
  </si>
  <si>
    <t>0548191902</t>
  </si>
  <si>
    <t>nai_alnasser20@hotmail.com</t>
  </si>
  <si>
    <t>SA2780000271608016079461</t>
  </si>
  <si>
    <t>1490</t>
  </si>
  <si>
    <t>المغير اوسين شوهاك</t>
  </si>
  <si>
    <t>2537572014</t>
  </si>
  <si>
    <t>بروست زون</t>
  </si>
  <si>
    <t>شركة ديوان الأغذية للوجبات السريعة (شركة شخص واحد</t>
  </si>
  <si>
    <t>1491</t>
  </si>
  <si>
    <t>مد اسماعيل</t>
  </si>
  <si>
    <t>2536836691</t>
  </si>
  <si>
    <t>1492</t>
  </si>
  <si>
    <t>محمد جسيم</t>
  </si>
  <si>
    <t>2526454307</t>
  </si>
  <si>
    <t>1493</t>
  </si>
  <si>
    <t>محمد لقمان</t>
  </si>
  <si>
    <t>2435743550</t>
  </si>
  <si>
    <t>1494</t>
  </si>
  <si>
    <t>جاي</t>
  </si>
  <si>
    <t>الفلبين</t>
  </si>
  <si>
    <t>2539264297</t>
  </si>
  <si>
    <t>1495</t>
  </si>
  <si>
    <t>بلاه أباد بانغلوي</t>
  </si>
  <si>
    <t>2532566722</t>
  </si>
  <si>
    <t>1496</t>
  </si>
  <si>
    <t>محمد كاشير</t>
  </si>
  <si>
    <t>1497</t>
  </si>
  <si>
    <t>اسلام زينهم غازي البخارى</t>
  </si>
  <si>
    <t>2546420510</t>
  </si>
  <si>
    <t>SA2880000612608016078495</t>
  </si>
  <si>
    <t>1498</t>
  </si>
  <si>
    <t>خليل الله خليل الله</t>
  </si>
  <si>
    <t>1499</t>
  </si>
  <si>
    <t>روبن بلال حسين</t>
  </si>
  <si>
    <t>2501372854</t>
  </si>
  <si>
    <t>1501</t>
  </si>
  <si>
    <t>فوزيه شعوان عفار الشيباني</t>
  </si>
  <si>
    <t>1077324042</t>
  </si>
  <si>
    <t>SA8320000002242164669940</t>
  </si>
  <si>
    <t>1502</t>
  </si>
  <si>
    <t>تهاني عبدالعزيز بن ابراهيم العوشن</t>
  </si>
  <si>
    <t>1105056319</t>
  </si>
  <si>
    <t>1503</t>
  </si>
  <si>
    <t>قاسم</t>
  </si>
  <si>
    <t>1504</t>
  </si>
  <si>
    <t>رائد علي محمد علوان</t>
  </si>
  <si>
    <t>2540501935</t>
  </si>
  <si>
    <t>SA6710000011100409438506</t>
  </si>
  <si>
    <t>1505</t>
  </si>
  <si>
    <t>راني ساركر</t>
  </si>
  <si>
    <t>2538475753</t>
  </si>
  <si>
    <t>SA3110000011100408405910</t>
  </si>
  <si>
    <t>1506</t>
  </si>
  <si>
    <t>هشام احمد نزال</t>
  </si>
  <si>
    <t>1509</t>
  </si>
  <si>
    <t>مد الله</t>
  </si>
  <si>
    <t>2550582999</t>
  </si>
  <si>
    <t>0507958491</t>
  </si>
  <si>
    <t>SA4480000101608016782078</t>
  </si>
  <si>
    <t>1510</t>
  </si>
  <si>
    <t>مد شكيل احمد احمد</t>
  </si>
  <si>
    <t>2550900688</t>
  </si>
  <si>
    <t>1511</t>
  </si>
  <si>
    <t>ساكيب  اوسين</t>
  </si>
  <si>
    <t>2550585356</t>
  </si>
  <si>
    <t>0559105467</t>
  </si>
  <si>
    <t>ms2471927@gmail.com</t>
  </si>
  <si>
    <t>SA0980000101608016782029</t>
  </si>
  <si>
    <t>1512</t>
  </si>
  <si>
    <t>عمر شريف شومون</t>
  </si>
  <si>
    <t>2551017490</t>
  </si>
  <si>
    <t>SA9380000101608016787986</t>
  </si>
  <si>
    <t>1513</t>
  </si>
  <si>
    <t>هريدوي اوسين</t>
  </si>
  <si>
    <t>2551017433</t>
  </si>
  <si>
    <t>0544795528</t>
  </si>
  <si>
    <t>mdhridoy10210@gmail.com</t>
  </si>
  <si>
    <t>1514</t>
  </si>
  <si>
    <t>مد جيل ميا</t>
  </si>
  <si>
    <t>2551002575</t>
  </si>
  <si>
    <t>SA5980000101608016788307</t>
  </si>
  <si>
    <t>تم نقل الموظف 19-08-2023</t>
  </si>
  <si>
    <t>1515</t>
  </si>
  <si>
    <t>سعد خالد سعد بن راكان</t>
  </si>
  <si>
    <t>1127395570</t>
  </si>
  <si>
    <t>0554078663</t>
  </si>
  <si>
    <t>sddwsry40@gmail.com</t>
  </si>
  <si>
    <t>SA6380000216608016175168</t>
  </si>
  <si>
    <t>1516</t>
  </si>
  <si>
    <t>عيسى علي عبدالله بن سعيد</t>
  </si>
  <si>
    <t>1129355812</t>
  </si>
  <si>
    <t>0537284334</t>
  </si>
  <si>
    <t>essa.ail.bn.saeeed@gmail.com</t>
  </si>
  <si>
    <t>SA6580000390608016023648</t>
  </si>
  <si>
    <t>1517</t>
  </si>
  <si>
    <t>مد نظم ال حسن</t>
  </si>
  <si>
    <t>2550813337</t>
  </si>
  <si>
    <t>1518</t>
  </si>
  <si>
    <t>مد راحت</t>
  </si>
  <si>
    <t>2545815777</t>
  </si>
  <si>
    <t>SA8410000039000002237110</t>
  </si>
  <si>
    <t>1519</t>
  </si>
  <si>
    <t>عماد صادق صالح الفهد</t>
  </si>
  <si>
    <t>2550496018</t>
  </si>
  <si>
    <t>SA5180000216608016497521</t>
  </si>
  <si>
    <t>1520</t>
  </si>
  <si>
    <t>اصيل احمد محمد الحايك</t>
  </si>
  <si>
    <t>2445129287</t>
  </si>
  <si>
    <t>بناء عام</t>
  </si>
  <si>
    <t>SA4910000011100376757202</t>
  </si>
  <si>
    <t>1521</t>
  </si>
  <si>
    <t>يزيد عبد العزيز عبد الرحمن البركه</t>
  </si>
  <si>
    <t>1109763217</t>
  </si>
  <si>
    <t>0502321539</t>
  </si>
  <si>
    <t>zizooo905z@gmail.com</t>
  </si>
  <si>
    <t>SA1380000280608010884816</t>
  </si>
  <si>
    <t>1522</t>
  </si>
  <si>
    <t>مد نظم ابراهيم غول بهار</t>
  </si>
  <si>
    <t>2524894603</t>
  </si>
  <si>
    <t>طباخ منزلي</t>
  </si>
  <si>
    <t>SA4560100612081511653001</t>
  </si>
  <si>
    <t>1523</t>
  </si>
  <si>
    <t>خرصان عيضة محسن عامر عميسان</t>
  </si>
  <si>
    <t>2175235262</t>
  </si>
  <si>
    <t>1524</t>
  </si>
  <si>
    <t>عبدالله عيضة محسن عامر عميسان</t>
  </si>
  <si>
    <t>2216569281</t>
  </si>
  <si>
    <t>1525</t>
  </si>
  <si>
    <t>جاهد السلام جمال حسين</t>
  </si>
  <si>
    <t>2533487050</t>
  </si>
  <si>
    <t>1526</t>
  </si>
  <si>
    <t>MD LIMON MIA RIPON</t>
  </si>
  <si>
    <t>2511681203</t>
  </si>
  <si>
    <t>1527</t>
  </si>
  <si>
    <t>مد كوثر حسين</t>
  </si>
  <si>
    <t>2546888047</t>
  </si>
  <si>
    <t>SA2810000078400001652305</t>
  </si>
  <si>
    <t>1529</t>
  </si>
  <si>
    <t>هاجر ياسر سعد المخلفي الحربي</t>
  </si>
  <si>
    <t>1092102357</t>
  </si>
  <si>
    <t>0533949139</t>
  </si>
  <si>
    <t>fouzalmkh1fll@gmail.com</t>
  </si>
  <si>
    <t>SA0380000118608011257622</t>
  </si>
  <si>
    <t>تم اضافتها في التامينات الاجتماعية بتاريخ 01-10-2023</t>
  </si>
  <si>
    <t>1531</t>
  </si>
  <si>
    <t>كاسيم بلال اوسين</t>
  </si>
  <si>
    <t>2543742171</t>
  </si>
  <si>
    <t>1533</t>
  </si>
  <si>
    <t>راكان عبدالله بن حسن الدبيان</t>
  </si>
  <si>
    <t>1131924910</t>
  </si>
  <si>
    <t>0536274741</t>
  </si>
  <si>
    <t>SA4980000372608016127656</t>
  </si>
  <si>
    <t>1534</t>
  </si>
  <si>
    <t>EL0273601</t>
  </si>
  <si>
    <t>اثير  مفلح محمد ال عتيق الدوسري</t>
  </si>
  <si>
    <t>1110524202</t>
  </si>
  <si>
    <t>0559770945</t>
  </si>
  <si>
    <t>SA5480000142608016011123</t>
  </si>
  <si>
    <t>1535</t>
  </si>
  <si>
    <t>سحر عبد الله احمد قارش هزازي</t>
  </si>
  <si>
    <t>1092884756</t>
  </si>
  <si>
    <t>0534608870</t>
  </si>
  <si>
    <t>tiuuayz12@gmail.com</t>
  </si>
  <si>
    <t>SA6380000211608010481906</t>
  </si>
  <si>
    <t>1536</t>
  </si>
  <si>
    <t>خلود فهد صالح الرزيحي</t>
  </si>
  <si>
    <t>1085765368</t>
  </si>
  <si>
    <t>0533390133</t>
  </si>
  <si>
    <t>khlood.fahad@hotmail.com</t>
  </si>
  <si>
    <t>SA5705000068204104117000</t>
  </si>
  <si>
    <t>1537</t>
  </si>
  <si>
    <t>بندر حسن حسين طرشي</t>
  </si>
  <si>
    <t>1064504788</t>
  </si>
  <si>
    <t>مدير  اداري</t>
  </si>
  <si>
    <t>050522802</t>
  </si>
  <si>
    <t>bandarhassan@gmail.com</t>
  </si>
  <si>
    <t>1538</t>
  </si>
  <si>
    <t>الهام احمد محمد السميح</t>
  </si>
  <si>
    <t>1111070155</t>
  </si>
  <si>
    <t>0503830290</t>
  </si>
  <si>
    <t>elhamahmad.sm@gmail.com</t>
  </si>
  <si>
    <t>SA2005000068201717881000</t>
  </si>
  <si>
    <t>1539</t>
  </si>
  <si>
    <t>نجم االدين احمد مسعد تاج الدين</t>
  </si>
  <si>
    <t>2470831336</t>
  </si>
  <si>
    <t>0562527694</t>
  </si>
  <si>
    <t>ngm.eldien.666@gmail.com</t>
  </si>
  <si>
    <t>SA5105000068204441312000</t>
  </si>
  <si>
    <t>1541</t>
  </si>
  <si>
    <t>عبدالاله محمد عبدالله الشايقي</t>
  </si>
  <si>
    <t>1067944403</t>
  </si>
  <si>
    <t>دعم فني</t>
  </si>
  <si>
    <t>SA4880000433608017777795</t>
  </si>
  <si>
    <t>1542</t>
  </si>
  <si>
    <t>محمد فيصل مياه</t>
  </si>
  <si>
    <t>2550982462</t>
  </si>
  <si>
    <t>0502284649</t>
  </si>
  <si>
    <t>faxsulmiah6@gmail.com</t>
  </si>
  <si>
    <t>1543</t>
  </si>
  <si>
    <t>ممد مران اوسين</t>
  </si>
  <si>
    <t>2549654842</t>
  </si>
  <si>
    <t>0572674133</t>
  </si>
  <si>
    <t>mdimranhasanatif@gmail.com</t>
  </si>
  <si>
    <t>1544</t>
  </si>
  <si>
    <t>أروى خليف بن صالح الحايطي</t>
  </si>
  <si>
    <t>1126192374</t>
  </si>
  <si>
    <t>0566369229</t>
  </si>
  <si>
    <t>SA9020000009319310719940</t>
  </si>
  <si>
    <t>1545</t>
  </si>
  <si>
    <t>محمد طارق حسن محمد</t>
  </si>
  <si>
    <t>2554617957</t>
  </si>
  <si>
    <t>عامل تعبئة ورفوف</t>
  </si>
  <si>
    <t>0555489062</t>
  </si>
  <si>
    <t>1546</t>
  </si>
  <si>
    <t>محمد ريداي رياض محمد</t>
  </si>
  <si>
    <t>2554618740</t>
  </si>
  <si>
    <t>0555465091</t>
  </si>
  <si>
    <t>SA2530100942000170995454</t>
  </si>
  <si>
    <t>1547</t>
  </si>
  <si>
    <t>محمد حسن علي محمود</t>
  </si>
  <si>
    <t>2554618211</t>
  </si>
  <si>
    <t>0555457027</t>
  </si>
  <si>
    <t>hk537365@gmail.com</t>
  </si>
  <si>
    <t>1548</t>
  </si>
  <si>
    <t>محمد تنوير محمد حسن</t>
  </si>
  <si>
    <t>2554618518</t>
  </si>
  <si>
    <t>0555473430</t>
  </si>
  <si>
    <t>SA1030100942000170429632</t>
  </si>
  <si>
    <t>1549</t>
  </si>
  <si>
    <t>احمد مية مية اوهيد</t>
  </si>
  <si>
    <t>2554617619</t>
  </si>
  <si>
    <t>0501934384</t>
  </si>
  <si>
    <t>ahad20367@gmail.com</t>
  </si>
  <si>
    <t>1550</t>
  </si>
  <si>
    <t>رفيق الاسلام المزيد</t>
  </si>
  <si>
    <t>2554616710</t>
  </si>
  <si>
    <t>0555460253</t>
  </si>
  <si>
    <t>1551</t>
  </si>
  <si>
    <t>عبد الرزاق عبدالله محمد صالح حسين</t>
  </si>
  <si>
    <t>2535565606</t>
  </si>
  <si>
    <t>1552</t>
  </si>
  <si>
    <t>شوهاق اوسين</t>
  </si>
  <si>
    <t>2553457850</t>
  </si>
  <si>
    <t>0570569742</t>
  </si>
  <si>
    <t>1553</t>
  </si>
  <si>
    <t>محمد ايمون اوسين</t>
  </si>
  <si>
    <t>محمد ايمان حسين</t>
  </si>
  <si>
    <t>1554</t>
  </si>
  <si>
    <t>محمد هاشم احمد مسعد غانم</t>
  </si>
  <si>
    <t>2546544327</t>
  </si>
  <si>
    <t>0506598292</t>
  </si>
  <si>
    <t>1555</t>
  </si>
  <si>
    <t>نوره محمد بن ناصر السويلم</t>
  </si>
  <si>
    <t>1065401232</t>
  </si>
  <si>
    <t>مساعد إداري</t>
  </si>
  <si>
    <t>0567007098</t>
  </si>
  <si>
    <t>noorah900@hotmail.com</t>
  </si>
  <si>
    <t>SA4710000072300002714903</t>
  </si>
  <si>
    <t>1556</t>
  </si>
  <si>
    <t>صالح سليمان بن صالح المريشد</t>
  </si>
  <si>
    <t>1072033952</t>
  </si>
  <si>
    <t>0542366366</t>
  </si>
  <si>
    <t>saleh.s1411@hotmail.com</t>
  </si>
  <si>
    <t>SA6515000421132946470007</t>
  </si>
  <si>
    <t>1557</t>
  </si>
  <si>
    <t>مد راشد</t>
  </si>
  <si>
    <t>2554843645</t>
  </si>
  <si>
    <t>0560217062</t>
  </si>
  <si>
    <t>SA24800006406080151882559</t>
  </si>
  <si>
    <t>1558</t>
  </si>
  <si>
    <t>برويز علام</t>
  </si>
  <si>
    <t>2553593985</t>
  </si>
  <si>
    <t>حفر الباطن</t>
  </si>
  <si>
    <t>0571976574</t>
  </si>
  <si>
    <t>SA6580000644608016502447</t>
  </si>
  <si>
    <t>1559</t>
  </si>
  <si>
    <t>شاون مياه عثمان</t>
  </si>
  <si>
    <t>2508886401</t>
  </si>
  <si>
    <t>0571234984</t>
  </si>
  <si>
    <t>SA4910000011100314069400</t>
  </si>
  <si>
    <t>1560</t>
  </si>
  <si>
    <t>مد سعيد ال اسلام</t>
  </si>
  <si>
    <t>2550525147</t>
  </si>
  <si>
    <t>0592172890</t>
  </si>
  <si>
    <t>si3979247@gmail.com</t>
  </si>
  <si>
    <t>1561</t>
  </si>
  <si>
    <t>شاه محمد فيدو حسن نور</t>
  </si>
  <si>
    <t>2553356649</t>
  </si>
  <si>
    <t>0554957610</t>
  </si>
  <si>
    <t>antuvhai89@gmail.com</t>
  </si>
  <si>
    <t>SA5805000068204832276000</t>
  </si>
  <si>
    <t>1562</t>
  </si>
  <si>
    <t>اشرف ال حسين حسين</t>
  </si>
  <si>
    <t>2553899713</t>
  </si>
  <si>
    <t>0556462581</t>
  </si>
  <si>
    <t>na3311288@gmail.com</t>
  </si>
  <si>
    <t>1563</t>
  </si>
  <si>
    <t>محمد نديم نديم</t>
  </si>
  <si>
    <t>2551022342</t>
  </si>
  <si>
    <t>SA2230100942000169990976</t>
  </si>
  <si>
    <t>1564</t>
  </si>
  <si>
    <t>مد بيدالله</t>
  </si>
  <si>
    <t>2554906137</t>
  </si>
  <si>
    <t>0551535710</t>
  </si>
  <si>
    <t>SA5180000644608016491641</t>
  </si>
  <si>
    <t>1565</t>
  </si>
  <si>
    <t>مد رفعت ميا</t>
  </si>
  <si>
    <t>2554905774</t>
  </si>
  <si>
    <t>0551532917</t>
  </si>
  <si>
    <t>SA3880000644608016491434</t>
  </si>
  <si>
    <t>1566</t>
  </si>
  <si>
    <t>محمد سيد الاسلام</t>
  </si>
  <si>
    <t>1567</t>
  </si>
  <si>
    <t>مد راجيب اوسين</t>
  </si>
  <si>
    <t>1568</t>
  </si>
  <si>
    <t>حمدي امدي شراب  ابو الكاشم كاشم</t>
  </si>
  <si>
    <t>2548508353</t>
  </si>
  <si>
    <t>0563584755</t>
  </si>
  <si>
    <t>hasan5435246@gmail.com</t>
  </si>
  <si>
    <t>1569</t>
  </si>
  <si>
    <t>2553714599</t>
  </si>
  <si>
    <t>0554849967</t>
  </si>
  <si>
    <t>1570</t>
  </si>
  <si>
    <t>بلال اوسين</t>
  </si>
  <si>
    <t>2552333219</t>
  </si>
  <si>
    <t>0532016978</t>
  </si>
  <si>
    <t>madmallal6789@gmaiil.com</t>
  </si>
  <si>
    <t>1571</t>
  </si>
  <si>
    <t>محمد ياسين</t>
  </si>
  <si>
    <t>2553521705</t>
  </si>
  <si>
    <t>0573063795</t>
  </si>
  <si>
    <t>SA8180000640608014688168</t>
  </si>
  <si>
    <t>1572</t>
  </si>
  <si>
    <t>مد ياسين</t>
  </si>
  <si>
    <t>0546525202</t>
  </si>
  <si>
    <t>mdsujon901322@gmail.com</t>
  </si>
  <si>
    <t>SA52800001011608016753707</t>
  </si>
  <si>
    <t>1573</t>
  </si>
  <si>
    <t>نواف عبدالله بن جبر المطيري</t>
  </si>
  <si>
    <t>1130843715</t>
  </si>
  <si>
    <t>0583382519</t>
  </si>
  <si>
    <t>nawafalmuatiri7@gmail.com</t>
  </si>
  <si>
    <t>SA7420000006061531119940</t>
  </si>
  <si>
    <t>1574</t>
  </si>
  <si>
    <t>محمد الحميدي بن مطلق العتيبي</t>
  </si>
  <si>
    <t>1122213745</t>
  </si>
  <si>
    <t>0500261312</t>
  </si>
  <si>
    <t>SA0580000545608016003495</t>
  </si>
  <si>
    <t>1575</t>
  </si>
  <si>
    <t>فيصل عادل سعود العقيل</t>
  </si>
  <si>
    <t>1129971972</t>
  </si>
  <si>
    <t>0559689434</t>
  </si>
  <si>
    <t>SA1380000597608016209495</t>
  </si>
  <si>
    <t>1576</t>
  </si>
  <si>
    <t>سلطان سعود منصور العنزي</t>
  </si>
  <si>
    <t>1109626216</t>
  </si>
  <si>
    <t>SA9280000646608010021582</t>
  </si>
  <si>
    <t>1577</t>
  </si>
  <si>
    <t>رحيل علي ابراهيم الطرشي</t>
  </si>
  <si>
    <t>1094927405</t>
  </si>
  <si>
    <t>0555251375</t>
  </si>
  <si>
    <t>rheel1412@gmail.com</t>
  </si>
  <si>
    <t>SA7880000475608012005498</t>
  </si>
  <si>
    <t>1578</t>
  </si>
  <si>
    <t>هديل حسن حسين طرشي</t>
  </si>
  <si>
    <t>1072076423</t>
  </si>
  <si>
    <t>0550688988</t>
  </si>
  <si>
    <t>haadelll0@gmail.com</t>
  </si>
  <si>
    <t>SA6180000114608010527532</t>
  </si>
  <si>
    <t>1579</t>
  </si>
  <si>
    <t>هيا احمد محمد السميح</t>
  </si>
  <si>
    <t>1111070148</t>
  </si>
  <si>
    <t>SA5305000068202126076000</t>
  </si>
  <si>
    <t>1580</t>
  </si>
  <si>
    <t>ايمان</t>
  </si>
  <si>
    <t>0541486210</t>
  </si>
  <si>
    <t>1581</t>
  </si>
  <si>
    <t>لمياء فهد عبدالرحمن الراشد</t>
  </si>
  <si>
    <t>1098188673</t>
  </si>
  <si>
    <t>0547557722</t>
  </si>
  <si>
    <t>lamyaalrashed4@gmail.com</t>
  </si>
  <si>
    <t>SA5510000023247165006607</t>
  </si>
  <si>
    <t>1582</t>
  </si>
  <si>
    <t>644608016496434</t>
  </si>
  <si>
    <t>1583</t>
  </si>
  <si>
    <t>عبدالاله ناجي علي السماعيل</t>
  </si>
  <si>
    <t>2554783411</t>
  </si>
  <si>
    <t>0536386477</t>
  </si>
  <si>
    <t>bdalalhadas9@gmail.com</t>
  </si>
  <si>
    <t>4080000331608016600124</t>
  </si>
  <si>
    <t>1584</t>
  </si>
  <si>
    <t>دانه سليمان صالح المريشد</t>
  </si>
  <si>
    <t>1131466045</t>
  </si>
  <si>
    <t>0582366366</t>
  </si>
  <si>
    <t>danahsulaiman12@gmail.com</t>
  </si>
  <si>
    <t>SA898000036960801084101</t>
  </si>
  <si>
    <t>1585</t>
  </si>
  <si>
    <t>عبدالرحمن الحاتمي</t>
  </si>
  <si>
    <t>1586</t>
  </si>
  <si>
    <t>ALISON NAKATO</t>
  </si>
  <si>
    <t>2556111447</t>
  </si>
  <si>
    <t>1587</t>
  </si>
  <si>
    <t>مرام سعود فياض الشمري</t>
  </si>
  <si>
    <t>1115700922</t>
  </si>
  <si>
    <t>0565304359</t>
  </si>
  <si>
    <t>mmaaraamoo3@gmail.com</t>
  </si>
  <si>
    <t>SA8310000011100223463804</t>
  </si>
  <si>
    <t>1588</t>
  </si>
  <si>
    <t>السيد مصطفى السيد ابوهاشم</t>
  </si>
  <si>
    <t>4786855413</t>
  </si>
  <si>
    <t>1589</t>
  </si>
  <si>
    <t>مد مجيب ال رامان</t>
  </si>
  <si>
    <t>2554942108</t>
  </si>
  <si>
    <t>1590</t>
  </si>
  <si>
    <t>مد رفعت مياه</t>
  </si>
  <si>
    <t>1591</t>
  </si>
  <si>
    <t>مجاميل باتهان</t>
  </si>
  <si>
    <t>2521672184</t>
  </si>
  <si>
    <t>1592</t>
  </si>
  <si>
    <t>غولام سروار</t>
  </si>
  <si>
    <t>2519846444</t>
  </si>
  <si>
    <t>1593</t>
  </si>
  <si>
    <t>مد اسرائيل حسين</t>
  </si>
  <si>
    <t>2547077079</t>
  </si>
  <si>
    <t>مبلط</t>
  </si>
  <si>
    <t>1594</t>
  </si>
  <si>
    <t>احمد محمد عبده قايد احمد</t>
  </si>
  <si>
    <t>2526983297</t>
  </si>
  <si>
    <t>0544564635</t>
  </si>
  <si>
    <t>ahmed774407975@gmail.com</t>
  </si>
  <si>
    <t>SA2510000011100407682204</t>
  </si>
  <si>
    <t>1595</t>
  </si>
  <si>
    <t>يوسف عبد الرحمن احمد الطريفي</t>
  </si>
  <si>
    <t>2507613491</t>
  </si>
  <si>
    <t>1596</t>
  </si>
  <si>
    <t>ايدي كاسيدسيد ميريدا</t>
  </si>
  <si>
    <t>2464431069</t>
  </si>
  <si>
    <t>0547259469</t>
  </si>
  <si>
    <t>evangelinenavat8@gmail.com</t>
  </si>
  <si>
    <t>1597</t>
  </si>
  <si>
    <t>عبد الركريم عبد الله محمد غفينه</t>
  </si>
  <si>
    <t>2464064308</t>
  </si>
  <si>
    <t>مشرف تأسيس</t>
  </si>
  <si>
    <t>0503283435</t>
  </si>
  <si>
    <t>1598</t>
  </si>
  <si>
    <t>أيمن خالد هادي الخضراني الحربي</t>
  </si>
  <si>
    <t>1126452729</t>
  </si>
  <si>
    <t>0530566921</t>
  </si>
  <si>
    <t>SA0610000011100266442301</t>
  </si>
  <si>
    <t>1599</t>
  </si>
  <si>
    <t>عبد الله محمد فارس الرحماني البقمي</t>
  </si>
  <si>
    <t>1121290652</t>
  </si>
  <si>
    <t>0502126829</t>
  </si>
  <si>
    <t>abdullhmoh.55@gmail.com</t>
  </si>
  <si>
    <t>SA1780000392608016036440</t>
  </si>
  <si>
    <t>1600</t>
  </si>
  <si>
    <t>نجم الدين علي عبده عبد السلام</t>
  </si>
  <si>
    <t>2500960063</t>
  </si>
  <si>
    <t>1601</t>
  </si>
  <si>
    <t>عبدالله عمر صالح باكربشات</t>
  </si>
  <si>
    <t>2514011382</t>
  </si>
  <si>
    <t>0575821127</t>
  </si>
  <si>
    <t>abd.omero.2006@gmail.com</t>
  </si>
  <si>
    <t>SA2480000108608016191455</t>
  </si>
  <si>
    <t>1020</t>
  </si>
  <si>
    <t>محمد فاروق خليل</t>
  </si>
  <si>
    <t>2419016353</t>
  </si>
  <si>
    <t>S7706190</t>
  </si>
  <si>
    <t>0576933414</t>
  </si>
  <si>
    <t>تم انهاء خدماته</t>
  </si>
  <si>
    <t>استبعاد نهائي</t>
  </si>
  <si>
    <t>1050</t>
  </si>
  <si>
    <t>محمد عطية سعد</t>
  </si>
  <si>
    <t>2227227549</t>
  </si>
  <si>
    <t>509995680</t>
  </si>
  <si>
    <t>SA3580000126608010373461</t>
  </si>
  <si>
    <t>استقالة</t>
  </si>
  <si>
    <t>1051</t>
  </si>
  <si>
    <t>مشعل حسن صالح القحطاني</t>
  </si>
  <si>
    <t>1123517557</t>
  </si>
  <si>
    <t>506764083</t>
  </si>
  <si>
    <t>1053</t>
  </si>
  <si>
    <t>بشاير خليل أحمد العنزي</t>
  </si>
  <si>
    <t>1086719836</t>
  </si>
  <si>
    <t>506330351</t>
  </si>
  <si>
    <t>bshayer.34515@gmail.com</t>
  </si>
  <si>
    <t>SA7180000475608013652587</t>
  </si>
  <si>
    <t>1075</t>
  </si>
  <si>
    <t>اريج مرداس عبدالله ال مسفوه اليامي</t>
  </si>
  <si>
    <t>1081089128</t>
  </si>
  <si>
    <t>508797904</t>
  </si>
  <si>
    <t>areegmerdas@gmail.com</t>
  </si>
  <si>
    <t>SA4680000475608011654643</t>
  </si>
  <si>
    <t>1097</t>
  </si>
  <si>
    <t>مد شبوزا</t>
  </si>
  <si>
    <t>2484400839</t>
  </si>
  <si>
    <t>عامل شحن وتفريغ</t>
  </si>
  <si>
    <t>BX0499928</t>
  </si>
  <si>
    <t>580233507</t>
  </si>
  <si>
    <t>sobujislamalone763@gmail.com</t>
  </si>
  <si>
    <t>SA5710000011100077197002</t>
  </si>
  <si>
    <t>1100</t>
  </si>
  <si>
    <t>نوره حمد فنيس الكبرى</t>
  </si>
  <si>
    <t>1120164403</t>
  </si>
  <si>
    <t>534612609</t>
  </si>
  <si>
    <t>noura7md2000@gmail.com</t>
  </si>
  <si>
    <t>SA8480000129608016051100</t>
  </si>
  <si>
    <t>1102</t>
  </si>
  <si>
    <t>مجيد مياه عبدال حنان</t>
  </si>
  <si>
    <t>2480177498</t>
  </si>
  <si>
    <t>EK0748161</t>
  </si>
  <si>
    <t>573032377</t>
  </si>
  <si>
    <t>mazeedmiah654@gmail.com</t>
  </si>
  <si>
    <t>SA2110000011100077127907</t>
  </si>
  <si>
    <t>1107</t>
  </si>
  <si>
    <t>عمار مختار احمد  الحناني</t>
  </si>
  <si>
    <t>2314409695</t>
  </si>
  <si>
    <t>500171185</t>
  </si>
  <si>
    <t>ammaralhanani1412@gmail.com</t>
  </si>
  <si>
    <t>SA2580000331608010629947</t>
  </si>
  <si>
    <t>1116</t>
  </si>
  <si>
    <t>عبد الله محمد عبده حكمي</t>
  </si>
  <si>
    <t>1090491950</t>
  </si>
  <si>
    <t>557637417</t>
  </si>
  <si>
    <t>xv7722@gmail.com</t>
  </si>
  <si>
    <t>SA6180000168608010156717</t>
  </si>
  <si>
    <t>حصوله على وظيفة أخرى حكومية</t>
  </si>
  <si>
    <t>1118</t>
  </si>
  <si>
    <t>إبراهيم عبد الله العلوي</t>
  </si>
  <si>
    <t>1096726334</t>
  </si>
  <si>
    <t>SA1210000021461995000105</t>
  </si>
  <si>
    <t>1119</t>
  </si>
  <si>
    <t>شذى فرحان معاشي العنزي</t>
  </si>
  <si>
    <t>1112757867</t>
  </si>
  <si>
    <t>0504260174</t>
  </si>
  <si>
    <t>bashayeralanazi2@gmail.com</t>
  </si>
  <si>
    <t>SA2205000068202468524000</t>
  </si>
  <si>
    <t>1121</t>
  </si>
  <si>
    <t>عبدالله سعد عبدالرحمن الرزيحي</t>
  </si>
  <si>
    <t>1100165263</t>
  </si>
  <si>
    <t>SA3280000537608010102608</t>
  </si>
  <si>
    <t>1123</t>
  </si>
  <si>
    <t>بنين عبدالله موسي آل درويش</t>
  </si>
  <si>
    <t>1113859985</t>
  </si>
  <si>
    <t>0561137078</t>
  </si>
  <si>
    <t>banin_2001@icloud.com</t>
  </si>
  <si>
    <t>SA7010000008600000708610</t>
  </si>
  <si>
    <t>1126</t>
  </si>
  <si>
    <t>فيصل دخيل الله علي الغامدي</t>
  </si>
  <si>
    <t>1114326679</t>
  </si>
  <si>
    <t>0538621661</t>
  </si>
  <si>
    <t>ssii55sui@gmail.com</t>
  </si>
  <si>
    <t>SA7680000632608010314637</t>
  </si>
  <si>
    <t>1128</t>
  </si>
  <si>
    <t>ريوف عبدالله محمد الدهيمي</t>
  </si>
  <si>
    <t>1113147506</t>
  </si>
  <si>
    <t>540462437</t>
  </si>
  <si>
    <t>reuofab@gmail.com</t>
  </si>
  <si>
    <t>SA6680000644608011429620</t>
  </si>
  <si>
    <t>1129</t>
  </si>
  <si>
    <t>غدير مبارك رشود الدوسري</t>
  </si>
  <si>
    <t>1120747140</t>
  </si>
  <si>
    <t>552200594</t>
  </si>
  <si>
    <t>SA6380000216608016292344</t>
  </si>
  <si>
    <t>1130</t>
  </si>
  <si>
    <t>منيرة سالم إبراهيم المفتاح</t>
  </si>
  <si>
    <t>1105185670</t>
  </si>
  <si>
    <t>0504214730</t>
  </si>
  <si>
    <t>Almnwshmnyrh654@gmail.com</t>
  </si>
  <si>
    <t>SA8180000390608016003475</t>
  </si>
  <si>
    <t>1131</t>
  </si>
  <si>
    <t>عبد الله يحي حسن مجممي</t>
  </si>
  <si>
    <t>1117922722</t>
  </si>
  <si>
    <t>0554226326</t>
  </si>
  <si>
    <t>aboodfrem@gmail.com</t>
  </si>
  <si>
    <t>SA3880000282608016247008</t>
  </si>
  <si>
    <t>1134</t>
  </si>
  <si>
    <t>ضيف الله احمد عبدالله اليافعي</t>
  </si>
  <si>
    <t>2498980875</t>
  </si>
  <si>
    <t>معلم نجارة</t>
  </si>
  <si>
    <t>08995990</t>
  </si>
  <si>
    <t>0501891685</t>
  </si>
  <si>
    <t>SA7610000011100250272402</t>
  </si>
  <si>
    <t>1136</t>
  </si>
  <si>
    <t>عبدالحافظ رشاد علي سعيد</t>
  </si>
  <si>
    <t>2511070753</t>
  </si>
  <si>
    <t>08666462</t>
  </si>
  <si>
    <t>0544563287</t>
  </si>
  <si>
    <t>SA4710000011100249652706</t>
  </si>
  <si>
    <t>1147</t>
  </si>
  <si>
    <t>منيره حسن عبدالله قعود</t>
  </si>
  <si>
    <t>1096580376</t>
  </si>
  <si>
    <t>05042601749</t>
  </si>
  <si>
    <t>SA4305000068201517407000</t>
  </si>
  <si>
    <t>1154</t>
  </si>
  <si>
    <t>فاطمه علي عبدالله المطوع</t>
  </si>
  <si>
    <t>1122660200</t>
  </si>
  <si>
    <t>0577451439</t>
  </si>
  <si>
    <t>fa2516052@gmail.com</t>
  </si>
  <si>
    <t>SA3510000011100237964907</t>
  </si>
  <si>
    <t>1159</t>
  </si>
  <si>
    <t>سيف أحمد محسن اليمني</t>
  </si>
  <si>
    <t>2499352421</t>
  </si>
  <si>
    <t>حارس</t>
  </si>
  <si>
    <t>0553844268</t>
  </si>
  <si>
    <t>SA5080000237608016002565</t>
  </si>
  <si>
    <t>1160</t>
  </si>
  <si>
    <t>غدير راشد محمد السبيعي</t>
  </si>
  <si>
    <t>1117342699</t>
  </si>
  <si>
    <t>0552323519</t>
  </si>
  <si>
    <t>ghadeerralsubaie@icloud.com</t>
  </si>
  <si>
    <t>SA1605000068202748877000</t>
  </si>
  <si>
    <t>1161</t>
  </si>
  <si>
    <t>عبدالمجيد محمد عبدالله النمي</t>
  </si>
  <si>
    <t>1115029629</t>
  </si>
  <si>
    <t>0507407737</t>
  </si>
  <si>
    <t>Mgooody99ksa@gmail.com</t>
  </si>
  <si>
    <t>SA1005000068202025668000</t>
  </si>
  <si>
    <t>1164</t>
  </si>
  <si>
    <t>جيهان عبد ماطر المطيري</t>
  </si>
  <si>
    <t>1107266452</t>
  </si>
  <si>
    <t>0549692311</t>
  </si>
  <si>
    <t>SA4980000198608010255828</t>
  </si>
  <si>
    <t>1174</t>
  </si>
  <si>
    <t>وجدان محمود صالح ال كاظم</t>
  </si>
  <si>
    <t>1106435751</t>
  </si>
  <si>
    <t>SA1910000011100185277802</t>
  </si>
  <si>
    <t>1175</t>
  </si>
  <si>
    <t>فارس محمد دخيل الدخيل</t>
  </si>
  <si>
    <t>1114305970</t>
  </si>
  <si>
    <t>1179</t>
  </si>
  <si>
    <t>عبد المجيد محمد دخيل الدخيل</t>
  </si>
  <si>
    <t>1120032790</t>
  </si>
  <si>
    <t>1180</t>
  </si>
  <si>
    <t>محمد عبدالعزيز علي المحيميد</t>
  </si>
  <si>
    <t>1123833046</t>
  </si>
  <si>
    <t>0505607661</t>
  </si>
  <si>
    <t>sal.1419@hotmail.com</t>
  </si>
  <si>
    <t>SA8880000449608016029596</t>
  </si>
  <si>
    <t>1192</t>
  </si>
  <si>
    <t>JENNYLYN PAMISA VISORDE</t>
  </si>
  <si>
    <t>2502373844</t>
  </si>
  <si>
    <t>عاملة منزلية</t>
  </si>
  <si>
    <t>P3716846B</t>
  </si>
  <si>
    <t>1194</t>
  </si>
  <si>
    <t>محمد عبدالله سعد آل مرعي الشهري</t>
  </si>
  <si>
    <t>1109408854</t>
  </si>
  <si>
    <t>0509864398</t>
  </si>
  <si>
    <t>SA1080000447608010841212</t>
  </si>
  <si>
    <t>انهاء فترة التجربة</t>
  </si>
  <si>
    <t>1196</t>
  </si>
  <si>
    <t>عبد الله عبد العزيز محمد السويح</t>
  </si>
  <si>
    <t>1108766666</t>
  </si>
  <si>
    <t>0595670155</t>
  </si>
  <si>
    <t>abodyswe@gmail.com</t>
  </si>
  <si>
    <t>SA3010000025600000083509</t>
  </si>
  <si>
    <t>1198</t>
  </si>
  <si>
    <t>عبد المجيد هاني سعد الهباد</t>
  </si>
  <si>
    <t>1111126049</t>
  </si>
  <si>
    <t>0580521473</t>
  </si>
  <si>
    <t>mgeed48@hotmail.com</t>
  </si>
  <si>
    <t>SA9780000390608010381067</t>
  </si>
  <si>
    <t>1199</t>
  </si>
  <si>
    <t>سعد خالد عبدالله العنزان</t>
  </si>
  <si>
    <t>1115727578</t>
  </si>
  <si>
    <t>0566220708</t>
  </si>
  <si>
    <t>wazaab900@gmail.com</t>
  </si>
  <si>
    <t>1200</t>
  </si>
  <si>
    <t>راشد فهد راشد صبيح</t>
  </si>
  <si>
    <t>1099291922</t>
  </si>
  <si>
    <t>0581106597</t>
  </si>
  <si>
    <t>reroksa99@gmail.com</t>
  </si>
  <si>
    <t>SA5805000068201199044000</t>
  </si>
  <si>
    <t>1202</t>
  </si>
  <si>
    <t>اثير إبراهيم سعود العبودي</t>
  </si>
  <si>
    <t>1085265286</t>
  </si>
  <si>
    <t>0508414606</t>
  </si>
  <si>
    <t>atheer11291@gmail.com</t>
  </si>
  <si>
    <t>SA2510000059500002031410</t>
  </si>
  <si>
    <t>1203</t>
  </si>
  <si>
    <t>منال عبدالعزيز ابراهيم الطلاسي</t>
  </si>
  <si>
    <t>1034177665</t>
  </si>
  <si>
    <t>0535592203</t>
  </si>
  <si>
    <t>mnalbntaziz@gmail.com</t>
  </si>
  <si>
    <t>SA3180000530608015454563</t>
  </si>
  <si>
    <t>1205</t>
  </si>
  <si>
    <t>هاني ناجي علي محمد عثمان</t>
  </si>
  <si>
    <t>2509929374</t>
  </si>
  <si>
    <t>0501197818</t>
  </si>
  <si>
    <t>1207</t>
  </si>
  <si>
    <t>زياد شايف عبدالله عبده</t>
  </si>
  <si>
    <t>2364817763</t>
  </si>
  <si>
    <t>0508352108</t>
  </si>
  <si>
    <t>1209</t>
  </si>
  <si>
    <t>بكر عثمان صالح الرعدي</t>
  </si>
  <si>
    <t>2465122766</t>
  </si>
  <si>
    <t>0578644870</t>
  </si>
  <si>
    <t>1211</t>
  </si>
  <si>
    <t>عبدالغفار الزمان</t>
  </si>
  <si>
    <t>2196506562</t>
  </si>
  <si>
    <t>0557068059</t>
  </si>
  <si>
    <t>1216</t>
  </si>
  <si>
    <t>بسمه محمد يحيى هارون</t>
  </si>
  <si>
    <t>1106097734</t>
  </si>
  <si>
    <t>‪basmahm556@gmail.com‬</t>
  </si>
  <si>
    <t>SA5780000331608016093866</t>
  </si>
  <si>
    <t>1217</t>
  </si>
  <si>
    <t>وعد محمد سعد الدليل الدوسري</t>
  </si>
  <si>
    <t>1097861767</t>
  </si>
  <si>
    <t>SA5880000331608011091170</t>
  </si>
  <si>
    <t>1224</t>
  </si>
  <si>
    <t>بسمه عبدالعزيز عبدالله عون</t>
  </si>
  <si>
    <t>1235</t>
  </si>
  <si>
    <t>محمد علي محمد الشطنان الرشيدي</t>
  </si>
  <si>
    <t>1111922827</t>
  </si>
  <si>
    <t>0501679566</t>
  </si>
  <si>
    <t>mama545411@hotmail.com</t>
  </si>
  <si>
    <t>SA0680000349608010449551</t>
  </si>
  <si>
    <t>1236</t>
  </si>
  <si>
    <t>بندر فيحان حمدي الشيباني العتيبي</t>
  </si>
  <si>
    <t>1123851683</t>
  </si>
  <si>
    <t>0501624903</t>
  </si>
  <si>
    <t>fyahan.2020@gmail.com</t>
  </si>
  <si>
    <t>SA5710000011100286694110</t>
  </si>
  <si>
    <t>1238</t>
  </si>
  <si>
    <t>بكر عبد القادر محمد عبدالقوي</t>
  </si>
  <si>
    <t>2526518408</t>
  </si>
  <si>
    <t>1242</t>
  </si>
  <si>
    <t>فهد القحطاني</t>
  </si>
  <si>
    <t>1243</t>
  </si>
  <si>
    <t>مبارك عبدالله مبارك دليم</t>
  </si>
  <si>
    <t>1125701688</t>
  </si>
  <si>
    <t>0500456165</t>
  </si>
  <si>
    <t>mdulaim086@gmail.com</t>
  </si>
  <si>
    <t>SA7280000390608016015180</t>
  </si>
  <si>
    <t>1245</t>
  </si>
  <si>
    <t>منيرة عبدالرحمن صالح الفهيد الدوسري</t>
  </si>
  <si>
    <t>1118509171</t>
  </si>
  <si>
    <t>0566407104</t>
  </si>
  <si>
    <t>mon.2018@icloud.com</t>
  </si>
  <si>
    <t>SA1680000614608016125559</t>
  </si>
  <si>
    <t>1246</t>
  </si>
  <si>
    <t>رزان فهد راشد خثران</t>
  </si>
  <si>
    <t>1113682718</t>
  </si>
  <si>
    <t>0535445663</t>
  </si>
  <si>
    <t>razanalktran@icloud.com</t>
  </si>
  <si>
    <t>SA6680000614608166021475</t>
  </si>
  <si>
    <t>1247</t>
  </si>
  <si>
    <t>منيره دحيم مبارك آل صارم الدوسري</t>
  </si>
  <si>
    <t>1107063248</t>
  </si>
  <si>
    <t>0534642290</t>
  </si>
  <si>
    <t>mnooosh_a19@outlook.com</t>
  </si>
  <si>
    <t>SA9480000614608019000593</t>
  </si>
  <si>
    <t>1248</t>
  </si>
  <si>
    <t>سعد محمد سعد الشبرمي</t>
  </si>
  <si>
    <t>1123794461</t>
  </si>
  <si>
    <t>0544031588</t>
  </si>
  <si>
    <t>gwty1243@gmail.com</t>
  </si>
  <si>
    <t>SA7880000449608010625324</t>
  </si>
  <si>
    <t>1249</t>
  </si>
  <si>
    <t>هديل مصبح</t>
  </si>
  <si>
    <t>فلسطين</t>
  </si>
  <si>
    <t>كاتب محتوي</t>
  </si>
  <si>
    <t>+972592814272</t>
  </si>
  <si>
    <t>hadeelmsabeh65@gmail.com</t>
  </si>
  <si>
    <t>تحويل بالدولار</t>
  </si>
  <si>
    <t>1253</t>
  </si>
  <si>
    <t>معاذ عبد العزيز عبد الواحد الشلفي</t>
  </si>
  <si>
    <t>4809505482</t>
  </si>
  <si>
    <t>تحويل خاص</t>
  </si>
  <si>
    <t>1255</t>
  </si>
  <si>
    <t>فهد فيحان حمدي الشيباني العتيبي</t>
  </si>
  <si>
    <t>1123652461</t>
  </si>
  <si>
    <t>0583929511</t>
  </si>
  <si>
    <t>xxgrm5111@gmail.com</t>
  </si>
  <si>
    <t>SA3280000589608010146859</t>
  </si>
  <si>
    <t>1256</t>
  </si>
  <si>
    <t>فتون تركي مهدي ال سالم</t>
  </si>
  <si>
    <t>1087442123</t>
  </si>
  <si>
    <t>0542767740</t>
  </si>
  <si>
    <t>abc57109@icloud.com</t>
  </si>
  <si>
    <t>SA3280000365608010567690</t>
  </si>
  <si>
    <t>1257</t>
  </si>
  <si>
    <t>فيصل سعد عيظه سيلان</t>
  </si>
  <si>
    <t>2271917474</t>
  </si>
  <si>
    <t>مجهز حفلات</t>
  </si>
  <si>
    <t>0504840086</t>
  </si>
  <si>
    <t>1262</t>
  </si>
  <si>
    <t>غرام عبدالله ناصر الحداني العنزي</t>
  </si>
  <si>
    <t>1107354001</t>
  </si>
  <si>
    <t>0553271281</t>
  </si>
  <si>
    <t>gharam5566@icloud.com</t>
  </si>
  <si>
    <t>SA8720000002243690399940</t>
  </si>
  <si>
    <t>1264</t>
  </si>
  <si>
    <t>راشد عبدالعزيز احمد الراشد</t>
  </si>
  <si>
    <t>العراق</t>
  </si>
  <si>
    <t>2151980667</t>
  </si>
  <si>
    <t>0570701306</t>
  </si>
  <si>
    <t>rashed.60031@gmailcom</t>
  </si>
  <si>
    <t>SA2580000216608016227456</t>
  </si>
  <si>
    <t>1266</t>
  </si>
  <si>
    <t>وداد إبراهيم حسن شواف</t>
  </si>
  <si>
    <t>1118795614</t>
  </si>
  <si>
    <t>0502118925</t>
  </si>
  <si>
    <t>alishawaf15@gmail.com</t>
  </si>
  <si>
    <t>SA3480000225608016340043</t>
  </si>
  <si>
    <t>1269</t>
  </si>
  <si>
    <t>فارس ترحيب عبدالله المزيني الحربي</t>
  </si>
  <si>
    <t>1125139327</t>
  </si>
  <si>
    <t>Almoziny67@gmail.com</t>
  </si>
  <si>
    <t>SA6010000011100292906906</t>
  </si>
  <si>
    <t>1270</t>
  </si>
  <si>
    <t>شهاب الدين عبد الرحمن  عاشور</t>
  </si>
  <si>
    <t>2215761525</t>
  </si>
  <si>
    <t>SA1780000448608016030827</t>
  </si>
  <si>
    <t>1271</t>
  </si>
  <si>
    <t>عبد الله محمد عبدالله النشار</t>
  </si>
  <si>
    <t>1117087815</t>
  </si>
  <si>
    <t>1273</t>
  </si>
  <si>
    <t>مد يعقوب حسين</t>
  </si>
  <si>
    <t>2530280730</t>
  </si>
  <si>
    <t>1275</t>
  </si>
  <si>
    <t>صالح علي</t>
  </si>
  <si>
    <t>تشاد</t>
  </si>
  <si>
    <t>2185998156</t>
  </si>
  <si>
    <t>0543157481</t>
  </si>
  <si>
    <t>1278</t>
  </si>
  <si>
    <t>حصه عبدالرحمن غائب الغائب</t>
  </si>
  <si>
    <t>1079819510</t>
  </si>
  <si>
    <t>0594609374</t>
  </si>
  <si>
    <t>hessah234234a@hotmail.com</t>
  </si>
  <si>
    <t>SA3320000002281317779940</t>
  </si>
  <si>
    <t>1279</t>
  </si>
  <si>
    <t>نواف ابراهيم سعود العبودي</t>
  </si>
  <si>
    <t>1119770392</t>
  </si>
  <si>
    <t>0555323921</t>
  </si>
  <si>
    <t>klasww10@gmail.com</t>
  </si>
  <si>
    <t>SA6480000390608016028613</t>
  </si>
  <si>
    <t>1282</t>
  </si>
  <si>
    <t>ابراهيم ابراهيم محمد ابو شنب</t>
  </si>
  <si>
    <t>2532879794</t>
  </si>
  <si>
    <t>A31326509</t>
  </si>
  <si>
    <t>‪0571983733‬</t>
  </si>
  <si>
    <t>Ibrahimaboushanab123@gmail.com</t>
  </si>
  <si>
    <t>SA0580000640608017700028</t>
  </si>
  <si>
    <t>1283</t>
  </si>
  <si>
    <t>ساميه جابر احمد هزازي</t>
  </si>
  <si>
    <t>1116913185</t>
  </si>
  <si>
    <t>0505562154</t>
  </si>
  <si>
    <t>samah5560@icloud.com</t>
  </si>
  <si>
    <t>SA4910000011100029762109</t>
  </si>
  <si>
    <t>1285</t>
  </si>
  <si>
    <t>بندر محمد احمد ازيبي</t>
  </si>
  <si>
    <t>1125855195</t>
  </si>
  <si>
    <t>0543213015</t>
  </si>
  <si>
    <t>bandr2019@outlook.sa</t>
  </si>
  <si>
    <t>SA5910000024300000006810</t>
  </si>
  <si>
    <t>1286</t>
  </si>
  <si>
    <t>محمد عبدالله عبدالرحمن الشهري</t>
  </si>
  <si>
    <t>1090784131</t>
  </si>
  <si>
    <t>SA2480000342608010166046</t>
  </si>
  <si>
    <t>1287</t>
  </si>
  <si>
    <t>صالح سعيد عوظه الشهري</t>
  </si>
  <si>
    <t>1115444729</t>
  </si>
  <si>
    <t>0504661042</t>
  </si>
  <si>
    <t>salealshahri@gmail.com</t>
  </si>
  <si>
    <t>SA7480000532608016019199</t>
  </si>
  <si>
    <t>1288</t>
  </si>
  <si>
    <t>محمد بلال حسين</t>
  </si>
  <si>
    <t>2430333225</t>
  </si>
  <si>
    <t>1289</t>
  </si>
  <si>
    <t>محمود صالح حسن عبدالله</t>
  </si>
  <si>
    <t>2508818388</t>
  </si>
  <si>
    <t>طاهي عام</t>
  </si>
  <si>
    <t>مدير كافي</t>
  </si>
  <si>
    <t>0547740176</t>
  </si>
  <si>
    <t>Mahmoud.saleh54@yahoo.com</t>
  </si>
  <si>
    <t>SA7410000011100220429806</t>
  </si>
  <si>
    <t>1294</t>
  </si>
  <si>
    <t>عبدالعزيز صالح محمد الغوينم</t>
  </si>
  <si>
    <t>1128327937</t>
  </si>
  <si>
    <t>0555229191</t>
  </si>
  <si>
    <t>alghowainembdulaziz@gmail.com</t>
  </si>
  <si>
    <t>SA8280000448608016045759</t>
  </si>
  <si>
    <t>1296</t>
  </si>
  <si>
    <t>اثير عبدالله مبارك الدوسري</t>
  </si>
  <si>
    <t>1112293145</t>
  </si>
  <si>
    <t>0551347275</t>
  </si>
  <si>
    <t>atheer-0122@hotmail.com</t>
  </si>
  <si>
    <t>SA5605000068202586378000</t>
  </si>
  <si>
    <t>1297</t>
  </si>
  <si>
    <t>لطيفه ابراهيم عبدالعزيز بن عمير</t>
  </si>
  <si>
    <t>1123786079</t>
  </si>
  <si>
    <t>0538448158</t>
  </si>
  <si>
    <t>L.f-1417@hotmail.com</t>
  </si>
  <si>
    <t>SA7280000188608010410532</t>
  </si>
  <si>
    <t>1300</t>
  </si>
  <si>
    <t>خالد فوزي عنبر معتوق</t>
  </si>
  <si>
    <t>1112481609</t>
  </si>
  <si>
    <t>0580464404</t>
  </si>
  <si>
    <t>sofe550000@gmail.com</t>
  </si>
  <si>
    <t>SA3660000000326284064001</t>
  </si>
  <si>
    <t>1301</t>
  </si>
  <si>
    <t>وعد سعد عبدالله الهويمل</t>
  </si>
  <si>
    <t>1095096119</t>
  </si>
  <si>
    <t>0541917739</t>
  </si>
  <si>
    <t>WAADSAAD.1100@GMAIL.COM</t>
  </si>
  <si>
    <t>SA1105000068203338058000</t>
  </si>
  <si>
    <t>1303</t>
  </si>
  <si>
    <t>فيصل ناصر معتق الشهراني</t>
  </si>
  <si>
    <t>1123968206</t>
  </si>
  <si>
    <t>0537935655</t>
  </si>
  <si>
    <t>fasl5555@hotmail.com</t>
  </si>
  <si>
    <t>SA3780000597608016022047</t>
  </si>
  <si>
    <t>1305</t>
  </si>
  <si>
    <t>منى عيدان ابن احمد الغامدي</t>
  </si>
  <si>
    <t>1093773438</t>
  </si>
  <si>
    <t>0552438544</t>
  </si>
  <si>
    <t>SA8680000156608010580175</t>
  </si>
  <si>
    <t>1310</t>
  </si>
  <si>
    <t>عبد السلام لطف الله ناصر شمسان</t>
  </si>
  <si>
    <t>2483555880</t>
  </si>
  <si>
    <t>08864103</t>
  </si>
  <si>
    <t>0501221821</t>
  </si>
  <si>
    <t>bdalslamshmsan818@gmail.com</t>
  </si>
  <si>
    <t>SA9880000355608019705178</t>
  </si>
  <si>
    <t>1312</t>
  </si>
  <si>
    <t>عبد العزيز احمد طيب عواجي</t>
  </si>
  <si>
    <t>1014165946</t>
  </si>
  <si>
    <t>SA6280000209608160874219</t>
  </si>
  <si>
    <t>1313</t>
  </si>
  <si>
    <t>مشاري حسن صالح ال مساعد الشهري</t>
  </si>
  <si>
    <t>1117945699</t>
  </si>
  <si>
    <t>SA9180000436608010108730</t>
  </si>
  <si>
    <t>1314</t>
  </si>
  <si>
    <t>حنين عبدالله عطية ال محمد الشمراني</t>
  </si>
  <si>
    <t>1114290362</t>
  </si>
  <si>
    <t>0553855825</t>
  </si>
  <si>
    <t>haneens.2.0@icloud.com</t>
  </si>
  <si>
    <t>SA1280000104608016024643</t>
  </si>
  <si>
    <t>1317</t>
  </si>
  <si>
    <t>عصام سعيد علي عبده</t>
  </si>
  <si>
    <t>2522723804</t>
  </si>
  <si>
    <t>0576268508</t>
  </si>
  <si>
    <t>samalslahy366@gmail.com</t>
  </si>
  <si>
    <t>1318</t>
  </si>
  <si>
    <t>محيي الدين حافظ أحمد</t>
  </si>
  <si>
    <t>2503815330</t>
  </si>
  <si>
    <t>0538200940</t>
  </si>
  <si>
    <t>mohiuddinsrbn@gmail.com</t>
  </si>
  <si>
    <t>SA5480000199608016076755</t>
  </si>
  <si>
    <t>متغيب عن العمل</t>
  </si>
  <si>
    <t>1321</t>
  </si>
  <si>
    <t>نوره شباب  محمد السبيعي</t>
  </si>
  <si>
    <t>1073486779</t>
  </si>
  <si>
    <t>0540988243</t>
  </si>
  <si>
    <t>SA2710000030663556000102</t>
  </si>
  <si>
    <t>1328</t>
  </si>
  <si>
    <t>محمد نازمال اسلام</t>
  </si>
  <si>
    <t>2527992065</t>
  </si>
  <si>
    <t>0570922802</t>
  </si>
  <si>
    <t>mdmilohhawloder26@gmail.com</t>
  </si>
  <si>
    <t>1338</t>
  </si>
  <si>
    <t>مد رضاء ال كريم</t>
  </si>
  <si>
    <t>2510562966</t>
  </si>
  <si>
    <t>SA0680000215608016137250</t>
  </si>
  <si>
    <t>1341</t>
  </si>
  <si>
    <t>عبدالرحمن خالد اسماعيل خليفة</t>
  </si>
  <si>
    <t>2508652456</t>
  </si>
  <si>
    <t>0567862476</t>
  </si>
  <si>
    <t>abdokhalifa1212aa@gmail.com</t>
  </si>
  <si>
    <t>SA8115000900136933510004</t>
  </si>
  <si>
    <t>1343</t>
  </si>
  <si>
    <t>جانجير حسين حسين</t>
  </si>
  <si>
    <t>2531142392</t>
  </si>
  <si>
    <t>1352</t>
  </si>
  <si>
    <t>حصه فيصل مبارك ال حميد الدوسري</t>
  </si>
  <si>
    <t>1120811821</t>
  </si>
  <si>
    <t>0532327266</t>
  </si>
  <si>
    <t>hhsh7382@gmail.com</t>
  </si>
  <si>
    <t>SA6080000216608019528512</t>
  </si>
  <si>
    <t>1354</t>
  </si>
  <si>
    <t>الوليد خالد عبدالله بن دبل</t>
  </si>
  <si>
    <t>1114023367</t>
  </si>
  <si>
    <t>0556123145</t>
  </si>
  <si>
    <t>alonto77@gmail.com</t>
  </si>
  <si>
    <t>SA0510000058900000715704</t>
  </si>
  <si>
    <t>1360</t>
  </si>
  <si>
    <t>محمد رسيل مياح مياح</t>
  </si>
  <si>
    <t>2534760141</t>
  </si>
  <si>
    <t>دهان</t>
  </si>
  <si>
    <t>0564047109</t>
  </si>
  <si>
    <t>mr6808242@gmail.com</t>
  </si>
  <si>
    <t>SA8210000035700001031407</t>
  </si>
  <si>
    <t>1362</t>
  </si>
  <si>
    <t>مد شكيل اوسين</t>
  </si>
  <si>
    <t>2533300105</t>
  </si>
  <si>
    <t>0575785014</t>
  </si>
  <si>
    <t>kazishakil2236@gmail.com</t>
  </si>
  <si>
    <t>1378</t>
  </si>
  <si>
    <t>سلمى مرسال سعيد الفواز</t>
  </si>
  <si>
    <t>1067616571</t>
  </si>
  <si>
    <t>SA7780000475608010286967</t>
  </si>
  <si>
    <t>1381</t>
  </si>
  <si>
    <t>يحي احمد مامون مسلماني</t>
  </si>
  <si>
    <t>2130131069</t>
  </si>
  <si>
    <t>سكرتير تنفيذي</t>
  </si>
  <si>
    <t>اداري</t>
  </si>
  <si>
    <t>0544457604</t>
  </si>
  <si>
    <t>SA2005000068202223584001</t>
  </si>
  <si>
    <t>1382</t>
  </si>
  <si>
    <t>تهاني ناصر فهاد الدوسري</t>
  </si>
  <si>
    <t>10356344722</t>
  </si>
  <si>
    <t>1383</t>
  </si>
  <si>
    <t>ياسر شباب خالد العصيمي العتيبي</t>
  </si>
  <si>
    <t>1126507092</t>
  </si>
  <si>
    <t>SA6680000349608016007056</t>
  </si>
  <si>
    <t>1387</t>
  </si>
  <si>
    <t>شيخه حسن بن عبيد الدوسري</t>
  </si>
  <si>
    <t>1097398216</t>
  </si>
  <si>
    <t>0508099645</t>
  </si>
  <si>
    <t>Shekahh690@gmail.com</t>
  </si>
  <si>
    <t>SA1505000068200706465000</t>
  </si>
  <si>
    <t>1390</t>
  </si>
  <si>
    <t>صيته فهد بن مرشد الهزاني</t>
  </si>
  <si>
    <t>1048357428</t>
  </si>
  <si>
    <t>0570686256</t>
  </si>
  <si>
    <t>SA3980000475608015245224</t>
  </si>
  <si>
    <t>1391</t>
  </si>
  <si>
    <t>عيسى مسعد دبوان حمزة</t>
  </si>
  <si>
    <t>1393</t>
  </si>
  <si>
    <t>ناصر سماري سعد السمارى</t>
  </si>
  <si>
    <t>1132122902</t>
  </si>
  <si>
    <t>0504857045</t>
  </si>
  <si>
    <t>nasr29nasr@hotmail.com</t>
  </si>
  <si>
    <t>SA6380000574608016017879</t>
  </si>
  <si>
    <t>1396</t>
  </si>
  <si>
    <t>جاسم كاجم الدين</t>
  </si>
  <si>
    <t>1398</t>
  </si>
  <si>
    <t>نظم ال اسلام</t>
  </si>
  <si>
    <t>1399</t>
  </si>
  <si>
    <t>عمر خالد منصر شمسان</t>
  </si>
  <si>
    <t>2521281135</t>
  </si>
  <si>
    <t>0531522493</t>
  </si>
  <si>
    <t>omar777931783@gmail.com</t>
  </si>
  <si>
    <t>1400</t>
  </si>
  <si>
    <t>مد رابي حسين</t>
  </si>
  <si>
    <t>0570525294</t>
  </si>
  <si>
    <t>rabbimiddah999@gmail.com</t>
  </si>
  <si>
    <t>1401</t>
  </si>
  <si>
    <t>سوهيل رانا</t>
  </si>
  <si>
    <t>sohikl194679@gmail.com</t>
  </si>
  <si>
    <t>1405</t>
  </si>
  <si>
    <t>ابراهيم زياد ابراهيم الزيد</t>
  </si>
  <si>
    <t>1129835540</t>
  </si>
  <si>
    <t>0554218299</t>
  </si>
  <si>
    <t>erahimalzaid344@gmail.com</t>
  </si>
  <si>
    <t>SA9315000426130446050007</t>
  </si>
  <si>
    <t>1413</t>
  </si>
  <si>
    <t>عبدالعزيز محمد علي عسيري</t>
  </si>
  <si>
    <t>1109344919</t>
  </si>
  <si>
    <t>0557100942</t>
  </si>
  <si>
    <t>Xoox321xoox@gmail.com</t>
  </si>
  <si>
    <t>SA2680000596608016001828</t>
  </si>
  <si>
    <t>1419</t>
  </si>
  <si>
    <t>عبد الاله تركي محمد الجديعي</t>
  </si>
  <si>
    <t>1098639220</t>
  </si>
  <si>
    <t>0502157722</t>
  </si>
  <si>
    <t>abd.aljudayi@gmail.com</t>
  </si>
  <si>
    <t>SA0680000285608010074645</t>
  </si>
  <si>
    <t>1420</t>
  </si>
  <si>
    <t>منيره سعد ناصر اليحي</t>
  </si>
  <si>
    <t>1061049258</t>
  </si>
  <si>
    <t>0556227931</t>
  </si>
  <si>
    <t>SA6215000433127929130008</t>
  </si>
  <si>
    <t>1421</t>
  </si>
  <si>
    <t>ثامر  عبدالعزيز محمد الادريس</t>
  </si>
  <si>
    <t>1073640193</t>
  </si>
  <si>
    <t>0553996605</t>
  </si>
  <si>
    <t>thamer.xox1@gmail.com</t>
  </si>
  <si>
    <t>SA3980000229608010123508</t>
  </si>
  <si>
    <t>1423</t>
  </si>
  <si>
    <t>ربيع رشاد عبدالرقيب حسان السروري</t>
  </si>
  <si>
    <t>1430</t>
  </si>
  <si>
    <t>مجاهد علي عبد الله بن مرضاح</t>
  </si>
  <si>
    <t>2532326614</t>
  </si>
  <si>
    <t>1432</t>
  </si>
  <si>
    <t>فيصل راكان نزال القعيقعي الرويلي</t>
  </si>
  <si>
    <t>1125576569</t>
  </si>
  <si>
    <t>0550662573</t>
  </si>
  <si>
    <t>rkn7233@gmail.com</t>
  </si>
  <si>
    <t>SA5680000632608016040616</t>
  </si>
  <si>
    <t>1435</t>
  </si>
  <si>
    <t>شما عبدالعزيز عبدالرحمن آل عتيق</t>
  </si>
  <si>
    <t>1041307826</t>
  </si>
  <si>
    <t>1437</t>
  </si>
  <si>
    <t>عبدالحميد محمد</t>
  </si>
  <si>
    <t>2194874737</t>
  </si>
  <si>
    <t>0531081933</t>
  </si>
  <si>
    <t>meedo43@gmail.com</t>
  </si>
  <si>
    <t>SA8930100942000075731669</t>
  </si>
  <si>
    <t>1447</t>
  </si>
  <si>
    <t>مبروكة معيوف مرزوق احمد</t>
  </si>
  <si>
    <t>1068938453</t>
  </si>
  <si>
    <t>SA7680000365608016188533</t>
  </si>
  <si>
    <t>1459</t>
  </si>
  <si>
    <t>عهود علي عبدالله هاشمي</t>
  </si>
  <si>
    <t>1096102098</t>
  </si>
  <si>
    <t>0500772028</t>
  </si>
  <si>
    <t>oho0od@outlook.com</t>
  </si>
  <si>
    <t>SA0205000068201505423000</t>
  </si>
  <si>
    <t>رفض العقد</t>
  </si>
  <si>
    <t>1466</t>
  </si>
  <si>
    <t>نور نور الاسلام الاسلام</t>
  </si>
  <si>
    <t>2525131336</t>
  </si>
  <si>
    <t>0532335126</t>
  </si>
  <si>
    <t>1468</t>
  </si>
  <si>
    <t>محمد جلور حمن الر</t>
  </si>
  <si>
    <t>2548470547</t>
  </si>
  <si>
    <t>0538668423</t>
  </si>
  <si>
    <t>main7281@gmail.com</t>
  </si>
  <si>
    <t>20-07-2023</t>
  </si>
  <si>
    <t>1476</t>
  </si>
  <si>
    <t>نواف فيصل صالح</t>
  </si>
  <si>
    <t>3112210863</t>
  </si>
  <si>
    <t>10908282</t>
  </si>
  <si>
    <t>0532406157</t>
  </si>
  <si>
    <t>1479</t>
  </si>
  <si>
    <t>فيصل حوسان</t>
  </si>
  <si>
    <t>2548704044</t>
  </si>
  <si>
    <t>0538748448</t>
  </si>
  <si>
    <t>1481</t>
  </si>
  <si>
    <t>حارث منور علي الهتار</t>
  </si>
  <si>
    <t>2501580076</t>
  </si>
  <si>
    <t>1486</t>
  </si>
  <si>
    <t>محمد اشرف محمد أبو رحمه</t>
  </si>
  <si>
    <t>2507263461</t>
  </si>
  <si>
    <t>موظف استقبال</t>
  </si>
  <si>
    <t>0559028955</t>
  </si>
  <si>
    <t>mohamedashrfa09@gmail.com</t>
  </si>
  <si>
    <t>1500</t>
  </si>
  <si>
    <t>نوف شعوان عفار الشيباني</t>
  </si>
  <si>
    <t>1030618084</t>
  </si>
  <si>
    <t>SA6530400108066315110019</t>
  </si>
  <si>
    <t>1507</t>
  </si>
  <si>
    <t>شهنواز زميل زميل زميل</t>
  </si>
  <si>
    <t>2510843259</t>
  </si>
  <si>
    <t>1508</t>
  </si>
  <si>
    <t>عبد الحميد خالد عبد الله الشيابي</t>
  </si>
  <si>
    <t>2536884238</t>
  </si>
  <si>
    <t>1528</t>
  </si>
  <si>
    <t>جشيم اودين</t>
  </si>
  <si>
    <t>2548331384</t>
  </si>
  <si>
    <t>1530</t>
  </si>
  <si>
    <t>طارق الاسود صامل الخياري الرشيدي</t>
  </si>
  <si>
    <t>1125245892</t>
  </si>
  <si>
    <t>0557881538</t>
  </si>
  <si>
    <t>idfirur@gmail.com</t>
  </si>
  <si>
    <t>SA8680000673608010036248</t>
  </si>
  <si>
    <t>1532</t>
  </si>
  <si>
    <t>ناظر علم حسن محمودل</t>
  </si>
  <si>
    <t>2544931815</t>
  </si>
  <si>
    <t>SA0980000390608010380226</t>
  </si>
  <si>
    <t>1540</t>
  </si>
  <si>
    <t>ران ميا</t>
  </si>
  <si>
    <t>2553885944</t>
  </si>
  <si>
    <t>0556977952</t>
  </si>
  <si>
    <t>md952648@gmail.com</t>
  </si>
  <si>
    <t>الرقم الوظيفي</t>
  </si>
  <si>
    <t>م</t>
  </si>
  <si>
    <t>مؤسسة عبدالرحمن سلطان عبدالرحمن الرزيحي للتجارة</t>
  </si>
  <si>
    <t>على رأس العمل</t>
  </si>
  <si>
    <t>الموارد البشرية</t>
  </si>
  <si>
    <t>رقم الهوية</t>
  </si>
  <si>
    <t>نوع التحويل</t>
  </si>
  <si>
    <t>أسم الموظف</t>
  </si>
  <si>
    <t>الراتب الأساسي</t>
  </si>
  <si>
    <t>بدل السكن</t>
  </si>
  <si>
    <t>بدل الانتقال</t>
  </si>
  <si>
    <t>بدل معيشة</t>
  </si>
  <si>
    <t>بدلات أخرى</t>
  </si>
  <si>
    <t>اجمالي الراتب</t>
  </si>
  <si>
    <t>الشركة</t>
  </si>
  <si>
    <t>تحويل بنك</t>
  </si>
  <si>
    <t>نقداً</t>
  </si>
  <si>
    <t>خارج الحساب</t>
  </si>
  <si>
    <t>موظف جديد</t>
  </si>
  <si>
    <t>1553, 1553</t>
  </si>
  <si>
    <t>محمد ايمون اوسين, محمد ايمان حسين</t>
  </si>
  <si>
    <t>كشف تكاليف الموظفين</t>
  </si>
  <si>
    <t xml:space="preserve">الراتب </t>
  </si>
  <si>
    <t>اشتراك التامينات الاجتماعية</t>
  </si>
  <si>
    <t>التامين الطبي</t>
  </si>
  <si>
    <t>مجموع التكلفة شهري</t>
  </si>
  <si>
    <t>الإجمالي شهري</t>
  </si>
  <si>
    <t>الإجمالي سنوي</t>
  </si>
  <si>
    <t>عدد الموظفين</t>
  </si>
  <si>
    <t>الإجمالي</t>
  </si>
  <si>
    <t>محل دكان الحلوي للحلويات</t>
  </si>
  <si>
    <t>مصنع سلطان عبدالرحمن صالح الرزيحي للمنتجات الورقية</t>
  </si>
  <si>
    <t>مؤسسة ممكن حلول لخدمات الأعمال</t>
  </si>
  <si>
    <t xml:space="preserve">التأمين الطبي </t>
  </si>
  <si>
    <t>الشهادة الصحية</t>
  </si>
  <si>
    <t>تكلفة الأجازة</t>
  </si>
  <si>
    <t>نهاية الخدمة</t>
  </si>
  <si>
    <t>تذاكر طيران</t>
  </si>
  <si>
    <t>نقل الكفالة</t>
  </si>
  <si>
    <t>جوازات</t>
  </si>
  <si>
    <t>رخصة العمل</t>
  </si>
  <si>
    <t>تحمل نسبة السعودة</t>
  </si>
  <si>
    <t xml:space="preserve">مجموج شهري </t>
  </si>
  <si>
    <t>مجموع سنوي</t>
  </si>
  <si>
    <t>صافي العدد</t>
  </si>
  <si>
    <t>مبلغ السعودة</t>
  </si>
  <si>
    <t xml:space="preserve">سلطان عبدالرحمن صالح الرزيحي </t>
  </si>
  <si>
    <t>سعد عبدالرحمن صالح الرزيحي</t>
  </si>
  <si>
    <t>نوف سلطان عبدالرحمن الرزيحي</t>
  </si>
  <si>
    <t>نسبة تحمل الافرع</t>
  </si>
  <si>
    <t>النسبة الشهرية</t>
  </si>
  <si>
    <t>التكلفة</t>
  </si>
  <si>
    <t>ايجار الفرع</t>
  </si>
  <si>
    <t>المجموع</t>
  </si>
  <si>
    <t>نسبة تحمل الفرع</t>
  </si>
  <si>
    <t>جملة سلطان/السويلم</t>
  </si>
  <si>
    <t>مستودع جملة سلطان</t>
  </si>
  <si>
    <t>أبو صالح</t>
  </si>
  <si>
    <t>مستودع ديراب</t>
  </si>
  <si>
    <t>وكالة ممكن</t>
  </si>
  <si>
    <t>مستودع الغنامية</t>
  </si>
  <si>
    <t>الإستراحة</t>
  </si>
  <si>
    <t>تسميات الصفوف</t>
  </si>
  <si>
    <t xml:space="preserve">مجموع من الراتب </t>
  </si>
  <si>
    <t>مجموع من اشتراك التامينات الاجتماعية</t>
  </si>
  <si>
    <t xml:space="preserve">مجموع من التأمين الطبي </t>
  </si>
  <si>
    <t>مجموع من الشهادة الصحية</t>
  </si>
  <si>
    <t>مجموع من تكلفة الأجازة</t>
  </si>
  <si>
    <t>مجموع من نهاية الخدمة</t>
  </si>
  <si>
    <t>مجموع من تذاكر طيران</t>
  </si>
  <si>
    <t>مجموع من نقل الكفالة</t>
  </si>
  <si>
    <t>مجموع من جوازات</t>
  </si>
  <si>
    <t>مجموع من رخصة العمل</t>
  </si>
  <si>
    <t>مجموع من إيجار السكن</t>
  </si>
  <si>
    <t>مجموع من كهرباء + مياه</t>
  </si>
  <si>
    <t>مجموع من تحمل نسبة السعودة</t>
  </si>
  <si>
    <t xml:space="preserve">مجموع من مجموج شهري </t>
  </si>
  <si>
    <t>مجموع من مجموع سنوي</t>
  </si>
  <si>
    <t>مستودع عكاظ 20</t>
  </si>
  <si>
    <t>الإجمالي الكلي</t>
  </si>
  <si>
    <t>تأشيرة الخروج والعودة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</si>
</sst>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b/>
      <sz val="15"/>
      <name val="Arial"/>
      <family val="1"/>
    </font>
    <font>
      <b/>
      <sz val="14"/>
      <name val="Arial"/>
      <family val="1"/>
    </font>
    <font>
      <sz val="11"/>
      <name val="Arial"/>
      <family val="1"/>
    </font>
    <font>
      <b/>
      <sz val="11"/>
      <name val="Arial"/>
      <family val="1"/>
    </font>
    <font>
      <b/>
      <sz val="12"/>
      <color theme="1"/>
      <name val="Simplified Arabic"/>
      <family val="1"/>
    </font>
    <font>
      <b/>
      <sz val="12"/>
      <color theme="0"/>
      <name val="Simplified Arabic"/>
      <family val="1"/>
    </font>
    <font>
      <b/>
      <sz val="12"/>
      <color theme="4" tint="-0.249977111117893"/>
      <name val="Simplified Arabi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8">
    <xf numFmtId="0" fontId="0" fillId="0" borderId="0" xfId="0"/>
    <xf numFmtId="0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4" fontId="4" fillId="0" borderId="0" xfId="1" applyNumberForma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4" fontId="5" fillId="2" borderId="0" xfId="1" applyNumberFormat="1" applyFont="1" applyFill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0" borderId="0" xfId="2" applyFont="1"/>
    <xf numFmtId="0" fontId="6" fillId="0" borderId="2" xfId="2" applyFont="1" applyBorder="1" applyAlignment="1">
      <alignment horizontal="center"/>
    </xf>
    <xf numFmtId="4" fontId="6" fillId="0" borderId="3" xfId="2" applyNumberFormat="1" applyFont="1" applyBorder="1" applyAlignment="1">
      <alignment horizontal="center"/>
    </xf>
    <xf numFmtId="4" fontId="6" fillId="0" borderId="0" xfId="2" applyNumberFormat="1" applyFont="1" applyAlignment="1">
      <alignment horizontal="center"/>
    </xf>
    <xf numFmtId="2" fontId="6" fillId="0" borderId="0" xfId="2" applyNumberFormat="1" applyFont="1" applyAlignment="1">
      <alignment horizontal="center"/>
    </xf>
    <xf numFmtId="0" fontId="1" fillId="0" borderId="0" xfId="2" applyAlignment="1">
      <alignment horizontal="center"/>
    </xf>
    <xf numFmtId="4" fontId="1" fillId="0" borderId="0" xfId="2" applyNumberFormat="1" applyAlignment="1">
      <alignment horizontal="center"/>
    </xf>
    <xf numFmtId="0" fontId="6" fillId="0" borderId="1" xfId="2" applyFont="1" applyBorder="1" applyAlignment="1">
      <alignment horizontal="center"/>
    </xf>
    <xf numFmtId="14" fontId="6" fillId="0" borderId="0" xfId="2" applyNumberFormat="1" applyFont="1" applyAlignment="1">
      <alignment horizontal="center"/>
    </xf>
    <xf numFmtId="1" fontId="6" fillId="0" borderId="0" xfId="2" applyNumberFormat="1" applyFont="1"/>
    <xf numFmtId="0" fontId="6" fillId="4" borderId="0" xfId="2" applyFont="1" applyFill="1" applyAlignment="1">
      <alignment horizontal="center"/>
    </xf>
    <xf numFmtId="4" fontId="6" fillId="4" borderId="0" xfId="2" applyNumberFormat="1" applyFont="1" applyFill="1" applyAlignment="1">
      <alignment horizontal="center" vertical="center"/>
    </xf>
    <xf numFmtId="4" fontId="6" fillId="4" borderId="0" xfId="2" applyNumberFormat="1" applyFont="1" applyFill="1" applyAlignment="1">
      <alignment horizontal="center"/>
    </xf>
    <xf numFmtId="0" fontId="6" fillId="5" borderId="0" xfId="2" applyFont="1" applyFill="1" applyAlignment="1">
      <alignment horizontal="center"/>
    </xf>
    <xf numFmtId="4" fontId="6" fillId="5" borderId="0" xfId="2" applyNumberFormat="1" applyFont="1" applyFill="1" applyAlignment="1">
      <alignment horizontal="center"/>
    </xf>
    <xf numFmtId="2" fontId="7" fillId="0" borderId="0" xfId="2" applyNumberFormat="1" applyFont="1" applyAlignment="1">
      <alignment horizontal="center"/>
    </xf>
    <xf numFmtId="4" fontId="7" fillId="6" borderId="0" xfId="2" applyNumberFormat="1" applyFont="1" applyFill="1" applyAlignment="1">
      <alignment horizontal="center"/>
    </xf>
    <xf numFmtId="0" fontId="6" fillId="7" borderId="0" xfId="2" applyFont="1" applyFill="1" applyAlignment="1">
      <alignment horizontal="center"/>
    </xf>
    <xf numFmtId="4" fontId="8" fillId="0" borderId="0" xfId="2" applyNumberFormat="1" applyFont="1" applyAlignment="1">
      <alignment horizontal="center"/>
    </xf>
    <xf numFmtId="4" fontId="1" fillId="0" borderId="0" xfId="2" applyNumberFormat="1"/>
    <xf numFmtId="0" fontId="1" fillId="0" borderId="0" xfId="2"/>
    <xf numFmtId="4" fontId="1" fillId="0" borderId="0" xfId="2" applyNumberFormat="1" applyAlignment="1">
      <alignment horizontal="right"/>
    </xf>
    <xf numFmtId="0" fontId="1" fillId="0" borderId="0" xfId="2" applyAlignment="1">
      <alignment horizontal="right"/>
    </xf>
    <xf numFmtId="4" fontId="6" fillId="0" borderId="0" xfId="2" applyNumberFormat="1" applyFont="1"/>
    <xf numFmtId="4" fontId="6" fillId="3" borderId="0" xfId="2" applyNumberFormat="1" applyFont="1" applyFill="1" applyAlignment="1">
      <alignment horizontal="center"/>
    </xf>
    <xf numFmtId="4" fontId="6" fillId="0" borderId="0" xfId="2" applyNumberFormat="1" applyFont="1" applyAlignment="1">
      <alignment horizontal="center" vertical="center"/>
    </xf>
    <xf numFmtId="4" fontId="6" fillId="5" borderId="0" xfId="2" applyNumberFormat="1" applyFont="1" applyFill="1" applyAlignment="1">
      <alignment horizontal="center" vertical="center"/>
    </xf>
    <xf numFmtId="4" fontId="6" fillId="5" borderId="0" xfId="2" applyNumberFormat="1" applyFont="1" applyFill="1"/>
    <xf numFmtId="4" fontId="7" fillId="0" borderId="0" xfId="2" applyNumberFormat="1" applyFont="1" applyAlignment="1">
      <alignment horizontal="center"/>
    </xf>
    <xf numFmtId="4" fontId="6" fillId="7" borderId="0" xfId="2" applyNumberFormat="1" applyFont="1" applyFill="1" applyAlignment="1">
      <alignment horizontal="center"/>
    </xf>
    <xf numFmtId="0" fontId="6" fillId="0" borderId="0" xfId="2" applyFont="1" applyAlignment="1">
      <alignment horizontal="center"/>
    </xf>
    <xf numFmtId="2" fontId="6" fillId="0" borderId="0" xfId="2" applyNumberFormat="1" applyFont="1" applyAlignment="1">
      <alignment horizontal="center"/>
    </xf>
    <xf numFmtId="4" fontId="6" fillId="4" borderId="0" xfId="2" applyNumberFormat="1" applyFont="1" applyFill="1" applyAlignment="1">
      <alignment horizontal="center" vertical="center"/>
    </xf>
  </cellXfs>
  <cellStyles count="3">
    <cellStyle name="Normal" xfId="1" xr:uid="{00000000-0005-0000-0000-000000000000}"/>
    <cellStyle name="عادي" xfId="0" builtinId="0"/>
    <cellStyle name="عادي 2" xfId="2" xr:uid="{A0BC18B6-5121-40F0-A025-4B46E81C1E8F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1608;&#1603;&#1575;&#1604;&#1577;%20&#1605;&#1605;&#1603;&#1606;%20&#1581;&#1604;&#1608;&#1604;\&#1585;&#1608;&#1575;&#1578;&#1576;\&#1603;&#1588;&#1601;%20&#1575;&#1587;&#1605;&#1575;&#1569;%20&#1575;&#1604;&#1605;&#1608;&#1592;&#1601;&#1610;&#1606;%20&#1576;&#1575;&#1604;&#1588;&#1585;&#1603;&#1577;%20&#1603;&#1575;&#1605;&#1604;%202.xlsx" TargetMode="External"/><Relationship Id="rId1" Type="http://schemas.openxmlformats.org/officeDocument/2006/relationships/externalLinkPath" Target="file:///H:\&#1608;&#1603;&#1575;&#1604;&#1577;%20&#1605;&#1605;&#1603;&#1606;%20&#1581;&#1604;&#1608;&#1604;\&#1585;&#1608;&#1575;&#1578;&#1576;\&#1603;&#1588;&#1601;%20&#1575;&#1587;&#1605;&#1575;&#1569;%20&#1575;&#1604;&#1605;&#1608;&#1592;&#1601;&#1610;&#1606;%20&#1576;&#1575;&#1604;&#1588;&#1585;&#1603;&#1577;%20&#1603;&#1575;&#1605;&#1604;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1608;&#1603;&#1575;&#1604;&#1577;%20&#1605;&#1605;&#1603;&#1606;%20&#1581;&#1604;&#1608;&#1604;\&#1605;&#1580;&#1605;&#1608;&#1593;&#1577;%20&#1587;&#1604;&#1591;&#1575;&#1606;%20&#1575;&#1604;&#1585;&#1586;&#1610;&#1581;&#1610;\&#1588;&#1585;&#1603;&#1577;%20&#1585;&#1610;&#1575;&#1604;%20&#1575;&#1604;&#1576;&#1585;&#1603;&#1577;\&#1576;&#1610;&#1575;&#1606;%20&#1576;&#1578;&#1608;&#1575;&#1585;&#1610;&#1582;%20&#1575;&#1606;&#1578;&#1607;&#1575;&#1569;%20&#1575;&#1604;&#1573;&#1602;&#1575;&#1605;&#1575;&#1578;%20&#1604;&#1604;&#1605;&#1608;&#1592;&#1601;&#1610;&#1606;.xlsx" TargetMode="External"/><Relationship Id="rId1" Type="http://schemas.openxmlformats.org/officeDocument/2006/relationships/externalLinkPath" Target="/Users/dell/Desktop/&#1608;&#1603;&#1575;&#1604;&#1577;%20&#1605;&#1605;&#1603;&#1606;%20&#1581;&#1604;&#1608;&#1604;/&#1605;&#1580;&#1605;&#1608;&#1593;&#1577;%20&#1587;&#1604;&#1591;&#1575;&#1606;%20&#1575;&#1604;&#1585;&#1586;&#1610;&#1581;&#1610;/&#1588;&#1585;&#1603;&#1577;%20&#1585;&#1610;&#1575;&#1604;%20&#1575;&#1604;&#1576;&#1585;&#1603;&#1577;/&#1576;&#1610;&#1575;&#1606;%20&#1576;&#1578;&#1608;&#1575;&#1585;&#1610;&#1582;%20&#1575;&#1606;&#1578;&#1607;&#1575;&#1569;%20&#1575;&#1604;&#1573;&#1602;&#1575;&#1605;&#1575;&#1578;%20&#1604;&#1604;&#1605;&#1608;&#1592;&#1601;&#1610;&#1606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1608;&#1603;&#1575;&#1604;&#1577;%20&#1605;&#1605;&#1603;&#1606;%20&#1581;&#1604;&#1608;&#1604;\&#1585;&#1608;&#1575;&#1578;&#1576;\&#1576;&#1610;&#1575;&#1606;%20&#1605;&#1585;&#1578;&#1576;&#1575;&#1578;%20&#1575;&#1604;&#1605;&#1608;&#1592;&#1601;&#1610;&#1606;%20&#1575;&#1604;&#1581;&#1575;&#1604;&#1610;.xlsx" TargetMode="External"/><Relationship Id="rId1" Type="http://schemas.openxmlformats.org/officeDocument/2006/relationships/externalLinkPath" Target="file:///H:\&#1608;&#1603;&#1575;&#1604;&#1577;%20&#1605;&#1605;&#1603;&#1606;%20&#1581;&#1604;&#1608;&#1604;\&#1585;&#1608;&#1575;&#1578;&#1576;\&#1576;&#1610;&#1575;&#1606;%20&#1605;&#1585;&#1578;&#1576;&#1575;&#1578;%20&#1575;&#1604;&#1605;&#1608;&#1592;&#1601;&#1610;&#1606;%20&#1575;&#1604;&#1581;&#1575;&#1604;&#161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608;&#1603;&#1575;&#1604;&#1577;%20&#1605;&#1605;&#1603;&#1606;%20&#1581;&#1604;&#1608;&#1604;\&#1576;&#1610;&#1575;&#1606;%20&#1576;&#1578;&#1608;&#1575;&#1585;&#1610;&#1582;%20&#1593;&#1602;&#1608;&#1583;%20&#1575;&#1604;&#1573;&#1610;&#1580;&#1575;&#1585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&#1608;&#1603;&#1575;&#1604;&#1577;%20&#1605;&#1605;&#1603;&#1606;%20&#1581;&#1604;&#1608;&#1604;\&#1605;&#1580;&#1605;&#1608;&#1593;&#1577;%20&#1587;&#1604;&#1591;&#1575;&#1606;%20&#1575;&#1604;&#1585;&#1586;&#1610;&#1581;&#1610;\&#1578;&#1602;&#1585;&#1610;&#1585;%20&#1578;&#1603;&#1604;&#1601;&#1577;%20&#1575;&#1604;&#1605;&#1608;&#1592;&#1601;&#1610;&#1606;.xlsx" TargetMode="External"/><Relationship Id="rId1" Type="http://schemas.openxmlformats.org/officeDocument/2006/relationships/externalLinkPath" Target="/Users/dell/Desktop/&#1608;&#1603;&#1575;&#1604;&#1577;%20&#1605;&#1605;&#1603;&#1606;%20&#1581;&#1604;&#1608;&#1604;/&#1605;&#1580;&#1605;&#1608;&#1593;&#1577;%20&#1587;&#1604;&#1591;&#1575;&#1606;%20&#1575;&#1604;&#1585;&#1586;&#1610;&#1581;&#1610;/&#1578;&#1602;&#1585;&#1610;&#1585;%20&#1578;&#1603;&#1604;&#1601;&#1577;%20&#1575;&#1604;&#1605;&#1608;&#1592;&#1601;&#1610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سماء الموظفين"/>
      <sheetName val="Sheet1 (2)"/>
      <sheetName val="المقيمين النشطين"/>
      <sheetName val="تقارير"/>
      <sheetName val="قائمة"/>
      <sheetName val="اسماء الموظفين (2)"/>
    </sheetNames>
    <sheetDataSet>
      <sheetData sheetId="0">
        <row r="8">
          <cell r="B8">
            <v>1000</v>
          </cell>
          <cell r="C8" t="str">
            <v xml:space="preserve">سلطان عبدالرحمن صالح الرزيحي </v>
          </cell>
          <cell r="D8">
            <v>1023619636</v>
          </cell>
          <cell r="E8" t="str">
            <v>سعودي</v>
          </cell>
          <cell r="F8" t="str">
            <v>ذكر</v>
          </cell>
          <cell r="G8">
            <v>37257</v>
          </cell>
          <cell r="H8">
            <v>37257</v>
          </cell>
          <cell r="I8" t="str">
            <v>دوام كامل</v>
          </cell>
          <cell r="J8" t="str">
            <v>رئيس مجلس الإدارة</v>
          </cell>
          <cell r="K8" t="str">
            <v>الرياض</v>
          </cell>
          <cell r="L8" t="str">
            <v>الإدارة</v>
          </cell>
          <cell r="O8" t="str">
            <v>050540082</v>
          </cell>
        </row>
        <row r="9">
          <cell r="B9">
            <v>1001</v>
          </cell>
          <cell r="C9" t="str">
            <v>سنوار عبد المجيد</v>
          </cell>
          <cell r="D9">
            <v>2183771753</v>
          </cell>
          <cell r="E9" t="str">
            <v>بنجلاديش</v>
          </cell>
          <cell r="F9" t="str">
            <v>ذكر</v>
          </cell>
          <cell r="G9">
            <v>37377</v>
          </cell>
          <cell r="H9">
            <v>44130</v>
          </cell>
          <cell r="I9" t="str">
            <v>دوام كامل</v>
          </cell>
          <cell r="J9" t="str">
            <v>مشرف فرع</v>
          </cell>
          <cell r="K9" t="str">
            <v>الرياض</v>
          </cell>
          <cell r="L9" t="str">
            <v>النسيم</v>
          </cell>
          <cell r="O9" t="str">
            <v>0541326417</v>
          </cell>
        </row>
        <row r="10">
          <cell r="B10">
            <v>1002</v>
          </cell>
          <cell r="C10" t="str">
            <v>عبدالرحمن محمد عبده السلمي</v>
          </cell>
          <cell r="D10">
            <v>2278047721</v>
          </cell>
          <cell r="E10" t="str">
            <v>اليمن</v>
          </cell>
          <cell r="F10" t="str">
            <v>ذكر</v>
          </cell>
          <cell r="G10">
            <v>40165</v>
          </cell>
          <cell r="H10">
            <v>44765</v>
          </cell>
          <cell r="I10" t="str">
            <v>دوام كامل</v>
          </cell>
          <cell r="J10" t="str">
            <v>مندوب مشتريات</v>
          </cell>
          <cell r="K10" t="str">
            <v>الرياض</v>
          </cell>
          <cell r="L10" t="str">
            <v>جملة ريال البركة</v>
          </cell>
          <cell r="O10" t="str">
            <v>0534888345</v>
          </cell>
        </row>
        <row r="11">
          <cell r="B11">
            <v>1003</v>
          </cell>
          <cell r="C11" t="str">
            <v>سليم عبده علي الرعوي</v>
          </cell>
          <cell r="D11">
            <v>2258083357</v>
          </cell>
          <cell r="E11" t="str">
            <v>اليمن</v>
          </cell>
          <cell r="F11" t="str">
            <v>ذكر</v>
          </cell>
          <cell r="G11">
            <v>40238</v>
          </cell>
          <cell r="H11">
            <v>43259</v>
          </cell>
          <cell r="I11" t="str">
            <v>دوام كامل</v>
          </cell>
          <cell r="J11" t="str">
            <v>مشرف عام</v>
          </cell>
          <cell r="K11" t="str">
            <v>الرياض</v>
          </cell>
          <cell r="L11" t="str">
            <v>الإدارة</v>
          </cell>
          <cell r="O11" t="str">
            <v>0556069639</v>
          </cell>
        </row>
        <row r="12">
          <cell r="B12">
            <v>1004</v>
          </cell>
          <cell r="C12" t="str">
            <v>مصطفى عبده علي صالح</v>
          </cell>
          <cell r="D12">
            <v>2294076340</v>
          </cell>
          <cell r="E12" t="str">
            <v>اليمن</v>
          </cell>
          <cell r="F12" t="str">
            <v>ذكر</v>
          </cell>
          <cell r="G12">
            <v>40337</v>
          </cell>
          <cell r="H12">
            <v>40344</v>
          </cell>
          <cell r="I12" t="str">
            <v>دوام كامل</v>
          </cell>
          <cell r="J12" t="str">
            <v>مشرف فروع</v>
          </cell>
          <cell r="K12" t="str">
            <v>الرياض</v>
          </cell>
          <cell r="L12" t="str">
            <v>جملة ريال البركة</v>
          </cell>
          <cell r="O12" t="str">
            <v>0504938015</v>
          </cell>
        </row>
        <row r="13">
          <cell r="B13">
            <v>1005</v>
          </cell>
          <cell r="C13" t="str">
            <v>عبدالسلام محمد سعيد ناجي</v>
          </cell>
          <cell r="D13">
            <v>2265219804</v>
          </cell>
          <cell r="E13" t="str">
            <v>اليمن</v>
          </cell>
          <cell r="F13" t="str">
            <v>ذكر</v>
          </cell>
          <cell r="G13">
            <v>41244</v>
          </cell>
          <cell r="H13">
            <v>44540</v>
          </cell>
          <cell r="I13" t="str">
            <v>دوام كامل</v>
          </cell>
          <cell r="J13" t="str">
            <v>مشرف فرع</v>
          </cell>
          <cell r="K13" t="str">
            <v>الرياض</v>
          </cell>
          <cell r="L13" t="str">
            <v>جملة سلطان/السويلم</v>
          </cell>
          <cell r="O13" t="str">
            <v>0556640381</v>
          </cell>
        </row>
        <row r="14">
          <cell r="B14">
            <v>1006</v>
          </cell>
          <cell r="C14" t="str">
            <v>بلال صالح حمود الفهد</v>
          </cell>
          <cell r="D14">
            <v>2259512115</v>
          </cell>
          <cell r="E14" t="str">
            <v>اليمن</v>
          </cell>
          <cell r="F14" t="str">
            <v>ذكر</v>
          </cell>
          <cell r="G14">
            <v>41244</v>
          </cell>
          <cell r="H14">
            <v>44635</v>
          </cell>
          <cell r="I14" t="str">
            <v>دوام كامل</v>
          </cell>
          <cell r="J14" t="str">
            <v>مشرف فرع</v>
          </cell>
          <cell r="K14" t="str">
            <v>الرياض</v>
          </cell>
          <cell r="L14" t="str">
            <v>النسيم 2</v>
          </cell>
          <cell r="O14" t="str">
            <v>0501647835</v>
          </cell>
        </row>
        <row r="15">
          <cell r="B15">
            <v>1007</v>
          </cell>
          <cell r="C15" t="str">
            <v>محمد عبدالدائم محمد عبدالرحمن</v>
          </cell>
          <cell r="D15">
            <v>2278571605</v>
          </cell>
          <cell r="E15" t="str">
            <v>اليمن</v>
          </cell>
          <cell r="F15" t="str">
            <v>ذكر</v>
          </cell>
          <cell r="G15">
            <v>41275</v>
          </cell>
          <cell r="H15">
            <v>44663</v>
          </cell>
          <cell r="I15" t="str">
            <v>منتسب</v>
          </cell>
          <cell r="J15" t="str">
            <v>مندوب مشتريات</v>
          </cell>
          <cell r="K15" t="str">
            <v>الرياض</v>
          </cell>
          <cell r="L15" t="str">
            <v>مستودع عكاظ 23</v>
          </cell>
          <cell r="O15" t="str">
            <v>0567134029</v>
          </cell>
        </row>
        <row r="16">
          <cell r="B16">
            <v>1008</v>
          </cell>
          <cell r="C16" t="str">
            <v>فوزية هزال عيسي الهزال</v>
          </cell>
          <cell r="D16">
            <v>1031868324</v>
          </cell>
          <cell r="E16" t="str">
            <v>سعودي</v>
          </cell>
          <cell r="F16" t="str">
            <v>أنثي</v>
          </cell>
          <cell r="G16">
            <v>41405</v>
          </cell>
          <cell r="H16">
            <v>41405</v>
          </cell>
          <cell r="I16" t="str">
            <v>عن بعد</v>
          </cell>
          <cell r="J16" t="str">
            <v>فني حسابات عام</v>
          </cell>
          <cell r="K16" t="str">
            <v>الرياض</v>
          </cell>
          <cell r="L16" t="str">
            <v>الإدارة</v>
          </cell>
          <cell r="O16" t="str">
            <v>0558077109</v>
          </cell>
        </row>
        <row r="17">
          <cell r="B17">
            <v>1009</v>
          </cell>
          <cell r="C17" t="str">
            <v>اسد الزمان علي</v>
          </cell>
          <cell r="D17">
            <v>2217477385</v>
          </cell>
          <cell r="E17" t="str">
            <v>بنجلاديش</v>
          </cell>
          <cell r="F17" t="str">
            <v>ذكر</v>
          </cell>
          <cell r="G17">
            <v>41426</v>
          </cell>
          <cell r="H17">
            <v>44783</v>
          </cell>
          <cell r="I17" t="str">
            <v>دوام كامل</v>
          </cell>
          <cell r="J17" t="str">
            <v>عامل</v>
          </cell>
          <cell r="K17" t="str">
            <v>الرياض</v>
          </cell>
          <cell r="L17" t="str">
            <v>أونلاين</v>
          </cell>
          <cell r="O17" t="str">
            <v>0573397800</v>
          </cell>
        </row>
        <row r="18">
          <cell r="B18">
            <v>1010</v>
          </cell>
          <cell r="C18" t="str">
            <v>تفضل ولي</v>
          </cell>
          <cell r="D18">
            <v>2201478860</v>
          </cell>
          <cell r="E18" t="str">
            <v>بنجلاديش</v>
          </cell>
          <cell r="F18" t="str">
            <v>ذكر</v>
          </cell>
          <cell r="G18">
            <v>41426</v>
          </cell>
          <cell r="H18">
            <v>44626</v>
          </cell>
          <cell r="I18" t="str">
            <v>دوام كامل</v>
          </cell>
          <cell r="J18" t="str">
            <v>عامل</v>
          </cell>
          <cell r="K18" t="str">
            <v>الرياض</v>
          </cell>
          <cell r="L18" t="str">
            <v>جملة سلطان/السويلم</v>
          </cell>
          <cell r="O18" t="str">
            <v>0536523775</v>
          </cell>
        </row>
        <row r="19">
          <cell r="B19">
            <v>1011</v>
          </cell>
          <cell r="C19" t="str">
            <v>أيمن محمد فتحي خلف</v>
          </cell>
          <cell r="D19">
            <v>2368855538</v>
          </cell>
          <cell r="E19" t="str">
            <v>مصر</v>
          </cell>
          <cell r="F19" t="str">
            <v>ذكر</v>
          </cell>
          <cell r="G19">
            <v>41518</v>
          </cell>
          <cell r="H19">
            <v>44770</v>
          </cell>
          <cell r="I19" t="str">
            <v>دوام جزئي</v>
          </cell>
          <cell r="J19" t="str">
            <v>محاسب عام</v>
          </cell>
          <cell r="K19" t="str">
            <v>الرياض</v>
          </cell>
          <cell r="L19" t="str">
            <v>الإدارة</v>
          </cell>
          <cell r="M19" t="str">
            <v>انهاء التعاقد</v>
          </cell>
          <cell r="N19" t="str">
            <v>01/10/2022</v>
          </cell>
          <cell r="O19" t="e">
            <v>#N/A</v>
          </cell>
        </row>
        <row r="20">
          <cell r="B20">
            <v>1012</v>
          </cell>
          <cell r="C20" t="str">
            <v>نوبي امير شيخ</v>
          </cell>
          <cell r="D20">
            <v>2280543253</v>
          </cell>
          <cell r="E20" t="str">
            <v>الهند</v>
          </cell>
          <cell r="F20" t="str">
            <v>ذكر</v>
          </cell>
          <cell r="G20">
            <v>41975</v>
          </cell>
          <cell r="H20">
            <v>44703</v>
          </cell>
          <cell r="I20" t="str">
            <v>دوام كامل</v>
          </cell>
          <cell r="J20" t="str">
            <v>عامل</v>
          </cell>
          <cell r="K20" t="str">
            <v>الدمام</v>
          </cell>
          <cell r="L20" t="str">
            <v>العنود</v>
          </cell>
          <cell r="O20" t="str">
            <v>0503547269</v>
          </cell>
        </row>
        <row r="21">
          <cell r="B21">
            <v>1013</v>
          </cell>
          <cell r="C21" t="str">
            <v>منال سلطان عبدالرحمن الرزيحي</v>
          </cell>
          <cell r="D21">
            <v>1092729258</v>
          </cell>
          <cell r="E21" t="str">
            <v>سعودي</v>
          </cell>
          <cell r="F21" t="str">
            <v>أنثي</v>
          </cell>
          <cell r="G21">
            <v>42036</v>
          </cell>
          <cell r="H21">
            <v>42036</v>
          </cell>
          <cell r="I21" t="str">
            <v>عن بعد</v>
          </cell>
          <cell r="J21" t="str">
            <v>مندوب مبيعات</v>
          </cell>
          <cell r="K21" t="str">
            <v>الرياض</v>
          </cell>
          <cell r="L21" t="str">
            <v>الإدارة</v>
          </cell>
          <cell r="O21" t="str">
            <v>0500023185</v>
          </cell>
        </row>
        <row r="22">
          <cell r="B22">
            <v>1014</v>
          </cell>
          <cell r="C22" t="str">
            <v>منيره سلطان عبدالرحمن الرزيحي</v>
          </cell>
          <cell r="D22">
            <v>1092729241</v>
          </cell>
          <cell r="E22" t="str">
            <v>سعودي</v>
          </cell>
          <cell r="F22" t="str">
            <v>أنثي</v>
          </cell>
          <cell r="G22">
            <v>42036</v>
          </cell>
          <cell r="H22">
            <v>42036</v>
          </cell>
          <cell r="I22" t="str">
            <v>دوام كامل</v>
          </cell>
          <cell r="J22" t="str">
            <v>مندوب مبيعات</v>
          </cell>
          <cell r="K22" t="str">
            <v>الرياض</v>
          </cell>
          <cell r="L22" t="str">
            <v>وكالة ممكن</v>
          </cell>
          <cell r="O22" t="str">
            <v>0550332117</v>
          </cell>
        </row>
        <row r="23">
          <cell r="B23">
            <v>1015</v>
          </cell>
          <cell r="C23" t="str">
            <v>عجيب بيلافي</v>
          </cell>
          <cell r="D23">
            <v>2489500492</v>
          </cell>
          <cell r="E23" t="str">
            <v>الهند</v>
          </cell>
          <cell r="F23" t="str">
            <v>ذكر</v>
          </cell>
          <cell r="G23">
            <v>42105</v>
          </cell>
          <cell r="H23">
            <v>44587</v>
          </cell>
          <cell r="I23" t="str">
            <v>دوام كامل</v>
          </cell>
          <cell r="J23" t="str">
            <v>سائق دينا</v>
          </cell>
          <cell r="K23" t="str">
            <v>الرياض</v>
          </cell>
          <cell r="L23" t="str">
            <v>جملة ريال البركة</v>
          </cell>
          <cell r="O23" t="str">
            <v>0571201560</v>
          </cell>
        </row>
        <row r="24">
          <cell r="B24">
            <v>1016</v>
          </cell>
          <cell r="C24" t="str">
            <v>معشوق أحمد أنصاري</v>
          </cell>
          <cell r="D24">
            <v>2393348749</v>
          </cell>
          <cell r="E24" t="str">
            <v>هندي</v>
          </cell>
          <cell r="F24" t="str">
            <v>ذكر</v>
          </cell>
          <cell r="G24">
            <v>42105</v>
          </cell>
          <cell r="I24" t="str">
            <v>دوام كامل</v>
          </cell>
          <cell r="J24" t="str">
            <v>عامل</v>
          </cell>
          <cell r="K24" t="str">
            <v>الرياض</v>
          </cell>
          <cell r="L24" t="str">
            <v>الإستراحة</v>
          </cell>
          <cell r="O24" t="str">
            <v>0540746137</v>
          </cell>
        </row>
        <row r="25">
          <cell r="B25">
            <v>1017</v>
          </cell>
          <cell r="C25" t="str">
            <v>جهانقير عبد الرزاق بادي</v>
          </cell>
          <cell r="D25">
            <v>2249559515</v>
          </cell>
          <cell r="E25" t="str">
            <v>بنجلاديش</v>
          </cell>
          <cell r="F25" t="str">
            <v>ذكر</v>
          </cell>
          <cell r="G25">
            <v>41913</v>
          </cell>
          <cell r="H25">
            <v>44368</v>
          </cell>
          <cell r="I25" t="str">
            <v>دوام كامل</v>
          </cell>
          <cell r="J25" t="str">
            <v>عامل</v>
          </cell>
          <cell r="K25" t="str">
            <v>الرياض</v>
          </cell>
          <cell r="L25" t="str">
            <v>الدائري الغربي</v>
          </cell>
          <cell r="O25" t="str">
            <v>0571842210</v>
          </cell>
        </row>
        <row r="26">
          <cell r="B26">
            <v>1018</v>
          </cell>
          <cell r="C26" t="str">
            <v>محمد عبدالله محمد الحبجي</v>
          </cell>
          <cell r="D26">
            <v>2465674733</v>
          </cell>
          <cell r="E26" t="str">
            <v>اليمن</v>
          </cell>
          <cell r="F26" t="str">
            <v>ذكر</v>
          </cell>
          <cell r="G26">
            <v>42401</v>
          </cell>
          <cell r="H26">
            <v>44924</v>
          </cell>
          <cell r="I26" t="str">
            <v>دوام كامل</v>
          </cell>
          <cell r="J26" t="str">
            <v>أمين صندوق</v>
          </cell>
          <cell r="K26" t="str">
            <v>الرياض</v>
          </cell>
          <cell r="L26" t="str">
            <v>الإدارة</v>
          </cell>
          <cell r="O26" t="str">
            <v>0556913618</v>
          </cell>
        </row>
        <row r="27">
          <cell r="B27">
            <v>1019</v>
          </cell>
          <cell r="C27" t="str">
            <v>رؤوف انصاري سفيدة</v>
          </cell>
          <cell r="D27">
            <v>2341519797</v>
          </cell>
          <cell r="E27" t="str">
            <v>نيبال</v>
          </cell>
          <cell r="F27" t="str">
            <v>ذكر</v>
          </cell>
          <cell r="G27">
            <v>42472</v>
          </cell>
          <cell r="H27">
            <v>44790</v>
          </cell>
          <cell r="I27" t="str">
            <v>دوام كامل</v>
          </cell>
          <cell r="J27" t="str">
            <v>عامل</v>
          </cell>
          <cell r="K27" t="str">
            <v>الخرج</v>
          </cell>
          <cell r="L27" t="str">
            <v>المصنع</v>
          </cell>
          <cell r="O27" t="str">
            <v>0571940321</v>
          </cell>
        </row>
        <row r="28">
          <cell r="B28">
            <v>1020</v>
          </cell>
          <cell r="C28" t="str">
            <v>محمد فاروق خليل</v>
          </cell>
          <cell r="D28">
            <v>2419016353</v>
          </cell>
          <cell r="E28" t="str">
            <v>الهند</v>
          </cell>
          <cell r="F28" t="str">
            <v>ذكر</v>
          </cell>
          <cell r="G28">
            <v>42644</v>
          </cell>
          <cell r="H28">
            <v>44773</v>
          </cell>
          <cell r="I28" t="str">
            <v>دوام كامل</v>
          </cell>
          <cell r="J28" t="str">
            <v>عامل</v>
          </cell>
          <cell r="K28" t="str">
            <v>الخرج</v>
          </cell>
          <cell r="L28" t="str">
            <v>المصنع</v>
          </cell>
          <cell r="O28" t="str">
            <v>0576933414</v>
          </cell>
        </row>
        <row r="29">
          <cell r="B29">
            <v>1021</v>
          </cell>
          <cell r="C29" t="str">
            <v>ياسر عبدالولي قايد الغابري</v>
          </cell>
          <cell r="D29">
            <v>2466030422</v>
          </cell>
          <cell r="E29" t="str">
            <v>اليمن</v>
          </cell>
          <cell r="F29" t="str">
            <v>ذكر</v>
          </cell>
          <cell r="G29">
            <v>42675</v>
          </cell>
          <cell r="H29">
            <v>44369</v>
          </cell>
          <cell r="I29" t="str">
            <v>دوام كامل</v>
          </cell>
          <cell r="J29" t="str">
            <v>مسؤول المتجر الإلكتروني</v>
          </cell>
          <cell r="K29" t="str">
            <v>الرياض</v>
          </cell>
          <cell r="L29" t="str">
            <v>وكالة ممكن</v>
          </cell>
          <cell r="O29" t="str">
            <v>0509686482</v>
          </cell>
        </row>
        <row r="30">
          <cell r="B30">
            <v>1022</v>
          </cell>
          <cell r="C30" t="str">
            <v>عمر احمد علي الشامي</v>
          </cell>
          <cell r="D30">
            <v>2214431989</v>
          </cell>
          <cell r="E30" t="str">
            <v>اليمن</v>
          </cell>
          <cell r="F30" t="str">
            <v>ذكر</v>
          </cell>
          <cell r="G30">
            <v>42693</v>
          </cell>
          <cell r="H30">
            <v>44693</v>
          </cell>
          <cell r="I30" t="str">
            <v>دوام كامل</v>
          </cell>
          <cell r="J30" t="str">
            <v>أمين مستودع</v>
          </cell>
          <cell r="K30" t="str">
            <v>الرياض</v>
          </cell>
          <cell r="L30" t="str">
            <v>جملة ريال البركة</v>
          </cell>
          <cell r="O30" t="str">
            <v>0538003981</v>
          </cell>
        </row>
        <row r="31">
          <cell r="B31">
            <v>1023</v>
          </cell>
          <cell r="C31" t="str">
            <v>عبدالرحمن سلطان الرزيحي</v>
          </cell>
          <cell r="D31">
            <v>1061419220</v>
          </cell>
          <cell r="E31" t="str">
            <v>سعودي</v>
          </cell>
          <cell r="F31" t="str">
            <v>ذكر</v>
          </cell>
          <cell r="G31">
            <v>42705</v>
          </cell>
          <cell r="H31">
            <v>42705</v>
          </cell>
          <cell r="I31" t="str">
            <v>دوام كامل</v>
          </cell>
          <cell r="J31" t="str">
            <v>المدير العام</v>
          </cell>
          <cell r="K31" t="str">
            <v>الرياض</v>
          </cell>
          <cell r="L31" t="str">
            <v>الإدارة</v>
          </cell>
          <cell r="O31" t="str">
            <v>0597749776</v>
          </cell>
        </row>
        <row r="32">
          <cell r="B32">
            <v>1024</v>
          </cell>
          <cell r="C32" t="str">
            <v>إسماعيل دحدوح مياه</v>
          </cell>
          <cell r="D32">
            <v>2184651574</v>
          </cell>
          <cell r="E32" t="str">
            <v>بنجلاديش</v>
          </cell>
          <cell r="F32" t="str">
            <v>ذكر</v>
          </cell>
          <cell r="G32">
            <v>42725</v>
          </cell>
          <cell r="H32">
            <v>44416</v>
          </cell>
          <cell r="I32" t="str">
            <v>دوام كامل</v>
          </cell>
          <cell r="J32" t="str">
            <v>عامل</v>
          </cell>
          <cell r="K32" t="str">
            <v>الرياض</v>
          </cell>
          <cell r="L32" t="str">
            <v>جملة ريال البركة</v>
          </cell>
          <cell r="O32" t="str">
            <v>0552263817</v>
          </cell>
        </row>
        <row r="33">
          <cell r="B33">
            <v>1025</v>
          </cell>
          <cell r="C33" t="str">
            <v>فرهد حسين</v>
          </cell>
          <cell r="D33">
            <v>2426108722</v>
          </cell>
          <cell r="E33" t="str">
            <v>بنجلاديش</v>
          </cell>
          <cell r="F33" t="str">
            <v>ذكر</v>
          </cell>
          <cell r="G33">
            <v>42736</v>
          </cell>
          <cell r="H33">
            <v>42832</v>
          </cell>
          <cell r="I33" t="str">
            <v>دوام كامل</v>
          </cell>
          <cell r="J33" t="str">
            <v>مشرف فرع</v>
          </cell>
          <cell r="K33" t="str">
            <v>الرياض</v>
          </cell>
          <cell r="L33" t="str">
            <v>الدائري الغربي</v>
          </cell>
          <cell r="O33" t="str">
            <v>0578788036</v>
          </cell>
        </row>
        <row r="34">
          <cell r="B34">
            <v>1026</v>
          </cell>
          <cell r="C34" t="str">
            <v>أنور حسين</v>
          </cell>
          <cell r="D34">
            <v>2425771561</v>
          </cell>
          <cell r="E34" t="str">
            <v>بنجلاديش</v>
          </cell>
          <cell r="F34" t="str">
            <v>ذكر</v>
          </cell>
          <cell r="G34">
            <v>42736</v>
          </cell>
          <cell r="H34">
            <v>42744</v>
          </cell>
          <cell r="I34" t="str">
            <v>دوام كامل</v>
          </cell>
          <cell r="J34" t="str">
            <v>عامل</v>
          </cell>
          <cell r="K34" t="str">
            <v>الرياض</v>
          </cell>
          <cell r="L34" t="str">
            <v>النسيم</v>
          </cell>
          <cell r="O34" t="str">
            <v>0544326393</v>
          </cell>
        </row>
        <row r="35">
          <cell r="B35">
            <v>1027</v>
          </cell>
          <cell r="C35" t="str">
            <v>محمد شيمون</v>
          </cell>
          <cell r="D35">
            <v>2426599862</v>
          </cell>
          <cell r="E35" t="str">
            <v>بنجلاديش</v>
          </cell>
          <cell r="F35" t="str">
            <v>ذكر</v>
          </cell>
          <cell r="G35">
            <v>42750</v>
          </cell>
          <cell r="H35">
            <v>42832</v>
          </cell>
          <cell r="I35" t="str">
            <v>دوام كامل</v>
          </cell>
          <cell r="J35" t="str">
            <v>عامل</v>
          </cell>
          <cell r="K35" t="str">
            <v>الرياض</v>
          </cell>
          <cell r="L35" t="str">
            <v>الدائري الغربي</v>
          </cell>
          <cell r="O35" t="str">
            <v>0542327761</v>
          </cell>
        </row>
        <row r="36">
          <cell r="B36">
            <v>1028</v>
          </cell>
          <cell r="C36" t="str">
            <v>فاكي أحمد بري خان</v>
          </cell>
          <cell r="D36">
            <v>2379964170</v>
          </cell>
          <cell r="E36" t="str">
            <v>الهند</v>
          </cell>
          <cell r="F36" t="str">
            <v>ذكر</v>
          </cell>
          <cell r="G36">
            <v>42822</v>
          </cell>
          <cell r="H36">
            <v>44769</v>
          </cell>
          <cell r="I36" t="str">
            <v>دوام كامل</v>
          </cell>
          <cell r="J36" t="str">
            <v>عامل</v>
          </cell>
          <cell r="K36" t="str">
            <v>الرياض</v>
          </cell>
          <cell r="L36" t="str">
            <v>الدائري الغربي</v>
          </cell>
          <cell r="O36" t="str">
            <v>0548013957</v>
          </cell>
        </row>
        <row r="37">
          <cell r="B37">
            <v>1029</v>
          </cell>
          <cell r="C37" t="str">
            <v>محمد رفيق الإسلام</v>
          </cell>
          <cell r="D37">
            <v>2427581463</v>
          </cell>
          <cell r="E37" t="str">
            <v>بنجلاديش</v>
          </cell>
          <cell r="F37" t="str">
            <v>ذكر</v>
          </cell>
          <cell r="G37">
            <v>42856</v>
          </cell>
          <cell r="H37">
            <v>44525</v>
          </cell>
          <cell r="I37" t="str">
            <v>دوام كامل</v>
          </cell>
          <cell r="J37" t="str">
            <v>عامل</v>
          </cell>
          <cell r="K37" t="str">
            <v>الخرج</v>
          </cell>
          <cell r="L37" t="str">
            <v>غرناطة</v>
          </cell>
          <cell r="O37" t="str">
            <v>0572457373</v>
          </cell>
        </row>
        <row r="38">
          <cell r="B38">
            <v>1030</v>
          </cell>
          <cell r="C38" t="str">
            <v>ميدى حسن</v>
          </cell>
          <cell r="D38">
            <v>2429930478</v>
          </cell>
          <cell r="E38" t="str">
            <v>بنجلاديش</v>
          </cell>
          <cell r="F38" t="str">
            <v>ذكر</v>
          </cell>
          <cell r="G38">
            <v>42872</v>
          </cell>
          <cell r="H38">
            <v>42941</v>
          </cell>
          <cell r="I38" t="str">
            <v>دوام كامل</v>
          </cell>
          <cell r="J38" t="str">
            <v>عامل</v>
          </cell>
          <cell r="K38" t="str">
            <v>الرياض</v>
          </cell>
          <cell r="L38" t="str">
            <v>جملة ريال البركة</v>
          </cell>
          <cell r="O38" t="str">
            <v>0571748299</v>
          </cell>
        </row>
        <row r="39">
          <cell r="B39">
            <v>1031</v>
          </cell>
          <cell r="C39" t="str">
            <v>أبو بكر عبد اللطيف</v>
          </cell>
          <cell r="D39">
            <v>2434409518</v>
          </cell>
          <cell r="E39" t="str">
            <v>بنجلاديش</v>
          </cell>
          <cell r="F39" t="str">
            <v>ذكر</v>
          </cell>
          <cell r="G39">
            <v>42933</v>
          </cell>
          <cell r="H39">
            <v>44638</v>
          </cell>
          <cell r="I39" t="str">
            <v>دوام كامل</v>
          </cell>
          <cell r="J39" t="str">
            <v>عامل</v>
          </cell>
          <cell r="K39" t="str">
            <v>الرياض</v>
          </cell>
          <cell r="L39" t="str">
            <v>الشفا</v>
          </cell>
          <cell r="O39" t="str">
            <v>0560530376</v>
          </cell>
        </row>
        <row r="40">
          <cell r="B40">
            <v>1032</v>
          </cell>
          <cell r="C40" t="str">
            <v>حمزه الاحمر</v>
          </cell>
          <cell r="D40">
            <v>2088386467</v>
          </cell>
          <cell r="E40" t="str">
            <v>سوريا</v>
          </cell>
          <cell r="F40" t="str">
            <v>ذكر</v>
          </cell>
          <cell r="G40">
            <v>42933</v>
          </cell>
          <cell r="H40">
            <v>43771</v>
          </cell>
          <cell r="I40" t="str">
            <v>دوام كامل</v>
          </cell>
          <cell r="J40" t="str">
            <v>مندوب مبيعات</v>
          </cell>
          <cell r="K40" t="str">
            <v>الرياض</v>
          </cell>
          <cell r="L40" t="str">
            <v>مستودع جملة سلطان</v>
          </cell>
          <cell r="O40" t="str">
            <v>0533563369</v>
          </cell>
        </row>
        <row r="41">
          <cell r="B41">
            <v>1033</v>
          </cell>
          <cell r="C41" t="str">
            <v>محمد بدرفيج محمد أكتير</v>
          </cell>
          <cell r="D41">
            <v>2442201907</v>
          </cell>
          <cell r="E41" t="str">
            <v>بنجلاديش</v>
          </cell>
          <cell r="F41" t="str">
            <v>ذكر</v>
          </cell>
          <cell r="G41">
            <v>42948</v>
          </cell>
          <cell r="I41" t="str">
            <v>دوام كامل</v>
          </cell>
          <cell r="J41" t="str">
            <v>عامل</v>
          </cell>
          <cell r="K41" t="str">
            <v>الرياض</v>
          </cell>
          <cell r="L41" t="str">
            <v>جملة ريال البركة</v>
          </cell>
          <cell r="O41" t="str">
            <v>0573284902</v>
          </cell>
        </row>
        <row r="42">
          <cell r="B42">
            <v>1034</v>
          </cell>
          <cell r="C42" t="str">
            <v>مد ميلون باطوري</v>
          </cell>
          <cell r="D42">
            <v>2439079886</v>
          </cell>
          <cell r="E42" t="str">
            <v>بنجلاديش</v>
          </cell>
          <cell r="F42" t="str">
            <v>ذكر</v>
          </cell>
          <cell r="G42">
            <v>42956</v>
          </cell>
          <cell r="H42">
            <v>44417</v>
          </cell>
          <cell r="I42" t="str">
            <v>دوام كامل</v>
          </cell>
          <cell r="J42" t="str">
            <v>سائق توصيل طلبات</v>
          </cell>
          <cell r="K42" t="str">
            <v>الرياض</v>
          </cell>
          <cell r="L42" t="str">
            <v>أونلاين</v>
          </cell>
          <cell r="O42" t="str">
            <v>0559331046</v>
          </cell>
        </row>
        <row r="43">
          <cell r="B43">
            <v>1035</v>
          </cell>
          <cell r="C43" t="str">
            <v>شاهين هولدير</v>
          </cell>
          <cell r="D43">
            <v>2348234200</v>
          </cell>
          <cell r="E43" t="str">
            <v>بنجلاديش</v>
          </cell>
          <cell r="F43" t="str">
            <v>ذكر</v>
          </cell>
          <cell r="G43">
            <v>42914</v>
          </cell>
          <cell r="H43">
            <v>43841</v>
          </cell>
          <cell r="I43" t="str">
            <v>دوام كامل</v>
          </cell>
          <cell r="J43" t="str">
            <v>عامل</v>
          </cell>
          <cell r="K43" t="str">
            <v>الدمام</v>
          </cell>
          <cell r="L43" t="str">
            <v>العنود</v>
          </cell>
          <cell r="O43" t="str">
            <v>0573473765</v>
          </cell>
        </row>
        <row r="44">
          <cell r="B44">
            <v>1036</v>
          </cell>
          <cell r="C44" t="str">
            <v>عارف نور الإسلام</v>
          </cell>
          <cell r="D44">
            <v>2436104687</v>
          </cell>
          <cell r="E44" t="str">
            <v>بنجلاديش</v>
          </cell>
          <cell r="F44" t="str">
            <v>ذكر</v>
          </cell>
          <cell r="G44">
            <v>42997</v>
          </cell>
          <cell r="H44">
            <v>44134</v>
          </cell>
          <cell r="I44" t="str">
            <v>دوام كامل</v>
          </cell>
          <cell r="J44" t="str">
            <v>عامل</v>
          </cell>
          <cell r="K44" t="str">
            <v>الدمام</v>
          </cell>
          <cell r="L44" t="str">
            <v>العنود</v>
          </cell>
          <cell r="O44" t="str">
            <v>0550301681</v>
          </cell>
        </row>
        <row r="45">
          <cell r="B45">
            <v>1037</v>
          </cell>
          <cell r="C45" t="str">
            <v>نوف عبدالرحمن صالح الرزيحي</v>
          </cell>
          <cell r="D45">
            <v>1060845557</v>
          </cell>
          <cell r="E45" t="str">
            <v>سعودي</v>
          </cell>
          <cell r="F45" t="str">
            <v>أنثي</v>
          </cell>
          <cell r="G45">
            <v>43018</v>
          </cell>
          <cell r="H45">
            <v>43018</v>
          </cell>
          <cell r="I45" t="str">
            <v>عن بعد</v>
          </cell>
          <cell r="J45" t="str">
            <v>مندوب مبيعات</v>
          </cell>
          <cell r="K45" t="str">
            <v>الرياض</v>
          </cell>
          <cell r="L45" t="str">
            <v>الإدارة</v>
          </cell>
          <cell r="O45" t="str">
            <v>0506101789</v>
          </cell>
        </row>
        <row r="46">
          <cell r="B46">
            <v>1038</v>
          </cell>
          <cell r="C46" t="str">
            <v>محمد عارف حسين</v>
          </cell>
          <cell r="D46">
            <v>2439069309</v>
          </cell>
          <cell r="E46" t="str">
            <v>بنجلاديش</v>
          </cell>
          <cell r="F46" t="str">
            <v>ذكر</v>
          </cell>
          <cell r="G46">
            <v>43067</v>
          </cell>
          <cell r="H46">
            <v>44823</v>
          </cell>
          <cell r="I46" t="str">
            <v>دوام كامل</v>
          </cell>
          <cell r="J46" t="str">
            <v>عامل</v>
          </cell>
          <cell r="K46" t="str">
            <v>الخرج</v>
          </cell>
          <cell r="L46" t="str">
            <v>غرناطة</v>
          </cell>
          <cell r="O46" t="str">
            <v>0577218214</v>
          </cell>
        </row>
        <row r="47">
          <cell r="B47">
            <v>1039</v>
          </cell>
          <cell r="C47" t="str">
            <v>يحي صالح سالم شامس</v>
          </cell>
          <cell r="D47">
            <v>2178279747</v>
          </cell>
          <cell r="E47" t="str">
            <v>اليمن</v>
          </cell>
          <cell r="F47" t="str">
            <v>ذكر</v>
          </cell>
          <cell r="G47">
            <v>43069</v>
          </cell>
          <cell r="H47">
            <v>44457</v>
          </cell>
          <cell r="I47" t="str">
            <v>دوام كامل</v>
          </cell>
          <cell r="J47" t="str">
            <v>سائق دينا</v>
          </cell>
          <cell r="K47" t="str">
            <v>الرياض</v>
          </cell>
          <cell r="L47" t="str">
            <v>جملة ريال البركة</v>
          </cell>
          <cell r="O47" t="str">
            <v>0509992481</v>
          </cell>
        </row>
        <row r="48">
          <cell r="B48">
            <v>1040</v>
          </cell>
          <cell r="C48" t="str">
            <v>فاطمه محمد عبدالعزيز الشليل</v>
          </cell>
          <cell r="D48">
            <v>1085931283</v>
          </cell>
          <cell r="E48" t="str">
            <v>سعودي</v>
          </cell>
          <cell r="F48" t="str">
            <v>أنثي</v>
          </cell>
          <cell r="G48">
            <v>43079</v>
          </cell>
          <cell r="H48">
            <v>43079</v>
          </cell>
          <cell r="I48" t="str">
            <v>عن بعد</v>
          </cell>
          <cell r="J48" t="str">
            <v>مندوب مبيعات</v>
          </cell>
          <cell r="K48" t="str">
            <v>الرياض</v>
          </cell>
          <cell r="L48" t="str">
            <v>الإدارة</v>
          </cell>
          <cell r="O48" t="str">
            <v>0555730473</v>
          </cell>
        </row>
        <row r="49">
          <cell r="B49">
            <v>1041</v>
          </cell>
          <cell r="C49" t="str">
            <v>محمد عارف الإسلام</v>
          </cell>
          <cell r="D49">
            <v>2415090105</v>
          </cell>
          <cell r="E49" t="str">
            <v>بنجلاديش</v>
          </cell>
          <cell r="F49" t="str">
            <v>ذكر</v>
          </cell>
          <cell r="G49">
            <v>43082</v>
          </cell>
          <cell r="H49">
            <v>44829</v>
          </cell>
          <cell r="I49" t="str">
            <v>دوام كامل</v>
          </cell>
          <cell r="J49" t="str">
            <v>سائق دينا</v>
          </cell>
          <cell r="K49" t="str">
            <v>الرياض</v>
          </cell>
          <cell r="L49" t="str">
            <v>مستودع جملة سلطان</v>
          </cell>
          <cell r="O49" t="str">
            <v>0503547269</v>
          </cell>
        </row>
        <row r="50">
          <cell r="B50">
            <v>1042</v>
          </cell>
          <cell r="C50" t="str">
            <v>هياء سليمان صالح المريشد</v>
          </cell>
          <cell r="D50">
            <v>1072033960</v>
          </cell>
          <cell r="E50" t="str">
            <v>سعودي</v>
          </cell>
          <cell r="F50" t="str">
            <v>أنثي</v>
          </cell>
          <cell r="G50">
            <v>43131</v>
          </cell>
          <cell r="H50">
            <v>43131</v>
          </cell>
          <cell r="I50" t="str">
            <v>عن بعد</v>
          </cell>
          <cell r="J50" t="str">
            <v>مندوب مبيعات</v>
          </cell>
          <cell r="K50" t="str">
            <v>الرياض</v>
          </cell>
          <cell r="L50" t="str">
            <v>الإدارة</v>
          </cell>
          <cell r="O50" t="str">
            <v>0544431868</v>
          </cell>
        </row>
        <row r="51">
          <cell r="B51">
            <v>1043</v>
          </cell>
          <cell r="C51" t="str">
            <v>عهود سعد محمد دهمش</v>
          </cell>
          <cell r="D51">
            <v>1043624756</v>
          </cell>
          <cell r="E51" t="str">
            <v>سعودي</v>
          </cell>
          <cell r="F51" t="str">
            <v>أنثي</v>
          </cell>
          <cell r="G51">
            <v>43135</v>
          </cell>
          <cell r="H51">
            <v>43135</v>
          </cell>
          <cell r="I51" t="str">
            <v>دوام كامل</v>
          </cell>
          <cell r="J51" t="str">
            <v>مندوب مبيعات</v>
          </cell>
          <cell r="K51" t="str">
            <v>الرياض</v>
          </cell>
          <cell r="L51" t="str">
            <v>وكالة ممكن</v>
          </cell>
          <cell r="O51" t="str">
            <v>0582680992</v>
          </cell>
        </row>
        <row r="52">
          <cell r="B52">
            <v>1044</v>
          </cell>
          <cell r="C52" t="str">
            <v>محمد علي فورازي</v>
          </cell>
          <cell r="D52">
            <v>2429704196</v>
          </cell>
          <cell r="E52" t="str">
            <v>بنجلاديش</v>
          </cell>
          <cell r="F52" t="str">
            <v>ذكر</v>
          </cell>
          <cell r="G52">
            <v>42808</v>
          </cell>
          <cell r="H52">
            <v>44653</v>
          </cell>
          <cell r="I52" t="str">
            <v>دوام كامل</v>
          </cell>
          <cell r="J52" t="str">
            <v>عامل</v>
          </cell>
          <cell r="K52" t="str">
            <v>الرياض</v>
          </cell>
          <cell r="L52" t="str">
            <v>الدائري الغربي</v>
          </cell>
          <cell r="O52" t="str">
            <v>0573357851</v>
          </cell>
        </row>
        <row r="53">
          <cell r="B53">
            <v>1045</v>
          </cell>
          <cell r="C53" t="str">
            <v>لمياء سليمان صالح المريشد</v>
          </cell>
          <cell r="D53">
            <v>1088719834</v>
          </cell>
          <cell r="E53" t="str">
            <v>سعودي</v>
          </cell>
          <cell r="F53" t="str">
            <v>أنثي</v>
          </cell>
          <cell r="G53">
            <v>43209</v>
          </cell>
          <cell r="H53">
            <v>43209</v>
          </cell>
          <cell r="I53" t="str">
            <v>عن بعد</v>
          </cell>
          <cell r="J53" t="str">
            <v>مسؤول تواصل اجتماعي</v>
          </cell>
          <cell r="K53" t="str">
            <v>الرياض</v>
          </cell>
          <cell r="L53" t="str">
            <v>وكالة ممكن</v>
          </cell>
          <cell r="O53" t="str">
            <v>0597749772</v>
          </cell>
        </row>
        <row r="54">
          <cell r="B54">
            <v>1046</v>
          </cell>
          <cell r="C54" t="str">
            <v>سليمان صالح سليمان المريشد</v>
          </cell>
          <cell r="D54">
            <v>1005114796</v>
          </cell>
          <cell r="E54" t="str">
            <v>سعودي</v>
          </cell>
          <cell r="F54" t="str">
            <v>ذكر</v>
          </cell>
          <cell r="G54">
            <v>43282</v>
          </cell>
          <cell r="H54">
            <v>43282</v>
          </cell>
          <cell r="I54" t="str">
            <v>عن بعد</v>
          </cell>
          <cell r="J54" t="str">
            <v>مدير علاقات عامة</v>
          </cell>
          <cell r="K54" t="str">
            <v>الرياض</v>
          </cell>
          <cell r="L54" t="str">
            <v>الإدارة</v>
          </cell>
          <cell r="O54" t="str">
            <v>0552366366</v>
          </cell>
        </row>
        <row r="55">
          <cell r="B55">
            <v>1047</v>
          </cell>
          <cell r="C55" t="str">
            <v>هشام عثمان موسى احمد</v>
          </cell>
          <cell r="D55">
            <v>2435149386</v>
          </cell>
          <cell r="E55" t="str">
            <v>السودان</v>
          </cell>
          <cell r="F55" t="str">
            <v>ذكر</v>
          </cell>
          <cell r="G55">
            <v>43349</v>
          </cell>
          <cell r="H55">
            <v>43260</v>
          </cell>
          <cell r="I55" t="str">
            <v>دوام كامل</v>
          </cell>
          <cell r="J55" t="str">
            <v>مدخل بيانات</v>
          </cell>
          <cell r="K55" t="str">
            <v>الرياض</v>
          </cell>
          <cell r="L55" t="str">
            <v>جملة ريال البركة</v>
          </cell>
          <cell r="O55" t="str">
            <v>0550529514</v>
          </cell>
        </row>
        <row r="56">
          <cell r="B56">
            <v>1048</v>
          </cell>
          <cell r="C56" t="str">
            <v>محمد شؤيف حسين</v>
          </cell>
          <cell r="D56">
            <v>2440102875</v>
          </cell>
          <cell r="E56" t="str">
            <v>بنجلاديش</v>
          </cell>
          <cell r="F56" t="str">
            <v>ذكر</v>
          </cell>
          <cell r="G56">
            <v>43352</v>
          </cell>
          <cell r="H56">
            <v>43352</v>
          </cell>
          <cell r="I56" t="str">
            <v>دوام كامل</v>
          </cell>
          <cell r="J56" t="str">
            <v>عامل</v>
          </cell>
          <cell r="K56" t="str">
            <v>الدمام</v>
          </cell>
          <cell r="L56" t="str">
            <v>العنود</v>
          </cell>
          <cell r="O56" t="str">
            <v>500481891</v>
          </cell>
        </row>
        <row r="57">
          <cell r="B57">
            <v>1049</v>
          </cell>
          <cell r="C57" t="str">
            <v>محمد شجون</v>
          </cell>
          <cell r="D57">
            <v>2443897380</v>
          </cell>
          <cell r="E57" t="str">
            <v>بنجلاديش</v>
          </cell>
          <cell r="F57" t="str">
            <v>ذكر</v>
          </cell>
          <cell r="G57">
            <v>43358</v>
          </cell>
          <cell r="H57">
            <v>43358</v>
          </cell>
          <cell r="I57" t="str">
            <v>دوام كامل</v>
          </cell>
          <cell r="J57" t="str">
            <v>عامل</v>
          </cell>
          <cell r="K57" t="str">
            <v>الرياض</v>
          </cell>
          <cell r="L57" t="str">
            <v>هاينس</v>
          </cell>
          <cell r="O57" t="str">
            <v>572668082</v>
          </cell>
        </row>
        <row r="58">
          <cell r="B58">
            <v>1050</v>
          </cell>
          <cell r="C58" t="str">
            <v>محمد عطية سعد</v>
          </cell>
          <cell r="D58">
            <v>2227227549</v>
          </cell>
          <cell r="E58" t="str">
            <v>مصر</v>
          </cell>
          <cell r="F58" t="str">
            <v>ذكر</v>
          </cell>
          <cell r="G58">
            <v>43374</v>
          </cell>
          <cell r="H58">
            <v>44660</v>
          </cell>
          <cell r="I58" t="str">
            <v>دوام جزئي</v>
          </cell>
          <cell r="J58" t="str">
            <v>محاسب عام</v>
          </cell>
          <cell r="K58" t="str">
            <v>الرياض</v>
          </cell>
          <cell r="L58" t="str">
            <v>الإدارة</v>
          </cell>
          <cell r="M58" t="str">
            <v>انهاء التعاقد</v>
          </cell>
          <cell r="N58" t="str">
            <v>01/01/2023</v>
          </cell>
          <cell r="O58" t="e">
            <v>#N/A</v>
          </cell>
        </row>
        <row r="59">
          <cell r="B59">
            <v>1051</v>
          </cell>
          <cell r="C59" t="str">
            <v>مشعل حسن صالح القحطاني</v>
          </cell>
          <cell r="D59">
            <v>1123517557</v>
          </cell>
          <cell r="E59" t="str">
            <v>سعودي</v>
          </cell>
          <cell r="F59" t="str">
            <v>ذكر</v>
          </cell>
          <cell r="G59">
            <v>43382</v>
          </cell>
          <cell r="I59" t="str">
            <v>شريك</v>
          </cell>
          <cell r="J59" t="str">
            <v>شريك</v>
          </cell>
          <cell r="K59" t="str">
            <v>الرياض</v>
          </cell>
          <cell r="L59" t="str">
            <v>المصيف</v>
          </cell>
          <cell r="M59" t="str">
            <v>انهاء التعاقد</v>
          </cell>
          <cell r="N59">
            <v>45010</v>
          </cell>
          <cell r="O59" t="e">
            <v>#N/A</v>
          </cell>
        </row>
        <row r="60">
          <cell r="B60">
            <v>1052</v>
          </cell>
          <cell r="C60" t="str">
            <v>محمد يحي محسن عميسان</v>
          </cell>
          <cell r="D60">
            <v>2213474048</v>
          </cell>
          <cell r="E60" t="str">
            <v>اليمن</v>
          </cell>
          <cell r="F60" t="str">
            <v>ذكر</v>
          </cell>
          <cell r="G60">
            <v>43382</v>
          </cell>
          <cell r="I60" t="str">
            <v>شريك</v>
          </cell>
          <cell r="J60" t="str">
            <v>شريك</v>
          </cell>
          <cell r="K60" t="str">
            <v>الرياض</v>
          </cell>
          <cell r="L60" t="str">
            <v>اليرموك</v>
          </cell>
          <cell r="O60" t="str">
            <v>507563883</v>
          </cell>
        </row>
        <row r="61">
          <cell r="B61">
            <v>1053</v>
          </cell>
          <cell r="C61" t="str">
            <v>بشاير خليل أحمد العنزي</v>
          </cell>
          <cell r="D61">
            <v>1086719836</v>
          </cell>
          <cell r="E61" t="str">
            <v>سعودي</v>
          </cell>
          <cell r="F61" t="str">
            <v>أنثي</v>
          </cell>
          <cell r="G61">
            <v>43390</v>
          </cell>
          <cell r="H61">
            <v>44781</v>
          </cell>
          <cell r="I61" t="str">
            <v>دوام كامل</v>
          </cell>
          <cell r="J61" t="str">
            <v>مدير فرع</v>
          </cell>
          <cell r="K61" t="str">
            <v>الرياض</v>
          </cell>
          <cell r="L61" t="str">
            <v>الدائري الغربي</v>
          </cell>
          <cell r="O61" t="str">
            <v>506330351</v>
          </cell>
        </row>
        <row r="62">
          <cell r="B62">
            <v>1054</v>
          </cell>
          <cell r="C62" t="str">
            <v>نبيل محمد علي السلمي</v>
          </cell>
          <cell r="D62">
            <v>2381616388</v>
          </cell>
          <cell r="E62" t="str">
            <v>اليمن</v>
          </cell>
          <cell r="F62" t="str">
            <v>ذكر</v>
          </cell>
          <cell r="G62">
            <v>43390</v>
          </cell>
          <cell r="H62">
            <v>44284</v>
          </cell>
          <cell r="I62" t="str">
            <v>دوام كامل</v>
          </cell>
          <cell r="J62" t="str">
            <v>مشرف فرع</v>
          </cell>
          <cell r="K62" t="str">
            <v>الدمام</v>
          </cell>
          <cell r="L62" t="str">
            <v>العنود</v>
          </cell>
          <cell r="O62" t="str">
            <v>508467970</v>
          </cell>
        </row>
        <row r="63">
          <cell r="B63">
            <v>1055</v>
          </cell>
          <cell r="C63" t="str">
            <v>محضار عبدالله حسين السيد</v>
          </cell>
          <cell r="D63">
            <v>2271066652</v>
          </cell>
          <cell r="E63" t="str">
            <v>اليمن</v>
          </cell>
          <cell r="F63" t="str">
            <v>ذكر</v>
          </cell>
          <cell r="G63">
            <v>43391</v>
          </cell>
          <cell r="H63">
            <v>41750</v>
          </cell>
          <cell r="I63" t="str">
            <v>دوام كامل</v>
          </cell>
          <cell r="J63" t="str">
            <v>مندوب مشتريات</v>
          </cell>
          <cell r="K63" t="str">
            <v>الرياض</v>
          </cell>
          <cell r="L63" t="str">
            <v>جملة ريال البركة</v>
          </cell>
          <cell r="O63" t="str">
            <v>533512860</v>
          </cell>
        </row>
        <row r="64">
          <cell r="B64">
            <v>1056</v>
          </cell>
          <cell r="C64" t="str">
            <v>جمال علي فرحان الفنيني</v>
          </cell>
          <cell r="D64">
            <v>2233369574</v>
          </cell>
          <cell r="E64" t="str">
            <v>اليمن</v>
          </cell>
          <cell r="F64" t="str">
            <v>ذكر</v>
          </cell>
          <cell r="G64">
            <v>43399</v>
          </cell>
          <cell r="H64">
            <v>44256</v>
          </cell>
          <cell r="I64" t="str">
            <v>دوام كامل</v>
          </cell>
          <cell r="J64" t="str">
            <v>سائق دينا</v>
          </cell>
          <cell r="K64" t="str">
            <v>الرياض</v>
          </cell>
          <cell r="L64" t="str">
            <v>جملة ريال البركة</v>
          </cell>
          <cell r="O64" t="str">
            <v>554254792</v>
          </cell>
        </row>
        <row r="65">
          <cell r="B65">
            <v>1057</v>
          </cell>
          <cell r="C65" t="str">
            <v>أكرم ال حقي</v>
          </cell>
          <cell r="D65">
            <v>2415874664</v>
          </cell>
          <cell r="E65" t="str">
            <v>بنجلاديش</v>
          </cell>
          <cell r="F65" t="str">
            <v>ذكر</v>
          </cell>
          <cell r="G65">
            <v>43435</v>
          </cell>
          <cell r="H65">
            <v>44526</v>
          </cell>
          <cell r="I65" t="str">
            <v>دوام كامل</v>
          </cell>
          <cell r="J65" t="str">
            <v>عامل</v>
          </cell>
          <cell r="K65" t="str">
            <v>الرياض</v>
          </cell>
          <cell r="L65" t="str">
            <v>المصيف</v>
          </cell>
          <cell r="O65" t="str">
            <v>571503918</v>
          </cell>
        </row>
        <row r="66">
          <cell r="B66">
            <v>1058</v>
          </cell>
          <cell r="C66" t="str">
            <v>ألمغير حسين</v>
          </cell>
          <cell r="D66">
            <v>2428739169</v>
          </cell>
          <cell r="E66" t="str">
            <v>بنجلاديش</v>
          </cell>
          <cell r="F66" t="str">
            <v>ذكر</v>
          </cell>
          <cell r="G66">
            <v>43435</v>
          </cell>
          <cell r="H66">
            <v>44478</v>
          </cell>
          <cell r="I66" t="str">
            <v>دوام كامل</v>
          </cell>
          <cell r="J66" t="str">
            <v>عامل</v>
          </cell>
          <cell r="K66" t="str">
            <v>الرياض</v>
          </cell>
          <cell r="L66" t="str">
            <v>اليرموك</v>
          </cell>
          <cell r="O66" t="str">
            <v>571230270</v>
          </cell>
        </row>
        <row r="67">
          <cell r="B67">
            <v>1059</v>
          </cell>
          <cell r="C67" t="str">
            <v>رامجان علي صديقي</v>
          </cell>
          <cell r="D67">
            <v>2431488325</v>
          </cell>
          <cell r="E67" t="str">
            <v>بنجلاديش</v>
          </cell>
          <cell r="F67" t="str">
            <v>ذكر</v>
          </cell>
          <cell r="G67">
            <v>43435</v>
          </cell>
          <cell r="H67">
            <v>44491</v>
          </cell>
          <cell r="I67" t="str">
            <v>دوام كامل</v>
          </cell>
          <cell r="J67" t="str">
            <v>عامل</v>
          </cell>
          <cell r="K67" t="str">
            <v>الرياض</v>
          </cell>
          <cell r="L67" t="str">
            <v>المصيف</v>
          </cell>
          <cell r="O67" t="str">
            <v>563038199</v>
          </cell>
        </row>
        <row r="68">
          <cell r="B68">
            <v>1060</v>
          </cell>
          <cell r="C68" t="str">
            <v>عبدالرحمن علي حسين قرانه</v>
          </cell>
          <cell r="D68">
            <v>2448299566</v>
          </cell>
          <cell r="E68" t="str">
            <v>اليمن</v>
          </cell>
          <cell r="F68" t="str">
            <v>ذكر</v>
          </cell>
          <cell r="G68">
            <v>43435</v>
          </cell>
          <cell r="H68">
            <v>44463</v>
          </cell>
          <cell r="I68" t="str">
            <v>دوام كامل</v>
          </cell>
          <cell r="J68" t="str">
            <v>عامل</v>
          </cell>
          <cell r="K68" t="str">
            <v>الرياض</v>
          </cell>
          <cell r="L68" t="str">
            <v>المصيف</v>
          </cell>
          <cell r="O68" t="str">
            <v>538334278</v>
          </cell>
        </row>
        <row r="69">
          <cell r="B69">
            <v>1061</v>
          </cell>
          <cell r="C69" t="str">
            <v>ماجد محمد يحيى السودي</v>
          </cell>
          <cell r="D69">
            <v>2351495946</v>
          </cell>
          <cell r="E69" t="str">
            <v>اليمن</v>
          </cell>
          <cell r="F69" t="str">
            <v>ذكر</v>
          </cell>
          <cell r="G69">
            <v>43435</v>
          </cell>
          <cell r="H69">
            <v>44212</v>
          </cell>
          <cell r="I69" t="str">
            <v>دوام كامل</v>
          </cell>
          <cell r="J69" t="str">
            <v>مشرف فرع</v>
          </cell>
          <cell r="K69" t="str">
            <v>الرياض</v>
          </cell>
          <cell r="L69" t="str">
            <v>اليرموك</v>
          </cell>
          <cell r="O69" t="str">
            <v>532811709</v>
          </cell>
        </row>
        <row r="70">
          <cell r="B70">
            <v>1062</v>
          </cell>
          <cell r="C70" t="str">
            <v>مراد علي حسن قرانه</v>
          </cell>
          <cell r="D70">
            <v>2444716852</v>
          </cell>
          <cell r="E70" t="str">
            <v>اليمن</v>
          </cell>
          <cell r="F70" t="str">
            <v>ذكر</v>
          </cell>
          <cell r="G70">
            <v>43279</v>
          </cell>
          <cell r="H70" t="str">
            <v>إجازة حالياً</v>
          </cell>
          <cell r="I70" t="str">
            <v>دوام كامل</v>
          </cell>
          <cell r="J70" t="str">
            <v>مشرف فرع</v>
          </cell>
          <cell r="K70" t="str">
            <v>الرياض</v>
          </cell>
          <cell r="L70" t="str">
            <v>المصيف</v>
          </cell>
          <cell r="O70" t="str">
            <v>550392145</v>
          </cell>
        </row>
        <row r="71">
          <cell r="B71">
            <v>1063</v>
          </cell>
          <cell r="C71" t="str">
            <v>جميل علي حسن عبدالله</v>
          </cell>
          <cell r="D71">
            <v>2177037914</v>
          </cell>
          <cell r="E71" t="str">
            <v>اليمن</v>
          </cell>
          <cell r="F71" t="str">
            <v>ذكر</v>
          </cell>
          <cell r="G71">
            <v>43405</v>
          </cell>
          <cell r="H71">
            <v>44263</v>
          </cell>
          <cell r="I71" t="str">
            <v>دوام كامل</v>
          </cell>
          <cell r="J71" t="str">
            <v>سائق دينا</v>
          </cell>
          <cell r="K71" t="str">
            <v>الرياض</v>
          </cell>
          <cell r="L71" t="str">
            <v>جملة ريال البركة</v>
          </cell>
          <cell r="O71" t="str">
            <v>501205208</v>
          </cell>
        </row>
        <row r="72">
          <cell r="B72">
            <v>1064</v>
          </cell>
          <cell r="C72" t="str">
            <v>معين الدين وحيد</v>
          </cell>
          <cell r="D72">
            <v>2445662816</v>
          </cell>
          <cell r="E72" t="str">
            <v>بنجلاديش</v>
          </cell>
          <cell r="F72" t="str">
            <v>ذكر</v>
          </cell>
          <cell r="G72">
            <v>43282</v>
          </cell>
          <cell r="H72">
            <v>44705</v>
          </cell>
          <cell r="I72" t="str">
            <v>دوام كامل</v>
          </cell>
          <cell r="J72" t="str">
            <v>عامل</v>
          </cell>
          <cell r="K72" t="str">
            <v>الرياض</v>
          </cell>
          <cell r="L72" t="str">
            <v>هاينس</v>
          </cell>
          <cell r="O72" t="str">
            <v>0568016237</v>
          </cell>
        </row>
        <row r="73">
          <cell r="B73">
            <v>1065</v>
          </cell>
          <cell r="C73" t="str">
            <v>عمر محمد عبده علي السلمي</v>
          </cell>
          <cell r="D73">
            <v>2464009899</v>
          </cell>
          <cell r="E73" t="str">
            <v>اليمن</v>
          </cell>
          <cell r="F73" t="str">
            <v>ذكر</v>
          </cell>
          <cell r="G73">
            <v>43474</v>
          </cell>
          <cell r="H73" t="str">
            <v>إجازة حالياً</v>
          </cell>
          <cell r="I73" t="str">
            <v>دوام كامل</v>
          </cell>
          <cell r="J73" t="str">
            <v>مشرف فرع</v>
          </cell>
          <cell r="K73" t="str">
            <v>الرياض</v>
          </cell>
          <cell r="L73" t="str">
            <v>الشفا</v>
          </cell>
          <cell r="O73" t="str">
            <v>554084106</v>
          </cell>
        </row>
        <row r="74">
          <cell r="B74">
            <v>1066</v>
          </cell>
          <cell r="C74" t="str">
            <v>محمد عبدالله حسين محمد السيد</v>
          </cell>
          <cell r="D74">
            <v>2469385732</v>
          </cell>
          <cell r="E74" t="str">
            <v>اليمن</v>
          </cell>
          <cell r="F74" t="str">
            <v>ذكر</v>
          </cell>
          <cell r="G74">
            <v>43476</v>
          </cell>
          <cell r="H74">
            <v>44510</v>
          </cell>
          <cell r="I74" t="str">
            <v>دوام كامل</v>
          </cell>
          <cell r="J74" t="str">
            <v>عامل</v>
          </cell>
          <cell r="K74" t="str">
            <v>الرياض</v>
          </cell>
          <cell r="L74" t="str">
            <v>جملة ريال البركة</v>
          </cell>
          <cell r="O74" t="str">
            <v>540767897</v>
          </cell>
        </row>
        <row r="75">
          <cell r="B75">
            <v>1067</v>
          </cell>
          <cell r="C75" t="str">
            <v>شوقي النور مصطفي أحمد</v>
          </cell>
          <cell r="D75">
            <v>2463326849</v>
          </cell>
          <cell r="E75" t="str">
            <v>السودان</v>
          </cell>
          <cell r="F75" t="str">
            <v>ذكر</v>
          </cell>
          <cell r="G75">
            <v>43506</v>
          </cell>
          <cell r="I75" t="str">
            <v>دوام كامل</v>
          </cell>
          <cell r="J75" t="str">
            <v>عامل</v>
          </cell>
          <cell r="K75" t="str">
            <v>الرياض</v>
          </cell>
          <cell r="L75" t="str">
            <v>مستودع جملة سلطان</v>
          </cell>
          <cell r="O75" t="str">
            <v>0551872184</v>
          </cell>
        </row>
        <row r="76">
          <cell r="B76">
            <v>1068</v>
          </cell>
          <cell r="C76" t="str">
            <v>تهاني محمد محسن السهلي</v>
          </cell>
          <cell r="D76">
            <v>1068412897</v>
          </cell>
          <cell r="E76" t="str">
            <v>سعودي</v>
          </cell>
          <cell r="F76" t="str">
            <v>أنثي</v>
          </cell>
          <cell r="G76">
            <v>43525</v>
          </cell>
          <cell r="H76">
            <v>44744</v>
          </cell>
          <cell r="I76" t="str">
            <v>دوام كامل</v>
          </cell>
          <cell r="J76" t="str">
            <v>كاشير</v>
          </cell>
          <cell r="K76" t="str">
            <v>الرياض</v>
          </cell>
          <cell r="L76" t="str">
            <v>الدائري الغربي</v>
          </cell>
          <cell r="O76" t="str">
            <v>557138147</v>
          </cell>
        </row>
        <row r="77">
          <cell r="B77">
            <v>1069</v>
          </cell>
          <cell r="C77" t="str">
            <v>هشام مقبل عبده علي السلمي</v>
          </cell>
          <cell r="D77">
            <v>2315332334</v>
          </cell>
          <cell r="E77" t="str">
            <v>اليمن</v>
          </cell>
          <cell r="F77" t="str">
            <v>ذكر</v>
          </cell>
          <cell r="G77">
            <v>43535</v>
          </cell>
          <cell r="H77">
            <v>43535</v>
          </cell>
          <cell r="I77" t="str">
            <v>دوام كامل</v>
          </cell>
          <cell r="J77" t="str">
            <v>مشرف فرع</v>
          </cell>
          <cell r="K77" t="str">
            <v>الأحساء</v>
          </cell>
          <cell r="L77" t="str">
            <v>الأندلس</v>
          </cell>
          <cell r="O77" t="str">
            <v>538878300</v>
          </cell>
        </row>
        <row r="78">
          <cell r="B78">
            <v>1070</v>
          </cell>
          <cell r="C78" t="str">
            <v>مطيع صالح حمود قايد الفهد</v>
          </cell>
          <cell r="D78">
            <v>2297145332</v>
          </cell>
          <cell r="E78" t="str">
            <v>اليمن</v>
          </cell>
          <cell r="F78" t="str">
            <v>ذكر</v>
          </cell>
          <cell r="G78">
            <v>43587</v>
          </cell>
          <cell r="H78">
            <v>44321</v>
          </cell>
          <cell r="I78" t="str">
            <v>دوام كامل</v>
          </cell>
          <cell r="J78" t="str">
            <v>عامل</v>
          </cell>
          <cell r="K78" t="str">
            <v>الخرج</v>
          </cell>
          <cell r="L78" t="str">
            <v>المصنع</v>
          </cell>
          <cell r="O78" t="str">
            <v>0509096708</v>
          </cell>
        </row>
        <row r="79">
          <cell r="B79">
            <v>1071</v>
          </cell>
          <cell r="C79" t="str">
            <v>أحمد أحمد عبدالله أحمد</v>
          </cell>
          <cell r="D79">
            <v>2444717033</v>
          </cell>
          <cell r="E79" t="str">
            <v>اليمن</v>
          </cell>
          <cell r="F79" t="str">
            <v>ذكر</v>
          </cell>
          <cell r="G79">
            <v>43647</v>
          </cell>
          <cell r="H79">
            <v>44631</v>
          </cell>
          <cell r="I79" t="str">
            <v>دوام كامل</v>
          </cell>
          <cell r="J79" t="str">
            <v>عامل</v>
          </cell>
          <cell r="K79" t="str">
            <v>الرياض</v>
          </cell>
          <cell r="L79" t="str">
            <v>اليرموك</v>
          </cell>
          <cell r="O79" t="str">
            <v>576839077</v>
          </cell>
        </row>
        <row r="80">
          <cell r="B80">
            <v>1072</v>
          </cell>
          <cell r="C80" t="str">
            <v>محمد أحمد محمد عبد القوي الزيادي</v>
          </cell>
          <cell r="D80">
            <v>2294959602</v>
          </cell>
          <cell r="E80" t="str">
            <v>اليمن</v>
          </cell>
          <cell r="F80" t="str">
            <v>ذكر</v>
          </cell>
          <cell r="G80">
            <v>43709</v>
          </cell>
          <cell r="H80">
            <v>44259</v>
          </cell>
          <cell r="I80" t="str">
            <v>دوام كامل</v>
          </cell>
          <cell r="J80" t="str">
            <v>مشرف فرع</v>
          </cell>
          <cell r="K80" t="str">
            <v>الرياض</v>
          </cell>
          <cell r="L80" t="str">
            <v>اليرموك</v>
          </cell>
          <cell r="O80" t="str">
            <v>538678602</v>
          </cell>
        </row>
        <row r="81">
          <cell r="B81">
            <v>1073</v>
          </cell>
          <cell r="C81" t="str">
            <v>محمد عباس علي</v>
          </cell>
          <cell r="D81">
            <v>2434158859</v>
          </cell>
          <cell r="E81" t="str">
            <v>بنجلاديش</v>
          </cell>
          <cell r="F81" t="str">
            <v>ذكر</v>
          </cell>
          <cell r="G81">
            <v>43723</v>
          </cell>
          <cell r="H81">
            <v>44298</v>
          </cell>
          <cell r="I81" t="str">
            <v>دوام كامل</v>
          </cell>
          <cell r="J81" t="str">
            <v>عامل</v>
          </cell>
          <cell r="K81" t="str">
            <v>الخرج</v>
          </cell>
          <cell r="L81" t="str">
            <v>غرناطة</v>
          </cell>
          <cell r="O81" t="str">
            <v>547683205</v>
          </cell>
        </row>
        <row r="82">
          <cell r="B82">
            <v>1074</v>
          </cell>
          <cell r="C82" t="str">
            <v>زكريا علي صالح احمد</v>
          </cell>
          <cell r="D82">
            <v>2287699033</v>
          </cell>
          <cell r="E82" t="str">
            <v>اليمن</v>
          </cell>
          <cell r="F82" t="str">
            <v>ذكر</v>
          </cell>
          <cell r="G82">
            <v>43726</v>
          </cell>
          <cell r="H82">
            <v>44310</v>
          </cell>
          <cell r="I82" t="str">
            <v>دوام كامل</v>
          </cell>
          <cell r="J82" t="str">
            <v>الدعم الفني</v>
          </cell>
          <cell r="K82" t="str">
            <v>الرياض</v>
          </cell>
          <cell r="L82" t="str">
            <v>الإدارة</v>
          </cell>
          <cell r="O82" t="str">
            <v>530880090</v>
          </cell>
        </row>
        <row r="83">
          <cell r="B83">
            <v>1075</v>
          </cell>
          <cell r="C83" t="str">
            <v>اريج مرداس عبدالله ال مسفوه اليامي</v>
          </cell>
          <cell r="D83">
            <v>1081089128</v>
          </cell>
          <cell r="E83" t="str">
            <v>سعودي</v>
          </cell>
          <cell r="F83" t="str">
            <v>أنثي</v>
          </cell>
          <cell r="G83">
            <v>43825</v>
          </cell>
          <cell r="H83">
            <v>44771</v>
          </cell>
          <cell r="I83" t="str">
            <v>دوام كامل</v>
          </cell>
          <cell r="J83" t="str">
            <v>كاشير</v>
          </cell>
          <cell r="K83" t="str">
            <v>الرياض</v>
          </cell>
          <cell r="L83" t="str">
            <v>الدائري الغربي</v>
          </cell>
          <cell r="M83" t="str">
            <v>إستقالة</v>
          </cell>
          <cell r="N83" t="str">
            <v>22/09/2022</v>
          </cell>
          <cell r="O83" t="e">
            <v>#N/A</v>
          </cell>
        </row>
        <row r="84">
          <cell r="B84">
            <v>1076</v>
          </cell>
          <cell r="C84" t="str">
            <v>ايمان حسين</v>
          </cell>
          <cell r="D84">
            <v>2477303503</v>
          </cell>
          <cell r="E84" t="str">
            <v>بنجلاديش</v>
          </cell>
          <cell r="F84" t="str">
            <v>ذكر</v>
          </cell>
          <cell r="G84">
            <v>43831</v>
          </cell>
          <cell r="H84">
            <v>43831</v>
          </cell>
          <cell r="I84" t="str">
            <v>دوام كامل</v>
          </cell>
          <cell r="J84" t="str">
            <v>عامل</v>
          </cell>
          <cell r="K84" t="str">
            <v>الرياض</v>
          </cell>
          <cell r="L84" t="str">
            <v>مستودع جملة سلطان</v>
          </cell>
          <cell r="O84" t="str">
            <v>541486210</v>
          </cell>
        </row>
        <row r="85">
          <cell r="B85">
            <v>1077</v>
          </cell>
          <cell r="C85" t="str">
            <v>رابي حسين</v>
          </cell>
          <cell r="D85">
            <v>2475243123</v>
          </cell>
          <cell r="E85" t="str">
            <v>بنجلاديش</v>
          </cell>
          <cell r="F85" t="str">
            <v>ذكر</v>
          </cell>
          <cell r="G85">
            <v>43831</v>
          </cell>
          <cell r="H85">
            <v>43831</v>
          </cell>
          <cell r="I85" t="str">
            <v>دوام كامل</v>
          </cell>
          <cell r="J85" t="str">
            <v>عامل</v>
          </cell>
          <cell r="K85" t="str">
            <v>الرياض</v>
          </cell>
          <cell r="L85" t="str">
            <v>هاينس</v>
          </cell>
          <cell r="O85" t="str">
            <v>0573441421</v>
          </cell>
        </row>
        <row r="86">
          <cell r="B86">
            <v>1078</v>
          </cell>
          <cell r="C86" t="str">
            <v>فكري عبدالدائم محمد عبدالرحمن</v>
          </cell>
          <cell r="D86">
            <v>2302314501</v>
          </cell>
          <cell r="E86" t="str">
            <v>اليمن</v>
          </cell>
          <cell r="F86" t="str">
            <v>ذكر</v>
          </cell>
          <cell r="G86">
            <v>43831</v>
          </cell>
          <cell r="H86">
            <v>44526</v>
          </cell>
          <cell r="I86" t="str">
            <v>منتسب</v>
          </cell>
          <cell r="J86" t="str">
            <v>مندوب مبيعات</v>
          </cell>
          <cell r="L86" t="str">
            <v>مستودع عكاظ 23</v>
          </cell>
          <cell r="O86" t="str">
            <v>595989991</v>
          </cell>
        </row>
        <row r="87">
          <cell r="B87">
            <v>1079</v>
          </cell>
          <cell r="C87" t="str">
            <v>خالق عبد الرشيد</v>
          </cell>
          <cell r="D87">
            <v>2477303669</v>
          </cell>
          <cell r="E87" t="str">
            <v>بنجلاديش</v>
          </cell>
          <cell r="F87" t="str">
            <v>ذكر</v>
          </cell>
          <cell r="G87">
            <v>43770</v>
          </cell>
          <cell r="H87">
            <v>44790</v>
          </cell>
          <cell r="I87" t="str">
            <v>دوام كامل</v>
          </cell>
          <cell r="J87" t="str">
            <v>عامل</v>
          </cell>
          <cell r="K87" t="str">
            <v>الرياض</v>
          </cell>
          <cell r="L87" t="str">
            <v>الشفا</v>
          </cell>
          <cell r="O87" t="str">
            <v>571301909</v>
          </cell>
        </row>
        <row r="88">
          <cell r="B88">
            <v>1080</v>
          </cell>
          <cell r="C88" t="str">
            <v>محمد السر علي الخليفة</v>
          </cell>
          <cell r="D88">
            <v>2469710228</v>
          </cell>
          <cell r="E88" t="str">
            <v>السودان</v>
          </cell>
          <cell r="F88" t="str">
            <v>ذكر</v>
          </cell>
          <cell r="G88">
            <v>43832</v>
          </cell>
          <cell r="H88">
            <v>43832</v>
          </cell>
          <cell r="I88" t="str">
            <v>دوام كامل</v>
          </cell>
          <cell r="J88" t="str">
            <v>عامل</v>
          </cell>
          <cell r="K88" t="str">
            <v>الخرج</v>
          </cell>
          <cell r="L88" t="str">
            <v>المصنع</v>
          </cell>
          <cell r="O88" t="str">
            <v>545859366</v>
          </cell>
        </row>
        <row r="89">
          <cell r="B89">
            <v>1081</v>
          </cell>
          <cell r="C89" t="str">
            <v>حسام حسن عبده الحاج حزام</v>
          </cell>
          <cell r="D89">
            <v>2484398744</v>
          </cell>
          <cell r="E89" t="str">
            <v>اليمن</v>
          </cell>
          <cell r="F89" t="str">
            <v>ذكر</v>
          </cell>
          <cell r="G89">
            <v>43841</v>
          </cell>
          <cell r="H89">
            <v>43841</v>
          </cell>
          <cell r="I89" t="str">
            <v>دوام كامل</v>
          </cell>
          <cell r="J89" t="str">
            <v>عامل</v>
          </cell>
          <cell r="K89" t="str">
            <v>القصيم</v>
          </cell>
          <cell r="L89" t="str">
            <v>بريدة</v>
          </cell>
          <cell r="O89" t="str">
            <v>541268049</v>
          </cell>
        </row>
        <row r="90">
          <cell r="B90">
            <v>1082</v>
          </cell>
          <cell r="C90" t="str">
            <v>امجد حسين صديقي</v>
          </cell>
          <cell r="D90">
            <v>2489500203</v>
          </cell>
          <cell r="E90" t="str">
            <v>نيبال</v>
          </cell>
          <cell r="F90" t="str">
            <v>ذكر</v>
          </cell>
          <cell r="G90">
            <v>43879</v>
          </cell>
          <cell r="H90">
            <v>44941</v>
          </cell>
          <cell r="I90" t="str">
            <v>دوام كامل</v>
          </cell>
          <cell r="J90" t="str">
            <v>عامل</v>
          </cell>
          <cell r="K90" t="str">
            <v>الرياض</v>
          </cell>
          <cell r="L90" t="str">
            <v>مستودع جملة سلطان</v>
          </cell>
          <cell r="O90" t="str">
            <v>571087697</v>
          </cell>
        </row>
        <row r="91">
          <cell r="B91">
            <v>1083</v>
          </cell>
          <cell r="C91" t="str">
            <v>خدادين منصور</v>
          </cell>
          <cell r="D91">
            <v>2489563854</v>
          </cell>
          <cell r="E91" t="str">
            <v>نيبال</v>
          </cell>
          <cell r="F91" t="str">
            <v>ذكر</v>
          </cell>
          <cell r="G91">
            <v>43879</v>
          </cell>
          <cell r="H91">
            <v>44636</v>
          </cell>
          <cell r="I91" t="str">
            <v>دوام كامل</v>
          </cell>
          <cell r="J91" t="str">
            <v>عامل</v>
          </cell>
          <cell r="K91" t="str">
            <v>الرياض</v>
          </cell>
          <cell r="L91" t="str">
            <v>جملة ريال البركة</v>
          </cell>
          <cell r="O91" t="str">
            <v>572724816</v>
          </cell>
        </row>
        <row r="92">
          <cell r="B92">
            <v>1084</v>
          </cell>
          <cell r="C92" t="str">
            <v>رانجيف شيخ</v>
          </cell>
          <cell r="D92">
            <v>2489484002</v>
          </cell>
          <cell r="E92" t="str">
            <v>نيبال</v>
          </cell>
          <cell r="F92" t="str">
            <v>ذكر</v>
          </cell>
          <cell r="G92">
            <v>43879</v>
          </cell>
          <cell r="H92">
            <v>43879</v>
          </cell>
          <cell r="I92" t="str">
            <v>دوام كامل</v>
          </cell>
          <cell r="J92" t="str">
            <v>عامل</v>
          </cell>
          <cell r="K92" t="str">
            <v>الخرج</v>
          </cell>
          <cell r="L92" t="str">
            <v>المصنع</v>
          </cell>
          <cell r="O92" t="str">
            <v>0572628558</v>
          </cell>
        </row>
        <row r="93">
          <cell r="B93">
            <v>1085</v>
          </cell>
          <cell r="C93" t="str">
            <v>شيخ احمد علام</v>
          </cell>
          <cell r="D93">
            <v>2489500641</v>
          </cell>
          <cell r="E93" t="str">
            <v>نيبال</v>
          </cell>
          <cell r="F93" t="str">
            <v>ذكر</v>
          </cell>
          <cell r="G93">
            <v>43879</v>
          </cell>
          <cell r="H93">
            <v>44636</v>
          </cell>
          <cell r="I93" t="str">
            <v>دوام كامل</v>
          </cell>
          <cell r="J93" t="str">
            <v>عامل</v>
          </cell>
          <cell r="K93" t="str">
            <v>الرياض</v>
          </cell>
          <cell r="L93" t="str">
            <v>مستودع جملة سلطان</v>
          </cell>
          <cell r="O93" t="str">
            <v>563861090</v>
          </cell>
        </row>
        <row r="94">
          <cell r="B94">
            <v>1086</v>
          </cell>
          <cell r="C94" t="str">
            <v>شيخ اسك</v>
          </cell>
          <cell r="D94">
            <v>2489500682</v>
          </cell>
          <cell r="E94" t="str">
            <v>نيبال</v>
          </cell>
          <cell r="F94" t="str">
            <v>ذكر</v>
          </cell>
          <cell r="G94">
            <v>43879</v>
          </cell>
          <cell r="H94">
            <v>43879</v>
          </cell>
          <cell r="I94" t="str">
            <v>دوام كامل</v>
          </cell>
          <cell r="J94" t="str">
            <v>عامل</v>
          </cell>
          <cell r="K94" t="str">
            <v>الرياض</v>
          </cell>
          <cell r="L94" t="str">
            <v>أونلاين</v>
          </cell>
          <cell r="O94" t="str">
            <v>565096204</v>
          </cell>
        </row>
        <row r="95">
          <cell r="B95">
            <v>1087</v>
          </cell>
          <cell r="C95" t="str">
            <v>ضيا انصاري</v>
          </cell>
          <cell r="D95">
            <v>2489490876</v>
          </cell>
          <cell r="E95" t="str">
            <v>نيبال</v>
          </cell>
          <cell r="F95" t="str">
            <v>ذكر</v>
          </cell>
          <cell r="G95">
            <v>43879</v>
          </cell>
          <cell r="H95">
            <v>44823</v>
          </cell>
          <cell r="I95" t="str">
            <v>دوام كامل</v>
          </cell>
          <cell r="J95" t="str">
            <v>عامل</v>
          </cell>
          <cell r="K95" t="str">
            <v>الرياض</v>
          </cell>
          <cell r="L95" t="str">
            <v>مستودع جملة سلطان</v>
          </cell>
          <cell r="O95" t="str">
            <v>546243492</v>
          </cell>
        </row>
        <row r="96">
          <cell r="B96">
            <v>1088</v>
          </cell>
          <cell r="C96" t="str">
            <v>عطا بول انصاري</v>
          </cell>
          <cell r="D96">
            <v>2489500617</v>
          </cell>
          <cell r="E96" t="str">
            <v>نيبال</v>
          </cell>
          <cell r="F96" t="str">
            <v>ذكر</v>
          </cell>
          <cell r="G96">
            <v>43879</v>
          </cell>
          <cell r="H96">
            <v>43879</v>
          </cell>
          <cell r="I96" t="str">
            <v>دوام كامل</v>
          </cell>
          <cell r="J96" t="str">
            <v>عامل</v>
          </cell>
          <cell r="K96" t="str">
            <v>الخرج</v>
          </cell>
          <cell r="L96" t="str">
            <v>غرناطة</v>
          </cell>
          <cell r="O96" t="str">
            <v>571279543</v>
          </cell>
        </row>
        <row r="97">
          <cell r="B97">
            <v>1089</v>
          </cell>
          <cell r="C97" t="str">
            <v>كنانين سيس</v>
          </cell>
          <cell r="D97">
            <v>2489500120</v>
          </cell>
          <cell r="E97" t="str">
            <v>نيبال</v>
          </cell>
          <cell r="F97" t="str">
            <v>ذكر</v>
          </cell>
          <cell r="G97">
            <v>43879</v>
          </cell>
          <cell r="H97">
            <v>43879</v>
          </cell>
          <cell r="I97" t="str">
            <v>دوام كامل</v>
          </cell>
          <cell r="J97" t="str">
            <v>عامل</v>
          </cell>
          <cell r="K97" t="str">
            <v>الخرج</v>
          </cell>
          <cell r="L97" t="str">
            <v>المصنع</v>
          </cell>
          <cell r="O97" t="str">
            <v>0571167275</v>
          </cell>
        </row>
        <row r="98">
          <cell r="B98">
            <v>1090</v>
          </cell>
          <cell r="C98" t="str">
            <v>شاة بران</v>
          </cell>
          <cell r="D98">
            <v>2485181958</v>
          </cell>
          <cell r="E98" t="str">
            <v>بنجلاديش</v>
          </cell>
          <cell r="F98" t="str">
            <v>ذكر</v>
          </cell>
          <cell r="G98">
            <v>43885</v>
          </cell>
          <cell r="H98">
            <v>43885</v>
          </cell>
          <cell r="I98" t="str">
            <v>دوام كامل</v>
          </cell>
          <cell r="J98" t="str">
            <v>عامل</v>
          </cell>
          <cell r="K98" t="str">
            <v>الرياض</v>
          </cell>
          <cell r="L98" t="str">
            <v>لبن</v>
          </cell>
          <cell r="O98" t="str">
            <v>580953940</v>
          </cell>
        </row>
        <row r="99">
          <cell r="B99">
            <v>1091</v>
          </cell>
          <cell r="C99" t="str">
            <v>محمد مأمون حسين</v>
          </cell>
          <cell r="D99">
            <v>2479860054</v>
          </cell>
          <cell r="E99" t="str">
            <v>بنجلاديش</v>
          </cell>
          <cell r="F99" t="str">
            <v>ذكر</v>
          </cell>
          <cell r="G99">
            <v>43800</v>
          </cell>
          <cell r="H99">
            <v>44921</v>
          </cell>
          <cell r="I99" t="str">
            <v>دوام كامل</v>
          </cell>
          <cell r="J99" t="str">
            <v>عامل</v>
          </cell>
          <cell r="K99" t="str">
            <v>الرياض</v>
          </cell>
          <cell r="L99" t="str">
            <v>الشفا</v>
          </cell>
          <cell r="O99" t="str">
            <v>571567902</v>
          </cell>
        </row>
        <row r="100">
          <cell r="B100">
            <v>1092</v>
          </cell>
          <cell r="C100" t="str">
            <v>اسف علم كندي عبد الستار</v>
          </cell>
          <cell r="D100">
            <v>2489500823</v>
          </cell>
          <cell r="E100" t="str">
            <v>الهند</v>
          </cell>
          <cell r="F100" t="str">
            <v>ذكر</v>
          </cell>
          <cell r="G100">
            <v>43891</v>
          </cell>
          <cell r="H100">
            <v>44527</v>
          </cell>
          <cell r="I100" t="str">
            <v>دوام كامل</v>
          </cell>
          <cell r="J100" t="str">
            <v>فني صيانة عام</v>
          </cell>
          <cell r="K100" t="str">
            <v>الرياض</v>
          </cell>
          <cell r="L100" t="str">
            <v>الإدارة</v>
          </cell>
          <cell r="O100" t="str">
            <v>568927450</v>
          </cell>
        </row>
        <row r="101">
          <cell r="B101">
            <v>1093</v>
          </cell>
          <cell r="C101" t="str">
            <v>وسيم بري خان</v>
          </cell>
          <cell r="D101">
            <v>2489500757</v>
          </cell>
          <cell r="E101" t="str">
            <v>الهند</v>
          </cell>
          <cell r="F101" t="str">
            <v>ذكر</v>
          </cell>
          <cell r="G101">
            <v>43835</v>
          </cell>
          <cell r="H101">
            <v>44913</v>
          </cell>
          <cell r="I101" t="str">
            <v>دوام كامل</v>
          </cell>
          <cell r="J101" t="str">
            <v>عامل</v>
          </cell>
          <cell r="K101" t="str">
            <v>الرياض</v>
          </cell>
          <cell r="L101" t="str">
            <v>المصنع</v>
          </cell>
          <cell r="O101" t="str">
            <v>571289468</v>
          </cell>
        </row>
        <row r="102">
          <cell r="B102">
            <v>1094</v>
          </cell>
          <cell r="C102" t="str">
            <v>بلال حوسان سيفال</v>
          </cell>
          <cell r="D102">
            <v>2484400953</v>
          </cell>
          <cell r="E102" t="str">
            <v>بنجلاديش</v>
          </cell>
          <cell r="F102" t="str">
            <v>ذكر</v>
          </cell>
          <cell r="G102">
            <v>43954</v>
          </cell>
          <cell r="H102">
            <v>43954</v>
          </cell>
          <cell r="I102" t="str">
            <v>دوام كامل</v>
          </cell>
          <cell r="J102" t="str">
            <v>عامل</v>
          </cell>
          <cell r="K102" t="str">
            <v>الأحساء</v>
          </cell>
          <cell r="L102" t="str">
            <v>الأندلس</v>
          </cell>
          <cell r="O102" t="str">
            <v>542938750</v>
          </cell>
        </row>
        <row r="103">
          <cell r="B103">
            <v>1095</v>
          </cell>
          <cell r="C103" t="str">
            <v>سري بيدان ساركار</v>
          </cell>
          <cell r="D103">
            <v>2484401118</v>
          </cell>
          <cell r="E103" t="str">
            <v>بنجلاديش</v>
          </cell>
          <cell r="F103" t="str">
            <v>ذكر</v>
          </cell>
          <cell r="G103">
            <v>43954</v>
          </cell>
          <cell r="H103">
            <v>43954</v>
          </cell>
          <cell r="I103" t="str">
            <v>دوام كامل</v>
          </cell>
          <cell r="J103" t="str">
            <v>عامل</v>
          </cell>
          <cell r="K103" t="str">
            <v>الرياض</v>
          </cell>
          <cell r="L103" t="str">
            <v>الشفا</v>
          </cell>
          <cell r="O103" t="str">
            <v>563443156</v>
          </cell>
        </row>
        <row r="104">
          <cell r="B104">
            <v>1096</v>
          </cell>
          <cell r="C104" t="str">
            <v>محمد أنس علي</v>
          </cell>
          <cell r="D104">
            <v>2484400714</v>
          </cell>
          <cell r="E104" t="str">
            <v>بنجلاديش</v>
          </cell>
          <cell r="F104" t="str">
            <v>ذكر</v>
          </cell>
          <cell r="G104">
            <v>43954</v>
          </cell>
          <cell r="H104">
            <v>43954</v>
          </cell>
          <cell r="I104" t="str">
            <v>دوام كامل</v>
          </cell>
          <cell r="J104" t="str">
            <v>عامل</v>
          </cell>
          <cell r="K104" t="str">
            <v>الأحساء</v>
          </cell>
          <cell r="L104" t="str">
            <v>الأندلس</v>
          </cell>
          <cell r="O104" t="str">
            <v>543212928</v>
          </cell>
        </row>
        <row r="105">
          <cell r="B105">
            <v>1097</v>
          </cell>
          <cell r="C105" t="str">
            <v>مد شبوزا</v>
          </cell>
          <cell r="D105">
            <v>2484400839</v>
          </cell>
          <cell r="E105" t="str">
            <v>بنجلاديش</v>
          </cell>
          <cell r="F105" t="str">
            <v>ذكر</v>
          </cell>
          <cell r="G105">
            <v>43954</v>
          </cell>
          <cell r="H105">
            <v>43954</v>
          </cell>
          <cell r="I105" t="str">
            <v>دوام كامل</v>
          </cell>
          <cell r="J105" t="str">
            <v>عامل</v>
          </cell>
          <cell r="K105" t="str">
            <v>الرياض</v>
          </cell>
          <cell r="L105" t="str">
            <v>لبن</v>
          </cell>
          <cell r="O105" t="str">
            <v>580233507</v>
          </cell>
        </row>
        <row r="106">
          <cell r="B106">
            <v>1098</v>
          </cell>
          <cell r="C106" t="str">
            <v>محمد فاروق حسين</v>
          </cell>
          <cell r="D106">
            <v>2479860518</v>
          </cell>
          <cell r="E106" t="str">
            <v>بنجلاديش</v>
          </cell>
          <cell r="F106" t="str">
            <v>ذكر</v>
          </cell>
          <cell r="G106">
            <v>43964</v>
          </cell>
          <cell r="H106">
            <v>44921</v>
          </cell>
          <cell r="I106" t="str">
            <v>دوام كامل</v>
          </cell>
          <cell r="J106" t="str">
            <v>عامل</v>
          </cell>
          <cell r="K106" t="str">
            <v>الرياض</v>
          </cell>
          <cell r="L106" t="str">
            <v>لبن</v>
          </cell>
          <cell r="O106" t="str">
            <v>571231266</v>
          </cell>
        </row>
        <row r="107">
          <cell r="B107">
            <v>1099</v>
          </cell>
          <cell r="C107" t="str">
            <v>عبدالله الطحامي</v>
          </cell>
          <cell r="D107">
            <v>1011232413</v>
          </cell>
          <cell r="E107" t="str">
            <v>سعودي</v>
          </cell>
          <cell r="F107" t="str">
            <v>ذكر</v>
          </cell>
          <cell r="G107">
            <v>44013</v>
          </cell>
          <cell r="H107">
            <v>44013</v>
          </cell>
          <cell r="I107" t="str">
            <v>دوام جزئي</v>
          </cell>
          <cell r="J107" t="str">
            <v>مدير التطوير</v>
          </cell>
          <cell r="K107" t="str">
            <v>الرياض</v>
          </cell>
          <cell r="L107" t="str">
            <v>وكالة ممكن</v>
          </cell>
          <cell r="O107" t="str">
            <v>552470177</v>
          </cell>
        </row>
        <row r="108">
          <cell r="B108">
            <v>1100</v>
          </cell>
          <cell r="C108" t="str">
            <v>نوره حمد فنيس الكبرى</v>
          </cell>
          <cell r="D108">
            <v>1120164403</v>
          </cell>
          <cell r="E108" t="str">
            <v>سعودي</v>
          </cell>
          <cell r="F108" t="str">
            <v>أنثي</v>
          </cell>
          <cell r="G108">
            <v>44075</v>
          </cell>
          <cell r="H108">
            <v>44712</v>
          </cell>
          <cell r="I108" t="str">
            <v>دوام كامل</v>
          </cell>
          <cell r="J108" t="str">
            <v>كاشير</v>
          </cell>
          <cell r="K108" t="str">
            <v>الخرج</v>
          </cell>
          <cell r="L108" t="str">
            <v>غرناطة</v>
          </cell>
          <cell r="M108" t="str">
            <v>إستقالة</v>
          </cell>
          <cell r="N108">
            <v>45002</v>
          </cell>
          <cell r="O108" t="e">
            <v>#N/A</v>
          </cell>
        </row>
        <row r="109">
          <cell r="B109">
            <v>1101</v>
          </cell>
          <cell r="C109" t="str">
            <v>فاطمة إبراهيم سعود العبودي</v>
          </cell>
          <cell r="D109">
            <v>1077000451</v>
          </cell>
          <cell r="E109" t="str">
            <v>سعودي</v>
          </cell>
          <cell r="F109" t="str">
            <v>أنثي</v>
          </cell>
          <cell r="G109">
            <v>44075</v>
          </cell>
          <cell r="H109">
            <v>44075</v>
          </cell>
          <cell r="I109" t="str">
            <v>عن بعد</v>
          </cell>
          <cell r="J109" t="str">
            <v>مدير علاقات عامة</v>
          </cell>
          <cell r="K109" t="str">
            <v>الرياض</v>
          </cell>
          <cell r="L109" t="str">
            <v>الإدارة</v>
          </cell>
          <cell r="O109" t="str">
            <v>533699224</v>
          </cell>
        </row>
        <row r="110">
          <cell r="B110">
            <v>1102</v>
          </cell>
          <cell r="C110" t="str">
            <v>مجيد مياه عبدال حنان</v>
          </cell>
          <cell r="D110">
            <v>2480177498</v>
          </cell>
          <cell r="E110" t="str">
            <v>بنجلاديش</v>
          </cell>
          <cell r="F110" t="str">
            <v>ذكر</v>
          </cell>
          <cell r="G110">
            <v>43800</v>
          </cell>
          <cell r="H110">
            <v>44569</v>
          </cell>
          <cell r="I110" t="str">
            <v>دوام كامل</v>
          </cell>
          <cell r="J110" t="str">
            <v>عامل</v>
          </cell>
          <cell r="K110" t="str">
            <v>الرياض</v>
          </cell>
          <cell r="L110" t="str">
            <v>الشفا</v>
          </cell>
          <cell r="M110" t="str">
            <v>إستقالة</v>
          </cell>
          <cell r="N110" t="str">
            <v>11/11/2022</v>
          </cell>
          <cell r="O110" t="e">
            <v>#N/A</v>
          </cell>
        </row>
        <row r="111">
          <cell r="B111">
            <v>1103</v>
          </cell>
          <cell r="C111" t="str">
            <v>شهد سلطان عبدالرحمن الرزيحي</v>
          </cell>
          <cell r="D111">
            <v>1117511145</v>
          </cell>
          <cell r="E111" t="str">
            <v>سعودي</v>
          </cell>
          <cell r="F111" t="str">
            <v>أنثي</v>
          </cell>
          <cell r="G111">
            <v>44136</v>
          </cell>
          <cell r="H111">
            <v>44136</v>
          </cell>
          <cell r="I111" t="str">
            <v>عن بعد</v>
          </cell>
          <cell r="J111" t="str">
            <v>موظف إداري</v>
          </cell>
          <cell r="K111" t="str">
            <v>الرياض</v>
          </cell>
          <cell r="L111" t="str">
            <v>الإدارة</v>
          </cell>
          <cell r="O111" t="str">
            <v>503457812</v>
          </cell>
        </row>
        <row r="112">
          <cell r="B112">
            <v>1104</v>
          </cell>
          <cell r="C112" t="str">
            <v>الهنوف خالد محمد الباحوث</v>
          </cell>
          <cell r="D112">
            <v>1103050892</v>
          </cell>
          <cell r="E112" t="str">
            <v>سعودي</v>
          </cell>
          <cell r="F112" t="str">
            <v>أنثي</v>
          </cell>
          <cell r="G112">
            <v>44146</v>
          </cell>
          <cell r="H112">
            <v>44781</v>
          </cell>
          <cell r="I112" t="str">
            <v>دوام كامل</v>
          </cell>
          <cell r="J112" t="str">
            <v>مدير فرع</v>
          </cell>
          <cell r="K112" t="str">
            <v>الخرج</v>
          </cell>
          <cell r="L112" t="str">
            <v>غرناطة</v>
          </cell>
          <cell r="O112" t="str">
            <v>558298288</v>
          </cell>
        </row>
        <row r="113">
          <cell r="B113">
            <v>1105</v>
          </cell>
          <cell r="C113" t="str">
            <v>حافظ محمد يحي حكمي</v>
          </cell>
          <cell r="D113">
            <v>1085804589</v>
          </cell>
          <cell r="E113" t="str">
            <v>سعودي</v>
          </cell>
          <cell r="F113" t="str">
            <v>ذكر</v>
          </cell>
          <cell r="G113">
            <v>44187</v>
          </cell>
          <cell r="H113">
            <v>44738</v>
          </cell>
          <cell r="I113" t="str">
            <v>دوام جزئي</v>
          </cell>
          <cell r="J113" t="str">
            <v>إداري</v>
          </cell>
          <cell r="K113" t="str">
            <v>الرياض</v>
          </cell>
          <cell r="L113" t="str">
            <v>وكالة ممكن</v>
          </cell>
          <cell r="O113" t="str">
            <v>533899220</v>
          </cell>
        </row>
        <row r="114">
          <cell r="B114">
            <v>1106</v>
          </cell>
          <cell r="C114" t="str">
            <v>محمد عبدالمنعم السيد عرفه</v>
          </cell>
          <cell r="D114">
            <v>2105722603</v>
          </cell>
          <cell r="E114" t="str">
            <v>مصر</v>
          </cell>
          <cell r="F114" t="str">
            <v>ذكر</v>
          </cell>
          <cell r="G114">
            <v>44197</v>
          </cell>
          <cell r="H114">
            <v>44197</v>
          </cell>
          <cell r="I114" t="str">
            <v>دوام كامل</v>
          </cell>
          <cell r="J114" t="str">
            <v>مندوب مبيعات</v>
          </cell>
          <cell r="K114" t="str">
            <v>الرياض</v>
          </cell>
          <cell r="L114" t="str">
            <v>المالك</v>
          </cell>
          <cell r="O114" t="str">
            <v>509194006</v>
          </cell>
        </row>
        <row r="115">
          <cell r="B115">
            <v>1107</v>
          </cell>
          <cell r="C115" t="str">
            <v>عمار مختار الحناني</v>
          </cell>
          <cell r="D115">
            <v>2314409695</v>
          </cell>
          <cell r="E115" t="str">
            <v>اليمن</v>
          </cell>
          <cell r="F115" t="str">
            <v>ذكر</v>
          </cell>
          <cell r="G115">
            <v>44197</v>
          </cell>
          <cell r="H115">
            <v>44158</v>
          </cell>
          <cell r="I115" t="str">
            <v>دوام جزئي</v>
          </cell>
          <cell r="J115" t="str">
            <v>أخصائي موارد بشرية</v>
          </cell>
          <cell r="K115" t="str">
            <v>الرياض</v>
          </cell>
          <cell r="L115" t="str">
            <v>وكالة ممكن</v>
          </cell>
          <cell r="M115" t="str">
            <v>إستقالة</v>
          </cell>
          <cell r="N115" t="str">
            <v>31/10/2022</v>
          </cell>
          <cell r="O115" t="e">
            <v>#N/A</v>
          </cell>
        </row>
        <row r="116">
          <cell r="B116">
            <v>1108</v>
          </cell>
          <cell r="C116" t="str">
            <v>عمر محمود محمد احمد</v>
          </cell>
          <cell r="D116">
            <v>2491844243</v>
          </cell>
          <cell r="E116" t="str">
            <v>مصر</v>
          </cell>
          <cell r="F116" t="str">
            <v>ذكر</v>
          </cell>
          <cell r="G116">
            <v>44198</v>
          </cell>
          <cell r="H116">
            <v>44198</v>
          </cell>
          <cell r="I116" t="str">
            <v>دوام كامل</v>
          </cell>
          <cell r="J116" t="str">
            <v>محاسب</v>
          </cell>
          <cell r="K116" t="str">
            <v>الرياض</v>
          </cell>
          <cell r="L116" t="str">
            <v>الإدارة</v>
          </cell>
          <cell r="O116" t="str">
            <v>507776126</v>
          </cell>
        </row>
        <row r="117">
          <cell r="B117">
            <v>1109</v>
          </cell>
          <cell r="C117" t="str">
            <v>احمد سمير محمود الجندى</v>
          </cell>
          <cell r="D117">
            <v>2495386662</v>
          </cell>
          <cell r="E117" t="str">
            <v>مصر</v>
          </cell>
          <cell r="F117" t="str">
            <v>ذكر</v>
          </cell>
          <cell r="G117">
            <v>44206</v>
          </cell>
          <cell r="H117">
            <v>44206</v>
          </cell>
          <cell r="I117" t="str">
            <v>دوام كامل</v>
          </cell>
          <cell r="J117" t="str">
            <v>مدخل بيانات</v>
          </cell>
          <cell r="K117" t="str">
            <v>الرياض</v>
          </cell>
          <cell r="L117" t="str">
            <v>جملة ريال البركة</v>
          </cell>
          <cell r="O117" t="str">
            <v>547388915</v>
          </cell>
        </row>
        <row r="118">
          <cell r="B118">
            <v>1110</v>
          </cell>
          <cell r="C118" t="str">
            <v>خالد محمود لالديم</v>
          </cell>
          <cell r="D118">
            <v>2119480024</v>
          </cell>
          <cell r="E118" t="str">
            <v>باكستان</v>
          </cell>
          <cell r="F118" t="str">
            <v>ذكر</v>
          </cell>
          <cell r="G118">
            <v>44228</v>
          </cell>
          <cell r="H118">
            <v>44669</v>
          </cell>
          <cell r="I118" t="str">
            <v>دوام كامل</v>
          </cell>
          <cell r="J118" t="str">
            <v>كهربائي</v>
          </cell>
          <cell r="K118" t="str">
            <v>الرياض</v>
          </cell>
          <cell r="L118" t="str">
            <v>الإدارة</v>
          </cell>
          <cell r="O118" t="str">
            <v>551476846</v>
          </cell>
        </row>
        <row r="119">
          <cell r="B119">
            <v>1111</v>
          </cell>
          <cell r="C119" t="str">
            <v>أبو طاهر أبو الحسم</v>
          </cell>
          <cell r="D119">
            <v>2477823666</v>
          </cell>
          <cell r="E119" t="str">
            <v>بنجلاديش</v>
          </cell>
          <cell r="F119" t="str">
            <v>ذكر</v>
          </cell>
          <cell r="G119">
            <v>44237</v>
          </cell>
          <cell r="H119">
            <v>44237</v>
          </cell>
          <cell r="I119" t="str">
            <v>دوام كامل</v>
          </cell>
          <cell r="J119" t="str">
            <v>عامل</v>
          </cell>
          <cell r="K119" t="str">
            <v>الأحساء</v>
          </cell>
          <cell r="L119" t="str">
            <v>الأندلس</v>
          </cell>
          <cell r="O119" t="str">
            <v>578524819</v>
          </cell>
        </row>
        <row r="120">
          <cell r="B120">
            <v>1112</v>
          </cell>
          <cell r="C120" t="str">
            <v>طه اسامه طه يسين</v>
          </cell>
          <cell r="D120">
            <v>2493819805</v>
          </cell>
          <cell r="E120" t="str">
            <v>مصر</v>
          </cell>
          <cell r="F120" t="str">
            <v>ذكر</v>
          </cell>
          <cell r="G120">
            <v>44245</v>
          </cell>
          <cell r="H120">
            <v>44245</v>
          </cell>
          <cell r="I120" t="str">
            <v>دوام كامل</v>
          </cell>
          <cell r="J120" t="str">
            <v>محاسب</v>
          </cell>
          <cell r="K120" t="str">
            <v>الرياض</v>
          </cell>
          <cell r="L120" t="str">
            <v>الإدارة</v>
          </cell>
          <cell r="O120" t="str">
            <v>509994264</v>
          </cell>
        </row>
        <row r="121">
          <cell r="B121">
            <v>1113</v>
          </cell>
          <cell r="C121" t="str">
            <v>عمار عبدالغني صادق حمود الجعمي</v>
          </cell>
          <cell r="D121">
            <v>2498428230</v>
          </cell>
          <cell r="E121" t="str">
            <v>اليمن</v>
          </cell>
          <cell r="F121" t="str">
            <v>ذكر</v>
          </cell>
          <cell r="G121">
            <v>44274</v>
          </cell>
          <cell r="H121">
            <v>44274</v>
          </cell>
          <cell r="I121" t="str">
            <v>دوام كامل</v>
          </cell>
          <cell r="J121" t="str">
            <v>مدخل بيانات</v>
          </cell>
          <cell r="K121" t="str">
            <v>الرياض</v>
          </cell>
          <cell r="L121" t="str">
            <v>أونلاين</v>
          </cell>
          <cell r="O121" t="str">
            <v>506448971</v>
          </cell>
        </row>
        <row r="122">
          <cell r="B122">
            <v>1114</v>
          </cell>
          <cell r="C122" t="str">
            <v>فواز سليمان صالح المريشد</v>
          </cell>
          <cell r="D122">
            <v>1074549708</v>
          </cell>
          <cell r="E122" t="str">
            <v>سعودي</v>
          </cell>
          <cell r="F122" t="str">
            <v>ذكر</v>
          </cell>
          <cell r="G122">
            <v>44320</v>
          </cell>
          <cell r="H122">
            <v>44320</v>
          </cell>
          <cell r="I122" t="str">
            <v>دوام كامل</v>
          </cell>
          <cell r="J122" t="str">
            <v>مدير الموارد البشرية</v>
          </cell>
          <cell r="K122" t="str">
            <v>الرياض</v>
          </cell>
          <cell r="L122" t="str">
            <v>وكالة ممكن</v>
          </cell>
          <cell r="O122" t="str">
            <v>0530358600</v>
          </cell>
        </row>
        <row r="123">
          <cell r="B123">
            <v>1115</v>
          </cell>
          <cell r="C123" t="str">
            <v>شير محمد قلشي</v>
          </cell>
          <cell r="D123">
            <v>2270266154</v>
          </cell>
          <cell r="E123" t="str">
            <v>باكستان</v>
          </cell>
          <cell r="F123" t="str">
            <v>ذكر</v>
          </cell>
          <cell r="G123">
            <v>44320</v>
          </cell>
          <cell r="H123">
            <v>44320</v>
          </cell>
          <cell r="I123" t="str">
            <v>دوام كامل</v>
          </cell>
          <cell r="J123" t="str">
            <v>عامل بناء</v>
          </cell>
          <cell r="K123" t="str">
            <v>الرياض</v>
          </cell>
          <cell r="L123" t="str">
            <v>المالك</v>
          </cell>
          <cell r="O123" t="str">
            <v>558598812</v>
          </cell>
        </row>
        <row r="124">
          <cell r="B124">
            <v>1116</v>
          </cell>
          <cell r="C124" t="str">
            <v>عبد الله محمد عبده حكمي</v>
          </cell>
          <cell r="D124">
            <v>1090491950</v>
          </cell>
          <cell r="E124" t="str">
            <v>سعودي</v>
          </cell>
          <cell r="F124" t="str">
            <v>ذكر</v>
          </cell>
          <cell r="G124">
            <v>44357</v>
          </cell>
          <cell r="H124">
            <v>44756</v>
          </cell>
          <cell r="I124" t="str">
            <v>دوام كامل</v>
          </cell>
          <cell r="J124" t="str">
            <v>كاشير</v>
          </cell>
          <cell r="K124" t="str">
            <v>الرياض</v>
          </cell>
          <cell r="L124" t="str">
            <v>المصيف</v>
          </cell>
          <cell r="M124" t="str">
            <v>إستقالة</v>
          </cell>
          <cell r="O124" t="e">
            <v>#N/A</v>
          </cell>
        </row>
        <row r="125">
          <cell r="B125">
            <v>1117</v>
          </cell>
          <cell r="C125" t="str">
            <v>منيرة شافي هضيبان النتيفات</v>
          </cell>
          <cell r="D125">
            <v>1111203160</v>
          </cell>
          <cell r="E125" t="str">
            <v>سعودي</v>
          </cell>
          <cell r="F125" t="str">
            <v>أنثي</v>
          </cell>
          <cell r="G125">
            <v>44409</v>
          </cell>
          <cell r="H125">
            <v>44758</v>
          </cell>
          <cell r="I125" t="str">
            <v>دوام كامل</v>
          </cell>
          <cell r="J125" t="str">
            <v>كاشير</v>
          </cell>
          <cell r="K125" t="str">
            <v>الخرج</v>
          </cell>
          <cell r="L125" t="str">
            <v>غرناطة</v>
          </cell>
          <cell r="O125" t="str">
            <v>503889721</v>
          </cell>
        </row>
        <row r="126">
          <cell r="B126">
            <v>1118</v>
          </cell>
          <cell r="C126" t="str">
            <v>إبراهيم عبد الله العلوي</v>
          </cell>
          <cell r="D126">
            <v>1096726334</v>
          </cell>
          <cell r="E126" t="str">
            <v>سعودي</v>
          </cell>
          <cell r="F126" t="str">
            <v>ذكر</v>
          </cell>
          <cell r="G126">
            <v>44410</v>
          </cell>
          <cell r="H126">
            <v>44772</v>
          </cell>
          <cell r="I126" t="str">
            <v>دوام كامل</v>
          </cell>
          <cell r="K126" t="str">
            <v>الرياض</v>
          </cell>
          <cell r="L126" t="str">
            <v>النسيم</v>
          </cell>
          <cell r="M126" t="str">
            <v>انهاء التعاقد</v>
          </cell>
          <cell r="O126" t="e">
            <v>#N/A</v>
          </cell>
        </row>
        <row r="127">
          <cell r="B127">
            <v>1119</v>
          </cell>
          <cell r="C127" t="str">
            <v>شذى فرحان معاشي العنزي</v>
          </cell>
          <cell r="D127">
            <v>1112757867</v>
          </cell>
          <cell r="E127" t="str">
            <v>سعودي</v>
          </cell>
          <cell r="F127" t="str">
            <v>أنثي</v>
          </cell>
          <cell r="G127">
            <v>44411</v>
          </cell>
          <cell r="H127">
            <v>44774</v>
          </cell>
          <cell r="I127" t="str">
            <v>دوام كامل</v>
          </cell>
          <cell r="J127" t="str">
            <v>كاشير</v>
          </cell>
          <cell r="K127" t="str">
            <v>الرياض</v>
          </cell>
          <cell r="L127" t="str">
            <v>الدائري الغربي</v>
          </cell>
          <cell r="M127" t="str">
            <v>إستقالة</v>
          </cell>
          <cell r="N127">
            <v>44964</v>
          </cell>
          <cell r="O127" t="e">
            <v>#N/A</v>
          </cell>
        </row>
        <row r="128">
          <cell r="B128">
            <v>1120</v>
          </cell>
          <cell r="C128" t="str">
            <v>أشواق سويد يحي قاصر</v>
          </cell>
          <cell r="D128">
            <v>1087203905</v>
          </cell>
          <cell r="E128" t="str">
            <v>سعودي</v>
          </cell>
          <cell r="F128" t="str">
            <v>أنثي</v>
          </cell>
          <cell r="G128">
            <v>44417</v>
          </cell>
          <cell r="H128">
            <v>44447</v>
          </cell>
          <cell r="I128" t="str">
            <v>دوام كامل</v>
          </cell>
          <cell r="J128" t="str">
            <v>كاشير</v>
          </cell>
          <cell r="K128" t="str">
            <v>الرياض</v>
          </cell>
          <cell r="L128" t="str">
            <v>لبن</v>
          </cell>
          <cell r="O128" t="str">
            <v>0554585099</v>
          </cell>
        </row>
        <row r="129">
          <cell r="B129">
            <v>1121</v>
          </cell>
          <cell r="C129" t="str">
            <v>عبدالله سعد عبدالرحمن الرزيحي</v>
          </cell>
          <cell r="D129">
            <v>1100165263</v>
          </cell>
          <cell r="E129" t="str">
            <v>سعودي</v>
          </cell>
          <cell r="F129" t="str">
            <v>ذكر</v>
          </cell>
          <cell r="G129">
            <v>44417</v>
          </cell>
          <cell r="H129">
            <v>44417</v>
          </cell>
          <cell r="I129" t="str">
            <v>عن بعد</v>
          </cell>
          <cell r="J129" t="str">
            <v>مصور فوتغرافي</v>
          </cell>
          <cell r="K129" t="str">
            <v>الرياض</v>
          </cell>
          <cell r="L129" t="str">
            <v>الإدارة</v>
          </cell>
          <cell r="O129" t="str">
            <v/>
          </cell>
        </row>
        <row r="130">
          <cell r="B130">
            <v>1122</v>
          </cell>
          <cell r="C130" t="str">
            <v>حصه خالد يوسف الزيد</v>
          </cell>
          <cell r="D130">
            <v>1082299536</v>
          </cell>
          <cell r="E130" t="str">
            <v>سعودي</v>
          </cell>
          <cell r="F130" t="str">
            <v>أنثي</v>
          </cell>
          <cell r="G130">
            <v>44417</v>
          </cell>
          <cell r="H130">
            <v>44417</v>
          </cell>
          <cell r="I130" t="str">
            <v>عن بعد</v>
          </cell>
          <cell r="J130" t="str">
            <v>مندوب مبيعات</v>
          </cell>
          <cell r="K130" t="str">
            <v>الرياض</v>
          </cell>
          <cell r="L130" t="str">
            <v>الإدارة</v>
          </cell>
          <cell r="O130" t="str">
            <v/>
          </cell>
        </row>
        <row r="131">
          <cell r="B131">
            <v>1123</v>
          </cell>
          <cell r="C131" t="str">
            <v>بنين عبدالله موسي آل درويش</v>
          </cell>
          <cell r="D131">
            <v>1113859985</v>
          </cell>
          <cell r="E131" t="str">
            <v>سعودي</v>
          </cell>
          <cell r="F131" t="str">
            <v>أنثي</v>
          </cell>
          <cell r="G131">
            <v>44427</v>
          </cell>
          <cell r="H131">
            <v>44762</v>
          </cell>
          <cell r="I131" t="str">
            <v>دوام كامل</v>
          </cell>
          <cell r="J131" t="str">
            <v>كاشير</v>
          </cell>
          <cell r="K131" t="str">
            <v>الدمام</v>
          </cell>
          <cell r="L131" t="str">
            <v>العنود</v>
          </cell>
          <cell r="M131" t="str">
            <v>إستقالة</v>
          </cell>
          <cell r="N131">
            <v>44903</v>
          </cell>
          <cell r="O131" t="e">
            <v>#N/A</v>
          </cell>
        </row>
        <row r="132">
          <cell r="B132">
            <v>1124</v>
          </cell>
          <cell r="C132" t="str">
            <v>محمد عيضة عوض المالكي</v>
          </cell>
          <cell r="D132">
            <v>1117588747</v>
          </cell>
          <cell r="E132" t="str">
            <v>سعودي</v>
          </cell>
          <cell r="F132" t="str">
            <v>ذكر</v>
          </cell>
          <cell r="G132">
            <v>44440</v>
          </cell>
          <cell r="H132">
            <v>44767</v>
          </cell>
          <cell r="I132" t="str">
            <v>دوام كامل</v>
          </cell>
          <cell r="J132" t="str">
            <v>كاشير</v>
          </cell>
          <cell r="K132" t="str">
            <v>الرياض</v>
          </cell>
          <cell r="L132" t="str">
            <v>اليرموك</v>
          </cell>
          <cell r="O132" t="str">
            <v>0509491204</v>
          </cell>
        </row>
        <row r="133">
          <cell r="B133">
            <v>1125</v>
          </cell>
          <cell r="C133" t="str">
            <v>محمد عبدالسلام محمد سيف العامري</v>
          </cell>
          <cell r="D133">
            <v>2500370032</v>
          </cell>
          <cell r="E133" t="str">
            <v>اليمن</v>
          </cell>
          <cell r="F133" t="str">
            <v>ذكر</v>
          </cell>
          <cell r="G133">
            <v>44440</v>
          </cell>
          <cell r="H133">
            <v>44440</v>
          </cell>
          <cell r="I133" t="str">
            <v>دوام كامل</v>
          </cell>
          <cell r="J133" t="str">
            <v>مدخل بيانات</v>
          </cell>
          <cell r="K133" t="str">
            <v>الرياض</v>
          </cell>
          <cell r="L133" t="str">
            <v>مستودع جملة سلطان</v>
          </cell>
          <cell r="O133" t="str">
            <v>0506336936</v>
          </cell>
        </row>
        <row r="134">
          <cell r="B134">
            <v>1126</v>
          </cell>
          <cell r="C134" t="str">
            <v>فيصل دخيل الله علي الغامدي</v>
          </cell>
          <cell r="D134">
            <v>1114326679</v>
          </cell>
          <cell r="E134" t="str">
            <v>سعودي</v>
          </cell>
          <cell r="F134" t="str">
            <v>ذكر</v>
          </cell>
          <cell r="G134">
            <v>44447</v>
          </cell>
          <cell r="H134">
            <v>44756</v>
          </cell>
          <cell r="I134" t="str">
            <v>دوام كامل</v>
          </cell>
          <cell r="J134" t="str">
            <v>كاشير</v>
          </cell>
          <cell r="K134" t="str">
            <v>الرياض</v>
          </cell>
          <cell r="L134" t="str">
            <v>اليرموك</v>
          </cell>
          <cell r="M134" t="str">
            <v>إستقالة</v>
          </cell>
          <cell r="N134">
            <v>44848</v>
          </cell>
          <cell r="O134" t="e">
            <v>#N/A</v>
          </cell>
        </row>
        <row r="135">
          <cell r="B135">
            <v>1127</v>
          </cell>
          <cell r="C135" t="str">
            <v>اسامه عبداللطيف عمر عبداللطيف</v>
          </cell>
          <cell r="D135">
            <v>2504344645</v>
          </cell>
          <cell r="E135" t="str">
            <v>مصر</v>
          </cell>
          <cell r="F135" t="str">
            <v>ذكر</v>
          </cell>
          <cell r="G135">
            <v>44504</v>
          </cell>
          <cell r="H135">
            <v>44504</v>
          </cell>
          <cell r="I135" t="str">
            <v>دوام كامل</v>
          </cell>
          <cell r="J135" t="str">
            <v>محاسب</v>
          </cell>
          <cell r="K135" t="str">
            <v>الرياض</v>
          </cell>
          <cell r="L135" t="str">
            <v>الإدارة</v>
          </cell>
          <cell r="O135" t="str">
            <v>0549025518</v>
          </cell>
        </row>
        <row r="136">
          <cell r="B136">
            <v>1128</v>
          </cell>
          <cell r="C136" t="str">
            <v>ريوف عبدالله محمد الدهيمي</v>
          </cell>
          <cell r="D136">
            <v>1113147506</v>
          </cell>
          <cell r="E136" t="str">
            <v>سعودي</v>
          </cell>
          <cell r="F136" t="str">
            <v>أنثي</v>
          </cell>
          <cell r="G136">
            <v>44562</v>
          </cell>
          <cell r="H136">
            <v>44757</v>
          </cell>
          <cell r="I136" t="str">
            <v>دوام كامل</v>
          </cell>
          <cell r="J136" t="str">
            <v>كاشير</v>
          </cell>
          <cell r="K136" t="str">
            <v>الرياض</v>
          </cell>
          <cell r="L136" t="str">
            <v>الشفا</v>
          </cell>
          <cell r="M136" t="str">
            <v>إستقالة</v>
          </cell>
          <cell r="N136" t="str">
            <v>04/08/2022</v>
          </cell>
          <cell r="O136" t="e">
            <v>#N/A</v>
          </cell>
        </row>
        <row r="137">
          <cell r="B137">
            <v>1129</v>
          </cell>
          <cell r="C137" t="str">
            <v>غدير مبارك رشود الدوسري</v>
          </cell>
          <cell r="D137">
            <v>1120747140</v>
          </cell>
          <cell r="E137" t="str">
            <v>سعودي</v>
          </cell>
          <cell r="F137" t="str">
            <v>أنثي</v>
          </cell>
          <cell r="G137">
            <v>44562</v>
          </cell>
          <cell r="H137">
            <v>44757</v>
          </cell>
          <cell r="I137" t="str">
            <v>دوام كامل</v>
          </cell>
          <cell r="J137" t="str">
            <v>كاشير</v>
          </cell>
          <cell r="K137" t="str">
            <v>الرياض</v>
          </cell>
          <cell r="L137" t="str">
            <v>الشفا</v>
          </cell>
          <cell r="M137" t="str">
            <v>إستقالة</v>
          </cell>
          <cell r="N137" t="str">
            <v>04/08/2022</v>
          </cell>
          <cell r="O137" t="e">
            <v>#N/A</v>
          </cell>
        </row>
        <row r="138">
          <cell r="B138">
            <v>1130</v>
          </cell>
          <cell r="C138" t="str">
            <v>منيرة سالم إبراهيم المفتاح</v>
          </cell>
          <cell r="D138">
            <v>1105185670</v>
          </cell>
          <cell r="E138" t="str">
            <v>سعودي</v>
          </cell>
          <cell r="F138" t="str">
            <v>أنثي</v>
          </cell>
          <cell r="G138">
            <v>44562</v>
          </cell>
          <cell r="H138">
            <v>44562</v>
          </cell>
          <cell r="I138" t="str">
            <v>دوام كامل</v>
          </cell>
          <cell r="J138" t="str">
            <v>كاشير</v>
          </cell>
          <cell r="K138" t="str">
            <v>الرياض</v>
          </cell>
          <cell r="L138" t="str">
            <v>الشفا</v>
          </cell>
          <cell r="M138" t="str">
            <v>إستقالة</v>
          </cell>
          <cell r="N138">
            <v>44951</v>
          </cell>
          <cell r="O138" t="e">
            <v>#N/A</v>
          </cell>
        </row>
        <row r="139">
          <cell r="B139">
            <v>1131</v>
          </cell>
          <cell r="C139" t="str">
            <v>عبد الله يحي حسن مجممي</v>
          </cell>
          <cell r="D139">
            <v>1117922722</v>
          </cell>
          <cell r="E139" t="str">
            <v>سعودي</v>
          </cell>
          <cell r="F139" t="str">
            <v>ذكر</v>
          </cell>
          <cell r="G139">
            <v>44562</v>
          </cell>
          <cell r="H139">
            <v>44562</v>
          </cell>
          <cell r="I139" t="str">
            <v>دوام كامل</v>
          </cell>
          <cell r="J139" t="str">
            <v>كاشير</v>
          </cell>
          <cell r="K139" t="str">
            <v>الرياض</v>
          </cell>
          <cell r="L139" t="str">
            <v>لبن</v>
          </cell>
          <cell r="O139" t="e">
            <v>#N/A</v>
          </cell>
        </row>
        <row r="140">
          <cell r="B140">
            <v>1132</v>
          </cell>
          <cell r="C140" t="str">
            <v>عزالدين عبدالله موسي الفكي</v>
          </cell>
          <cell r="D140">
            <v>2505611299</v>
          </cell>
          <cell r="E140" t="str">
            <v>السودان</v>
          </cell>
          <cell r="F140" t="str">
            <v>ذكر</v>
          </cell>
          <cell r="G140">
            <v>44562</v>
          </cell>
          <cell r="H140">
            <v>44562</v>
          </cell>
          <cell r="I140" t="str">
            <v>دوام كامل</v>
          </cell>
          <cell r="J140" t="str">
            <v>مدخل بيانات</v>
          </cell>
          <cell r="K140" t="str">
            <v>الرياض</v>
          </cell>
          <cell r="L140" t="str">
            <v>جملة ريال البركة</v>
          </cell>
          <cell r="O140" t="str">
            <v>0531080629</v>
          </cell>
        </row>
        <row r="141">
          <cell r="B141">
            <v>1133</v>
          </cell>
          <cell r="C141" t="str">
            <v>محسن يحي محسن عميسان</v>
          </cell>
          <cell r="D141">
            <v>2216941035</v>
          </cell>
          <cell r="E141" t="str">
            <v>اليمن</v>
          </cell>
          <cell r="F141" t="str">
            <v>ذكر</v>
          </cell>
          <cell r="G141">
            <v>44621</v>
          </cell>
          <cell r="H141">
            <v>44562</v>
          </cell>
          <cell r="I141" t="str">
            <v>دوام كامل</v>
          </cell>
          <cell r="J141" t="str">
            <v>مدير إنتاج</v>
          </cell>
          <cell r="K141" t="str">
            <v>الرياض</v>
          </cell>
          <cell r="L141" t="str">
            <v>ورشة أثاث</v>
          </cell>
          <cell r="O141" t="str">
            <v>0532612444</v>
          </cell>
        </row>
        <row r="142">
          <cell r="B142">
            <v>1134</v>
          </cell>
          <cell r="C142" t="str">
            <v>ضيف الله احمد عبدالله اليافعي</v>
          </cell>
          <cell r="D142">
            <v>2498980875</v>
          </cell>
          <cell r="E142" t="str">
            <v>اليمن</v>
          </cell>
          <cell r="F142" t="str">
            <v>ذكر</v>
          </cell>
          <cell r="G142">
            <v>44576</v>
          </cell>
          <cell r="H142">
            <v>44562</v>
          </cell>
          <cell r="I142" t="str">
            <v>دوام كامل</v>
          </cell>
          <cell r="J142" t="str">
            <v>معلم نجارة</v>
          </cell>
          <cell r="K142" t="str">
            <v>الرياض</v>
          </cell>
          <cell r="L142" t="str">
            <v>ورشة أثاث</v>
          </cell>
          <cell r="M142" t="str">
            <v>إستقالة</v>
          </cell>
          <cell r="N142" t="str">
            <v>22/02/2023</v>
          </cell>
          <cell r="O142" t="e">
            <v>#N/A</v>
          </cell>
        </row>
        <row r="143">
          <cell r="B143">
            <v>1135</v>
          </cell>
          <cell r="C143" t="str">
            <v>اسامه عبده احمد عبدالله العبادي</v>
          </cell>
          <cell r="D143">
            <v>2512494606</v>
          </cell>
          <cell r="E143" t="str">
            <v>اليمن</v>
          </cell>
          <cell r="F143" t="str">
            <v>ذكر</v>
          </cell>
          <cell r="G143">
            <v>44606</v>
          </cell>
          <cell r="H143">
            <v>44562</v>
          </cell>
          <cell r="I143" t="str">
            <v>دوام كامل</v>
          </cell>
          <cell r="J143" t="str">
            <v>معلم دهان</v>
          </cell>
          <cell r="K143" t="str">
            <v>الرياض</v>
          </cell>
          <cell r="L143" t="str">
            <v>ورشة أثاث</v>
          </cell>
          <cell r="O143" t="str">
            <v>0577759016</v>
          </cell>
        </row>
        <row r="144">
          <cell r="B144">
            <v>1136</v>
          </cell>
          <cell r="C144" t="str">
            <v>عبدالحافظ رشاد علي سعيد</v>
          </cell>
          <cell r="D144">
            <v>2511070753</v>
          </cell>
          <cell r="E144" t="str">
            <v>اليمن</v>
          </cell>
          <cell r="F144" t="str">
            <v>ذكر</v>
          </cell>
          <cell r="G144">
            <v>44606</v>
          </cell>
          <cell r="H144">
            <v>44562</v>
          </cell>
          <cell r="I144" t="str">
            <v>دوام كامل</v>
          </cell>
          <cell r="J144" t="str">
            <v>عامل</v>
          </cell>
          <cell r="K144" t="str">
            <v>الرياض</v>
          </cell>
          <cell r="L144" t="str">
            <v>ورشة أثاث</v>
          </cell>
          <cell r="O144" t="e">
            <v>#N/A</v>
          </cell>
        </row>
        <row r="145">
          <cell r="B145">
            <v>1137</v>
          </cell>
          <cell r="C145" t="str">
            <v>حسن عبده حزام عساج</v>
          </cell>
          <cell r="D145">
            <v>2516856826</v>
          </cell>
          <cell r="E145" t="str">
            <v>اليمن</v>
          </cell>
          <cell r="F145" t="str">
            <v>ذكر</v>
          </cell>
          <cell r="G145">
            <v>44606</v>
          </cell>
          <cell r="H145">
            <v>44562</v>
          </cell>
          <cell r="I145" t="str">
            <v>دوام كامل</v>
          </cell>
          <cell r="J145" t="str">
            <v>معلم بوية</v>
          </cell>
          <cell r="K145" t="str">
            <v>الرياض</v>
          </cell>
          <cell r="L145" t="str">
            <v>ورشة أثاث</v>
          </cell>
          <cell r="O145" t="str">
            <v>0576498825</v>
          </cell>
        </row>
        <row r="146">
          <cell r="B146">
            <v>1138</v>
          </cell>
          <cell r="C146" t="str">
            <v>محمد عمر سعد محمود</v>
          </cell>
          <cell r="D146">
            <v>2483331274</v>
          </cell>
          <cell r="E146" t="str">
            <v>مصر</v>
          </cell>
          <cell r="F146" t="str">
            <v>ذكر</v>
          </cell>
          <cell r="G146">
            <v>44576</v>
          </cell>
          <cell r="H146">
            <v>44562</v>
          </cell>
          <cell r="I146" t="str">
            <v>دوام كامل</v>
          </cell>
          <cell r="J146" t="str">
            <v>معلم حدادة</v>
          </cell>
          <cell r="K146" t="str">
            <v>الرياض</v>
          </cell>
          <cell r="L146" t="str">
            <v>ورشة أثاث</v>
          </cell>
          <cell r="O146" t="str">
            <v>0581601215</v>
          </cell>
        </row>
        <row r="147">
          <cell r="B147">
            <v>1139</v>
          </cell>
          <cell r="C147" t="str">
            <v>صالحه علي أحمد هزازي</v>
          </cell>
          <cell r="D147">
            <v>1113117053</v>
          </cell>
          <cell r="E147" t="str">
            <v>سعودي</v>
          </cell>
          <cell r="F147" t="str">
            <v>أنثي</v>
          </cell>
          <cell r="G147">
            <v>44573</v>
          </cell>
          <cell r="H147">
            <v>44573</v>
          </cell>
          <cell r="I147" t="str">
            <v>دوام كامل</v>
          </cell>
          <cell r="J147" t="str">
            <v>كاشير</v>
          </cell>
          <cell r="K147" t="str">
            <v>الدمام</v>
          </cell>
          <cell r="L147" t="str">
            <v>العنود</v>
          </cell>
          <cell r="O147" t="str">
            <v>0536149156</v>
          </cell>
        </row>
        <row r="148">
          <cell r="B148">
            <v>1140</v>
          </cell>
          <cell r="C148" t="str">
            <v>علي سمير حسن</v>
          </cell>
          <cell r="D148">
            <v>2514045612</v>
          </cell>
          <cell r="E148" t="str">
            <v>مصر</v>
          </cell>
          <cell r="F148" t="str">
            <v>ذكر</v>
          </cell>
          <cell r="G148">
            <v>44574</v>
          </cell>
          <cell r="I148" t="str">
            <v>دوام كامل</v>
          </cell>
          <cell r="J148" t="str">
            <v>عامل</v>
          </cell>
          <cell r="K148" t="str">
            <v>الخرج</v>
          </cell>
          <cell r="L148" t="str">
            <v>المصنع</v>
          </cell>
          <cell r="O148" t="str">
            <v>0534544960</v>
          </cell>
        </row>
        <row r="149">
          <cell r="B149">
            <v>1141</v>
          </cell>
          <cell r="C149" t="str">
            <v>أحمد جابر احمد مدكور</v>
          </cell>
          <cell r="D149">
            <v>2514039698</v>
          </cell>
          <cell r="E149" t="str">
            <v>مصر</v>
          </cell>
          <cell r="F149" t="str">
            <v>ذكر</v>
          </cell>
          <cell r="G149">
            <v>44574</v>
          </cell>
          <cell r="I149" t="str">
            <v>دوام كامل</v>
          </cell>
          <cell r="J149" t="str">
            <v>مهندس انتاج</v>
          </cell>
          <cell r="K149" t="str">
            <v>الخرج</v>
          </cell>
          <cell r="L149" t="str">
            <v>المصنع</v>
          </cell>
          <cell r="O149" t="str">
            <v>0534529454</v>
          </cell>
        </row>
        <row r="150">
          <cell r="B150">
            <v>1142</v>
          </cell>
          <cell r="C150" t="str">
            <v>معتز عصام الصافي الرضي</v>
          </cell>
          <cell r="D150">
            <v>2503035392</v>
          </cell>
          <cell r="E150" t="str">
            <v>السودان</v>
          </cell>
          <cell r="F150" t="str">
            <v>ذكر</v>
          </cell>
          <cell r="G150">
            <v>44593</v>
          </cell>
          <cell r="H150">
            <v>44593</v>
          </cell>
          <cell r="I150" t="str">
            <v>دوام كامل</v>
          </cell>
          <cell r="J150" t="str">
            <v>مدخل بيانات</v>
          </cell>
          <cell r="K150" t="str">
            <v>الرياض</v>
          </cell>
          <cell r="L150" t="str">
            <v>أونلاين</v>
          </cell>
          <cell r="O150" t="str">
            <v>0500930568</v>
          </cell>
        </row>
        <row r="151">
          <cell r="B151">
            <v>1143</v>
          </cell>
          <cell r="C151" t="str">
            <v>AMIR ALAM WARKOTAY KHAN</v>
          </cell>
          <cell r="D151">
            <v>2487643674</v>
          </cell>
          <cell r="E151" t="str">
            <v>باكستان</v>
          </cell>
          <cell r="F151" t="str">
            <v>ذكر</v>
          </cell>
          <cell r="G151">
            <v>44603</v>
          </cell>
          <cell r="H151">
            <v>44603</v>
          </cell>
          <cell r="I151" t="str">
            <v>دوام كامل</v>
          </cell>
          <cell r="J151" t="str">
            <v>سائق خاص</v>
          </cell>
          <cell r="K151" t="str">
            <v>الرياض</v>
          </cell>
          <cell r="L151" t="str">
            <v>المالك</v>
          </cell>
          <cell r="O151" t="str">
            <v>0551200277</v>
          </cell>
        </row>
        <row r="152">
          <cell r="B152">
            <v>1144</v>
          </cell>
          <cell r="C152" t="str">
            <v>صالحة محمد أحمد عتين</v>
          </cell>
          <cell r="D152">
            <v>1069605119</v>
          </cell>
          <cell r="E152" t="str">
            <v>سعودي</v>
          </cell>
          <cell r="F152" t="str">
            <v>أنثي</v>
          </cell>
          <cell r="G152">
            <v>44611</v>
          </cell>
          <cell r="I152" t="str">
            <v>دوام كامل</v>
          </cell>
          <cell r="J152" t="str">
            <v>محاسب زبائن</v>
          </cell>
          <cell r="K152" t="str">
            <v>الرياض</v>
          </cell>
          <cell r="L152" t="str">
            <v>جملة سلطان/السويلم</v>
          </cell>
          <cell r="O152" t="str">
            <v>0538970747</v>
          </cell>
        </row>
        <row r="153">
          <cell r="B153">
            <v>1145</v>
          </cell>
          <cell r="C153" t="str">
            <v>مرام عبدالوهاب الخولاني</v>
          </cell>
          <cell r="D153">
            <v>2373237367</v>
          </cell>
          <cell r="E153" t="str">
            <v>اليمن</v>
          </cell>
          <cell r="F153" t="str">
            <v>أنثي</v>
          </cell>
          <cell r="G153">
            <v>44621</v>
          </cell>
          <cell r="I153" t="str">
            <v>دوام جزئي</v>
          </cell>
          <cell r="J153" t="str">
            <v>تسويق</v>
          </cell>
          <cell r="K153" t="str">
            <v>الرياض</v>
          </cell>
          <cell r="L153" t="str">
            <v>وكالة ممكن</v>
          </cell>
          <cell r="O153" t="str">
            <v>0504443853</v>
          </cell>
        </row>
        <row r="154">
          <cell r="B154">
            <v>1146</v>
          </cell>
          <cell r="C154" t="str">
            <v>مشاعل زيد زيدان الهلالي</v>
          </cell>
          <cell r="D154">
            <v>1081911024</v>
          </cell>
          <cell r="E154" t="str">
            <v>سعودي</v>
          </cell>
          <cell r="F154" t="str">
            <v>أنثي</v>
          </cell>
          <cell r="G154">
            <v>44623</v>
          </cell>
          <cell r="H154">
            <v>44623</v>
          </cell>
          <cell r="I154" t="str">
            <v>عن بعد</v>
          </cell>
          <cell r="J154" t="str">
            <v>أخصائي دعم فني</v>
          </cell>
          <cell r="K154" t="str">
            <v>الرياض</v>
          </cell>
          <cell r="L154" t="str">
            <v>الإدارة</v>
          </cell>
          <cell r="O154" t="str">
            <v>0550779449</v>
          </cell>
        </row>
        <row r="155">
          <cell r="B155">
            <v>1147</v>
          </cell>
          <cell r="C155" t="str">
            <v>منيره حسن عبدالله قعود</v>
          </cell>
          <cell r="D155">
            <v>1096580376</v>
          </cell>
          <cell r="E155" t="str">
            <v>سعودي</v>
          </cell>
          <cell r="F155" t="str">
            <v>أنثي</v>
          </cell>
          <cell r="G155">
            <v>44623</v>
          </cell>
          <cell r="H155">
            <v>44623</v>
          </cell>
          <cell r="I155" t="str">
            <v>عن بعد</v>
          </cell>
          <cell r="J155" t="str">
            <v>مندوب مبيعات</v>
          </cell>
          <cell r="K155" t="str">
            <v>الرياض</v>
          </cell>
          <cell r="L155" t="str">
            <v>الإدارة</v>
          </cell>
          <cell r="O155" t="str">
            <v>05042601749</v>
          </cell>
        </row>
        <row r="156">
          <cell r="B156">
            <v>1148</v>
          </cell>
          <cell r="C156" t="str">
            <v>مرام ناصر عبدالرحمن السلمان</v>
          </cell>
          <cell r="D156">
            <v>1095041834</v>
          </cell>
          <cell r="E156" t="str">
            <v>سعودي</v>
          </cell>
          <cell r="F156" t="str">
            <v>أنثي</v>
          </cell>
          <cell r="G156">
            <v>44623</v>
          </cell>
          <cell r="H156">
            <v>44623</v>
          </cell>
          <cell r="I156" t="str">
            <v>عن بعد</v>
          </cell>
          <cell r="J156" t="str">
            <v>أخصائي دعم فني</v>
          </cell>
          <cell r="K156" t="str">
            <v>الرياض</v>
          </cell>
          <cell r="L156" t="str">
            <v>الإدارة</v>
          </cell>
          <cell r="O156" t="str">
            <v>0507606173</v>
          </cell>
        </row>
        <row r="157">
          <cell r="B157">
            <v>1149</v>
          </cell>
          <cell r="C157" t="str">
            <v>أميرة احمد محمد السميح</v>
          </cell>
          <cell r="D157">
            <v>1110338876</v>
          </cell>
          <cell r="E157" t="str">
            <v>سعودي</v>
          </cell>
          <cell r="F157" t="str">
            <v>أنثي</v>
          </cell>
          <cell r="G157">
            <v>44625</v>
          </cell>
          <cell r="H157">
            <v>44625</v>
          </cell>
          <cell r="I157" t="str">
            <v>عن بعد</v>
          </cell>
          <cell r="J157" t="str">
            <v>أخصائي دعم فني</v>
          </cell>
          <cell r="K157" t="str">
            <v>الرياض</v>
          </cell>
          <cell r="L157" t="str">
            <v>ورشة أثاث</v>
          </cell>
          <cell r="O157" t="str">
            <v>0546143269</v>
          </cell>
        </row>
        <row r="158">
          <cell r="B158">
            <v>1150</v>
          </cell>
          <cell r="C158" t="str">
            <v>نوره عبدالعزيز حسين ابوساق</v>
          </cell>
          <cell r="D158">
            <v>1022148199</v>
          </cell>
          <cell r="E158" t="str">
            <v>سعودي</v>
          </cell>
          <cell r="F158" t="str">
            <v>أنثي</v>
          </cell>
          <cell r="G158">
            <v>44625</v>
          </cell>
          <cell r="H158">
            <v>44625</v>
          </cell>
          <cell r="I158" t="str">
            <v>عن بعد</v>
          </cell>
          <cell r="J158" t="str">
            <v>مندوب مبيعات</v>
          </cell>
          <cell r="K158" t="str">
            <v>الرياض</v>
          </cell>
          <cell r="L158" t="str">
            <v>ورشة أثاث</v>
          </cell>
          <cell r="O158" t="str">
            <v>0551680973</v>
          </cell>
        </row>
        <row r="159">
          <cell r="B159">
            <v>1151</v>
          </cell>
          <cell r="C159" t="str">
            <v>ريم عبدالعزيز حسين أبوساق</v>
          </cell>
          <cell r="D159">
            <v>1054822943</v>
          </cell>
          <cell r="E159" t="str">
            <v>سعودي</v>
          </cell>
          <cell r="F159" t="str">
            <v>أنثي</v>
          </cell>
          <cell r="G159">
            <v>44627</v>
          </cell>
          <cell r="I159" t="str">
            <v>عن بعد</v>
          </cell>
          <cell r="J159" t="str">
            <v>مساعد بائع</v>
          </cell>
          <cell r="K159" t="str">
            <v>الرياض</v>
          </cell>
          <cell r="L159" t="str">
            <v>الإدارة</v>
          </cell>
          <cell r="O159" t="str">
            <v>0530672998</v>
          </cell>
        </row>
        <row r="160">
          <cell r="B160">
            <v>1152</v>
          </cell>
          <cell r="C160" t="str">
            <v>سجاء علي عبدالله المحيميد</v>
          </cell>
          <cell r="D160">
            <v>1108055201</v>
          </cell>
          <cell r="E160" t="str">
            <v>سعودي</v>
          </cell>
          <cell r="F160" t="str">
            <v>أنثي</v>
          </cell>
          <cell r="G160">
            <v>44629</v>
          </cell>
          <cell r="H160">
            <v>44629</v>
          </cell>
          <cell r="I160" t="str">
            <v>دوام كامل</v>
          </cell>
          <cell r="J160" t="str">
            <v>كاشير</v>
          </cell>
          <cell r="K160" t="str">
            <v>الأحساء</v>
          </cell>
          <cell r="L160" t="str">
            <v>الأندلس</v>
          </cell>
          <cell r="O160" t="str">
            <v>0550867102</v>
          </cell>
        </row>
        <row r="161">
          <cell r="B161">
            <v>1153</v>
          </cell>
          <cell r="C161" t="str">
            <v>سارة عدنان علي الصالح</v>
          </cell>
          <cell r="D161">
            <v>1109675643</v>
          </cell>
          <cell r="E161" t="str">
            <v>سعودي</v>
          </cell>
          <cell r="F161" t="str">
            <v>أنثي</v>
          </cell>
          <cell r="G161">
            <v>44630</v>
          </cell>
          <cell r="H161">
            <v>44630</v>
          </cell>
          <cell r="I161" t="str">
            <v>دوام كامل</v>
          </cell>
          <cell r="J161" t="str">
            <v>كاشير</v>
          </cell>
          <cell r="K161" t="str">
            <v>الأحساء</v>
          </cell>
          <cell r="L161" t="str">
            <v>الأندلس</v>
          </cell>
          <cell r="O161" t="str">
            <v>0569220259</v>
          </cell>
        </row>
        <row r="162">
          <cell r="B162">
            <v>1154</v>
          </cell>
          <cell r="C162" t="str">
            <v>فاطمه علي عبدالله المطوع</v>
          </cell>
          <cell r="D162">
            <v>1122660200</v>
          </cell>
          <cell r="E162" t="str">
            <v>سعودي</v>
          </cell>
          <cell r="F162" t="str">
            <v>أنثي</v>
          </cell>
          <cell r="G162">
            <v>44632</v>
          </cell>
          <cell r="H162">
            <v>44766</v>
          </cell>
          <cell r="I162" t="str">
            <v>دوام كامل</v>
          </cell>
          <cell r="J162" t="str">
            <v>كاشير</v>
          </cell>
          <cell r="K162" t="str">
            <v>الأحساء</v>
          </cell>
          <cell r="L162" t="str">
            <v>الأندلس</v>
          </cell>
          <cell r="O162" t="str">
            <v>0577451439</v>
          </cell>
        </row>
        <row r="163">
          <cell r="B163">
            <v>1155</v>
          </cell>
          <cell r="C163" t="str">
            <v>ساره ناصر سليمان الوهيبي</v>
          </cell>
          <cell r="D163">
            <v>1110563218</v>
          </cell>
          <cell r="E163" t="str">
            <v>سعودي</v>
          </cell>
          <cell r="F163" t="str">
            <v>أنثي</v>
          </cell>
          <cell r="G163">
            <v>44636</v>
          </cell>
          <cell r="H163">
            <v>44636</v>
          </cell>
          <cell r="I163" t="str">
            <v>عن بعد</v>
          </cell>
          <cell r="J163" t="str">
            <v>مندوب خدمات سلعيه</v>
          </cell>
          <cell r="K163" t="str">
            <v>الرياض</v>
          </cell>
          <cell r="L163" t="str">
            <v>ورشة أثاث</v>
          </cell>
          <cell r="O163" t="str">
            <v>0551236589</v>
          </cell>
        </row>
        <row r="164">
          <cell r="B164">
            <v>1156</v>
          </cell>
          <cell r="C164" t="str">
            <v>هديل سليمان صالح المريشد</v>
          </cell>
          <cell r="D164">
            <v>1060137807</v>
          </cell>
          <cell r="E164" t="str">
            <v>سعودي</v>
          </cell>
          <cell r="F164" t="str">
            <v>أنثي</v>
          </cell>
          <cell r="G164">
            <v>44644</v>
          </cell>
          <cell r="H164">
            <v>44644</v>
          </cell>
          <cell r="I164" t="str">
            <v>عن بعد</v>
          </cell>
          <cell r="J164" t="str">
            <v>أخصائي دعم فني</v>
          </cell>
          <cell r="K164" t="str">
            <v>الرياض</v>
          </cell>
          <cell r="L164" t="str">
            <v>الإدارة</v>
          </cell>
          <cell r="O164" t="str">
            <v>0557455703</v>
          </cell>
        </row>
        <row r="165">
          <cell r="B165">
            <v>1157</v>
          </cell>
          <cell r="C165" t="str">
            <v>نور محمد حسين الحدب</v>
          </cell>
          <cell r="D165">
            <v>1093007274</v>
          </cell>
          <cell r="E165" t="str">
            <v>سعودي</v>
          </cell>
          <cell r="F165" t="str">
            <v>أنثي</v>
          </cell>
          <cell r="G165">
            <v>44652</v>
          </cell>
          <cell r="H165">
            <v>44653</v>
          </cell>
          <cell r="I165" t="str">
            <v>دوام كامل</v>
          </cell>
          <cell r="J165" t="str">
            <v>كاشير</v>
          </cell>
          <cell r="K165" t="str">
            <v>الأحساء</v>
          </cell>
          <cell r="L165" t="str">
            <v>الأندلس</v>
          </cell>
          <cell r="O165" t="str">
            <v>0553761389</v>
          </cell>
        </row>
        <row r="166">
          <cell r="B166">
            <v>1158</v>
          </cell>
          <cell r="C166" t="str">
            <v>محمد كوثر</v>
          </cell>
          <cell r="D166">
            <v>2432559835</v>
          </cell>
          <cell r="E166" t="str">
            <v>بنجلاديش</v>
          </cell>
          <cell r="F166" t="str">
            <v>ذكر</v>
          </cell>
          <cell r="G166">
            <v>44652</v>
          </cell>
          <cell r="I166" t="str">
            <v>دوام كامل</v>
          </cell>
          <cell r="J166" t="str">
            <v>سائق خاص</v>
          </cell>
          <cell r="K166" t="str">
            <v>الرياض</v>
          </cell>
          <cell r="L166" t="str">
            <v>المدير العام</v>
          </cell>
          <cell r="O166" t="str">
            <v>0531002887</v>
          </cell>
        </row>
        <row r="167">
          <cell r="B167">
            <v>1159</v>
          </cell>
          <cell r="C167" t="str">
            <v>سيف أحمد محسن اليمني</v>
          </cell>
          <cell r="D167">
            <v>2499352421</v>
          </cell>
          <cell r="E167" t="str">
            <v>اليمن</v>
          </cell>
          <cell r="F167" t="str">
            <v>ذكر</v>
          </cell>
          <cell r="G167">
            <v>44652</v>
          </cell>
          <cell r="I167" t="str">
            <v>دوام كامل</v>
          </cell>
          <cell r="J167" t="str">
            <v>حارس</v>
          </cell>
          <cell r="K167" t="str">
            <v>الرياض</v>
          </cell>
          <cell r="L167" t="str">
            <v>مستودع الغنامية</v>
          </cell>
          <cell r="O167" t="str">
            <v>0553844268</v>
          </cell>
        </row>
        <row r="168">
          <cell r="B168">
            <v>1160</v>
          </cell>
          <cell r="C168" t="str">
            <v>غدير راشد محمد السبيعي</v>
          </cell>
          <cell r="D168">
            <v>1117342699</v>
          </cell>
          <cell r="E168" t="str">
            <v>سعودي</v>
          </cell>
          <cell r="F168" t="str">
            <v>أنثي</v>
          </cell>
          <cell r="G168">
            <v>44653</v>
          </cell>
          <cell r="H168">
            <v>44653</v>
          </cell>
          <cell r="I168" t="str">
            <v>دوام كامل</v>
          </cell>
          <cell r="J168" t="str">
            <v>كاشير</v>
          </cell>
          <cell r="K168" t="str">
            <v>الرياض</v>
          </cell>
          <cell r="L168" t="str">
            <v>الشفا</v>
          </cell>
          <cell r="M168" t="str">
            <v>إستقالة</v>
          </cell>
          <cell r="N168">
            <v>44957</v>
          </cell>
          <cell r="O168" t="e">
            <v>#N/A</v>
          </cell>
        </row>
        <row r="169">
          <cell r="B169">
            <v>1161</v>
          </cell>
          <cell r="C169" t="str">
            <v>عبدالمجيد محمد عبدالله النمي</v>
          </cell>
          <cell r="D169">
            <v>1115029629</v>
          </cell>
          <cell r="E169" t="str">
            <v>سعودي</v>
          </cell>
          <cell r="F169" t="str">
            <v>ذكر</v>
          </cell>
          <cell r="G169">
            <v>44653</v>
          </cell>
          <cell r="H169">
            <v>44653</v>
          </cell>
          <cell r="I169" t="str">
            <v>عن بعد</v>
          </cell>
          <cell r="J169" t="str">
            <v>مندوب مشتريات</v>
          </cell>
          <cell r="K169" t="str">
            <v>الرياض</v>
          </cell>
          <cell r="L169" t="str">
            <v>الإدارة</v>
          </cell>
          <cell r="O169" t="str">
            <v>0507407737</v>
          </cell>
        </row>
        <row r="170">
          <cell r="B170">
            <v>1162</v>
          </cell>
          <cell r="C170" t="str">
            <v>ريم عبدالرحمن صالح الفنتوخ</v>
          </cell>
          <cell r="D170">
            <v>1109349900</v>
          </cell>
          <cell r="E170" t="str">
            <v>سعودي</v>
          </cell>
          <cell r="F170" t="str">
            <v>أنثي</v>
          </cell>
          <cell r="G170">
            <v>44668</v>
          </cell>
          <cell r="H170">
            <v>44668</v>
          </cell>
          <cell r="I170" t="str">
            <v>عن بعد</v>
          </cell>
          <cell r="J170" t="str">
            <v>مندوب مبيعات</v>
          </cell>
          <cell r="K170" t="str">
            <v>الرياض</v>
          </cell>
          <cell r="L170" t="str">
            <v>ورشة أثاث</v>
          </cell>
          <cell r="O170" t="str">
            <v>0566403050</v>
          </cell>
        </row>
        <row r="171">
          <cell r="B171">
            <v>1163</v>
          </cell>
          <cell r="C171" t="str">
            <v>لطيفه عبدالله عبدالرحمن رشيد</v>
          </cell>
          <cell r="D171">
            <v>1048011967</v>
          </cell>
          <cell r="E171" t="str">
            <v>سعودي</v>
          </cell>
          <cell r="F171" t="str">
            <v>أنثي</v>
          </cell>
          <cell r="G171">
            <v>44671</v>
          </cell>
          <cell r="H171">
            <v>44671</v>
          </cell>
          <cell r="I171" t="str">
            <v>عن بعد</v>
          </cell>
          <cell r="J171" t="str">
            <v>مندوب مشتريات</v>
          </cell>
          <cell r="K171" t="str">
            <v>الرياض</v>
          </cell>
          <cell r="L171" t="str">
            <v>الإدارة</v>
          </cell>
          <cell r="O171" t="str">
            <v>0505451141</v>
          </cell>
        </row>
        <row r="172">
          <cell r="B172">
            <v>1164</v>
          </cell>
          <cell r="C172" t="str">
            <v>جيهان عبد ماطر المطيري</v>
          </cell>
          <cell r="D172">
            <v>1107266452</v>
          </cell>
          <cell r="E172" t="str">
            <v>سعودي</v>
          </cell>
          <cell r="F172" t="str">
            <v>أنثي</v>
          </cell>
          <cell r="G172">
            <v>44704</v>
          </cell>
          <cell r="H172">
            <v>44704</v>
          </cell>
          <cell r="I172" t="str">
            <v>دوام كامل</v>
          </cell>
          <cell r="J172" t="str">
            <v>كاشير</v>
          </cell>
          <cell r="K172" t="str">
            <v>الرياض</v>
          </cell>
          <cell r="L172" t="str">
            <v>لبن</v>
          </cell>
          <cell r="O172" t="str">
            <v>0549692311</v>
          </cell>
        </row>
        <row r="173">
          <cell r="B173">
            <v>1165</v>
          </cell>
          <cell r="C173" t="str">
            <v>رفاه ماطر علي اليامي</v>
          </cell>
          <cell r="D173">
            <v>1123245985</v>
          </cell>
          <cell r="E173" t="str">
            <v>سعودي</v>
          </cell>
          <cell r="F173" t="str">
            <v>أنثي</v>
          </cell>
          <cell r="G173">
            <v>44710</v>
          </cell>
          <cell r="H173">
            <v>44710</v>
          </cell>
          <cell r="I173" t="str">
            <v>دوام كامل</v>
          </cell>
          <cell r="J173" t="str">
            <v>كاشير</v>
          </cell>
          <cell r="K173" t="str">
            <v>الرياض</v>
          </cell>
          <cell r="L173" t="str">
            <v>الدائري الغربي</v>
          </cell>
          <cell r="O173" t="str">
            <v>0554613875</v>
          </cell>
        </row>
        <row r="174">
          <cell r="B174">
            <v>1166</v>
          </cell>
          <cell r="C174" t="str">
            <v>مرسلين مد شفيق الإسلام</v>
          </cell>
          <cell r="D174">
            <v>2515596159</v>
          </cell>
          <cell r="E174" t="str">
            <v>بنجلاديش</v>
          </cell>
          <cell r="F174" t="str">
            <v>ذكر</v>
          </cell>
          <cell r="G174">
            <v>44713</v>
          </cell>
          <cell r="H174">
            <v>44713</v>
          </cell>
          <cell r="I174" t="str">
            <v>دوام كامل</v>
          </cell>
          <cell r="J174" t="str">
            <v>عامل</v>
          </cell>
          <cell r="K174" t="str">
            <v>الرياض</v>
          </cell>
          <cell r="L174" t="str">
            <v>النسيم</v>
          </cell>
          <cell r="O174" t="str">
            <v>0566539217</v>
          </cell>
        </row>
        <row r="175">
          <cell r="B175">
            <v>1167</v>
          </cell>
          <cell r="C175" t="str">
            <v>حمزه قايد غالب المليكي</v>
          </cell>
          <cell r="D175">
            <v>2516201304</v>
          </cell>
          <cell r="E175" t="str">
            <v>اليمن</v>
          </cell>
          <cell r="F175" t="str">
            <v>ذكر</v>
          </cell>
          <cell r="G175">
            <v>44713</v>
          </cell>
          <cell r="H175">
            <v>44713</v>
          </cell>
          <cell r="I175" t="str">
            <v>دوام كامل</v>
          </cell>
          <cell r="J175" t="str">
            <v>عامل</v>
          </cell>
          <cell r="K175" t="str">
            <v>الرياض</v>
          </cell>
          <cell r="L175" t="str">
            <v>لبن</v>
          </cell>
          <cell r="O175" t="str">
            <v>0548170975</v>
          </cell>
        </row>
        <row r="176">
          <cell r="B176">
            <v>1168</v>
          </cell>
          <cell r="C176" t="str">
            <v>ليون مياه</v>
          </cell>
          <cell r="D176">
            <v>2517041469</v>
          </cell>
          <cell r="E176" t="str">
            <v>بنجلاديش</v>
          </cell>
          <cell r="F176" t="str">
            <v>ذكر</v>
          </cell>
          <cell r="G176">
            <v>44716</v>
          </cell>
          <cell r="H176">
            <v>44716</v>
          </cell>
          <cell r="I176" t="str">
            <v>دوام كامل</v>
          </cell>
          <cell r="J176" t="str">
            <v>عامل نظافة</v>
          </cell>
          <cell r="K176" t="str">
            <v>الرياض</v>
          </cell>
          <cell r="L176" t="str">
            <v>هاينس</v>
          </cell>
          <cell r="O176" t="str">
            <v>0573366943</v>
          </cell>
        </row>
        <row r="177">
          <cell r="B177">
            <v>1169</v>
          </cell>
          <cell r="C177" t="str">
            <v>مد راسل</v>
          </cell>
          <cell r="D177">
            <v>2515528798</v>
          </cell>
          <cell r="E177" t="str">
            <v>بنجلاديش</v>
          </cell>
          <cell r="F177" t="str">
            <v>ذكر</v>
          </cell>
          <cell r="G177">
            <v>44718</v>
          </cell>
          <cell r="H177">
            <v>44718</v>
          </cell>
          <cell r="I177" t="str">
            <v>دوام كامل</v>
          </cell>
          <cell r="J177" t="str">
            <v>عامل عادي</v>
          </cell>
          <cell r="K177" t="str">
            <v>الرياض</v>
          </cell>
          <cell r="L177" t="str">
            <v>هاينس</v>
          </cell>
          <cell r="O177" t="str">
            <v>0573366943</v>
          </cell>
        </row>
        <row r="178">
          <cell r="B178">
            <v>1170</v>
          </cell>
          <cell r="C178" t="str">
            <v>ياسين عرفات</v>
          </cell>
          <cell r="D178">
            <v>2499273106</v>
          </cell>
          <cell r="E178" t="str">
            <v>بنجلاديش</v>
          </cell>
          <cell r="F178" t="str">
            <v>ذكر</v>
          </cell>
          <cell r="G178">
            <v>44718</v>
          </cell>
          <cell r="H178">
            <v>44718</v>
          </cell>
          <cell r="I178" t="str">
            <v>دوام كامل</v>
          </cell>
          <cell r="J178" t="str">
            <v>عامل</v>
          </cell>
          <cell r="K178" t="str">
            <v>الرياض</v>
          </cell>
          <cell r="L178" t="str">
            <v>هاينس</v>
          </cell>
          <cell r="O178" t="str">
            <v>0573366943</v>
          </cell>
        </row>
        <row r="179">
          <cell r="B179">
            <v>1171</v>
          </cell>
          <cell r="C179" t="str">
            <v>صفايات حسين</v>
          </cell>
          <cell r="D179">
            <v>2524334816</v>
          </cell>
          <cell r="E179" t="str">
            <v>بنجلاديش</v>
          </cell>
          <cell r="F179" t="str">
            <v>ذكر</v>
          </cell>
          <cell r="G179">
            <v>44722</v>
          </cell>
          <cell r="H179">
            <v>44722</v>
          </cell>
          <cell r="I179" t="str">
            <v>دوام كامل</v>
          </cell>
          <cell r="J179" t="str">
            <v>عامل نظافة</v>
          </cell>
          <cell r="K179" t="str">
            <v>الرياض</v>
          </cell>
          <cell r="L179" t="str">
            <v>هاينس</v>
          </cell>
          <cell r="O179" t="str">
            <v>0573366943</v>
          </cell>
        </row>
        <row r="180">
          <cell r="B180">
            <v>1172</v>
          </cell>
          <cell r="C180" t="str">
            <v>نجود محمد جبران سفياني</v>
          </cell>
          <cell r="D180">
            <v>1118210655</v>
          </cell>
          <cell r="E180" t="str">
            <v>سعودي</v>
          </cell>
          <cell r="F180" t="str">
            <v>أنثي</v>
          </cell>
          <cell r="G180">
            <v>44725</v>
          </cell>
          <cell r="H180">
            <v>44725</v>
          </cell>
          <cell r="I180" t="str">
            <v>دوام كامل</v>
          </cell>
          <cell r="J180" t="str">
            <v>كاشير</v>
          </cell>
          <cell r="K180" t="str">
            <v>الرياض</v>
          </cell>
          <cell r="L180" t="str">
            <v>الدائري الغربي</v>
          </cell>
          <cell r="O180" t="str">
            <v>0550606623</v>
          </cell>
        </row>
        <row r="181">
          <cell r="B181">
            <v>1173</v>
          </cell>
          <cell r="C181" t="str">
            <v>اسامه عبدالقوي محسن احمد القاضي</v>
          </cell>
          <cell r="D181">
            <v>2516038847</v>
          </cell>
          <cell r="E181" t="str">
            <v>اليمن</v>
          </cell>
          <cell r="F181" t="str">
            <v>ذكر</v>
          </cell>
          <cell r="G181">
            <v>44727</v>
          </cell>
          <cell r="H181">
            <v>44727</v>
          </cell>
          <cell r="I181" t="str">
            <v>دوام كامل</v>
          </cell>
          <cell r="J181" t="str">
            <v>مدخل بيانات</v>
          </cell>
          <cell r="K181" t="str">
            <v>الرياض</v>
          </cell>
          <cell r="L181" t="str">
            <v>مستودع جملة سلطان</v>
          </cell>
          <cell r="O181" t="str">
            <v>0552804955</v>
          </cell>
        </row>
        <row r="182">
          <cell r="B182">
            <v>1174</v>
          </cell>
          <cell r="C182" t="str">
            <v>وجدان محمود صالح ال كاظم</v>
          </cell>
          <cell r="D182">
            <v>1106435751</v>
          </cell>
          <cell r="E182" t="str">
            <v>سعودي</v>
          </cell>
          <cell r="F182" t="str">
            <v>أنثي</v>
          </cell>
          <cell r="G182">
            <v>44727</v>
          </cell>
          <cell r="H182">
            <v>44727</v>
          </cell>
          <cell r="I182" t="str">
            <v>دوام كامل</v>
          </cell>
          <cell r="J182" t="str">
            <v>كاشير</v>
          </cell>
          <cell r="K182" t="str">
            <v>الدمام</v>
          </cell>
          <cell r="L182" t="str">
            <v>العنود</v>
          </cell>
          <cell r="M182" t="str">
            <v>إستقالة</v>
          </cell>
          <cell r="N182" t="str">
            <v>04/08/2022</v>
          </cell>
          <cell r="O182" t="e">
            <v>#N/A</v>
          </cell>
        </row>
        <row r="183">
          <cell r="B183">
            <v>1175</v>
          </cell>
          <cell r="C183" t="str">
            <v>فارس الدخيل</v>
          </cell>
          <cell r="D183">
            <v>1114305970</v>
          </cell>
          <cell r="E183" t="str">
            <v>سعودي</v>
          </cell>
          <cell r="F183" t="str">
            <v>ذكر</v>
          </cell>
          <cell r="G183">
            <v>44728</v>
          </cell>
          <cell r="H183">
            <v>44728</v>
          </cell>
          <cell r="I183" t="str">
            <v>دوام كامل</v>
          </cell>
          <cell r="J183" t="str">
            <v>كاشير</v>
          </cell>
          <cell r="K183" t="str">
            <v>الرياض</v>
          </cell>
          <cell r="L183" t="str">
            <v>اليرموك</v>
          </cell>
          <cell r="M183" t="str">
            <v>إستقالة</v>
          </cell>
          <cell r="N183">
            <v>44786</v>
          </cell>
          <cell r="O183" t="e">
            <v>#N/A</v>
          </cell>
        </row>
        <row r="184">
          <cell r="B184">
            <v>1176</v>
          </cell>
          <cell r="C184" t="str">
            <v>سويل كمال أوسين</v>
          </cell>
          <cell r="D184">
            <v>2508671605</v>
          </cell>
          <cell r="E184" t="str">
            <v>بنجلاديش</v>
          </cell>
          <cell r="F184" t="str">
            <v>ذكر</v>
          </cell>
          <cell r="G184">
            <v>44733</v>
          </cell>
          <cell r="I184" t="str">
            <v>دوام كامل</v>
          </cell>
          <cell r="J184" t="str">
            <v>عامل</v>
          </cell>
          <cell r="K184" t="str">
            <v>الرياض</v>
          </cell>
          <cell r="L184" t="str">
            <v>العنود</v>
          </cell>
          <cell r="O184" t="str">
            <v>0582840488</v>
          </cell>
        </row>
        <row r="185">
          <cell r="B185">
            <v>1177</v>
          </cell>
          <cell r="C185" t="str">
            <v>محفوظ ال رحمان</v>
          </cell>
          <cell r="D185">
            <v>2506547484</v>
          </cell>
          <cell r="E185" t="str">
            <v>بنجلاديش</v>
          </cell>
          <cell r="F185" t="str">
            <v>ذكر</v>
          </cell>
          <cell r="G185">
            <v>44735</v>
          </cell>
          <cell r="H185">
            <v>44735</v>
          </cell>
          <cell r="I185" t="str">
            <v>دوام كامل</v>
          </cell>
          <cell r="J185" t="str">
            <v>عامل نظافة</v>
          </cell>
          <cell r="K185" t="str">
            <v>الرياض</v>
          </cell>
          <cell r="L185" t="str">
            <v>هاينس</v>
          </cell>
          <cell r="O185" t="str">
            <v>0573366943</v>
          </cell>
        </row>
        <row r="186">
          <cell r="B186">
            <v>1178</v>
          </cell>
          <cell r="C186" t="str">
            <v>محمد حمود محمد علي الراعي</v>
          </cell>
          <cell r="D186">
            <v>2508510282</v>
          </cell>
          <cell r="E186" t="str">
            <v>اليمن</v>
          </cell>
          <cell r="F186" t="str">
            <v>ذكر</v>
          </cell>
          <cell r="G186">
            <v>44738</v>
          </cell>
          <cell r="H186">
            <v>44738</v>
          </cell>
          <cell r="I186" t="str">
            <v>دوام كامل</v>
          </cell>
          <cell r="J186" t="str">
            <v>سائق</v>
          </cell>
          <cell r="K186" t="str">
            <v>الرياض</v>
          </cell>
          <cell r="L186" t="str">
            <v>جملة ريال البركة</v>
          </cell>
          <cell r="O186" t="str">
            <v>0500533812</v>
          </cell>
        </row>
        <row r="187">
          <cell r="B187">
            <v>1179</v>
          </cell>
          <cell r="C187" t="str">
            <v>عبد المجيد الدخيل</v>
          </cell>
          <cell r="D187">
            <v>1120032790</v>
          </cell>
          <cell r="E187" t="str">
            <v>سعودي</v>
          </cell>
          <cell r="F187" t="str">
            <v>ذكر</v>
          </cell>
          <cell r="G187">
            <v>44741</v>
          </cell>
          <cell r="H187">
            <v>44741</v>
          </cell>
          <cell r="I187" t="str">
            <v>دوام كامل</v>
          </cell>
          <cell r="J187" t="str">
            <v>كاشير</v>
          </cell>
          <cell r="K187" t="str">
            <v>الرياض</v>
          </cell>
          <cell r="L187" t="str">
            <v>المصيف</v>
          </cell>
          <cell r="M187" t="str">
            <v>إستقالة</v>
          </cell>
          <cell r="N187">
            <v>44786</v>
          </cell>
          <cell r="O187" t="e">
            <v>#N/A</v>
          </cell>
        </row>
        <row r="188">
          <cell r="B188">
            <v>1180</v>
          </cell>
          <cell r="C188" t="str">
            <v>محمد عبدالعزيز علي المحيمد</v>
          </cell>
          <cell r="D188">
            <v>1123833046</v>
          </cell>
          <cell r="E188" t="str">
            <v>سعودي</v>
          </cell>
          <cell r="F188" t="str">
            <v>ذكر</v>
          </cell>
          <cell r="G188">
            <v>44755</v>
          </cell>
          <cell r="H188">
            <v>44755</v>
          </cell>
          <cell r="I188" t="str">
            <v>دوام كامل</v>
          </cell>
          <cell r="J188" t="str">
            <v>كاشير</v>
          </cell>
          <cell r="K188" t="str">
            <v>الرياض</v>
          </cell>
          <cell r="L188" t="str">
            <v>النسيم</v>
          </cell>
          <cell r="M188" t="str">
            <v>إستقالة</v>
          </cell>
          <cell r="N188" t="str">
            <v>28/09/2022</v>
          </cell>
          <cell r="O188" t="e">
            <v>#N/A</v>
          </cell>
        </row>
        <row r="189">
          <cell r="B189">
            <v>1181</v>
          </cell>
          <cell r="C189" t="str">
            <v>أحمد سليمان محمد عبد المنعم</v>
          </cell>
          <cell r="D189">
            <v>2375402035</v>
          </cell>
          <cell r="E189" t="str">
            <v>مصر</v>
          </cell>
          <cell r="F189" t="str">
            <v>ذكر</v>
          </cell>
          <cell r="G189">
            <v>44755</v>
          </cell>
          <cell r="H189">
            <v>44755</v>
          </cell>
          <cell r="I189" t="str">
            <v>دوام كامل</v>
          </cell>
          <cell r="J189" t="str">
            <v>أخصائي موارد بشرية</v>
          </cell>
          <cell r="K189" t="str">
            <v>الرياض</v>
          </cell>
          <cell r="L189" t="str">
            <v>وكالة ممكن</v>
          </cell>
          <cell r="O189" t="str">
            <v>0530984052</v>
          </cell>
        </row>
        <row r="190">
          <cell r="B190">
            <v>1182</v>
          </cell>
          <cell r="C190" t="str">
            <v>مد زكريا مد ربي الله</v>
          </cell>
          <cell r="D190">
            <v>2438036549</v>
          </cell>
          <cell r="E190" t="str">
            <v>بنجلاديش</v>
          </cell>
          <cell r="F190" t="str">
            <v>ذكر</v>
          </cell>
          <cell r="G190">
            <v>44755</v>
          </cell>
          <cell r="I190" t="str">
            <v>دوام كامل</v>
          </cell>
          <cell r="J190" t="str">
            <v>عامل</v>
          </cell>
          <cell r="K190" t="str">
            <v>الرياض</v>
          </cell>
          <cell r="L190" t="str">
            <v>الدائري الغربي</v>
          </cell>
          <cell r="O190" t="str">
            <v>0578680672</v>
          </cell>
        </row>
        <row r="191">
          <cell r="B191">
            <v>1183</v>
          </cell>
          <cell r="C191" t="str">
            <v>زكرياء تعلي</v>
          </cell>
          <cell r="D191">
            <v>2525764342</v>
          </cell>
          <cell r="E191" t="str">
            <v>المغرب</v>
          </cell>
          <cell r="F191" t="str">
            <v>ذكر</v>
          </cell>
          <cell r="G191">
            <v>44758</v>
          </cell>
          <cell r="H191">
            <v>44758</v>
          </cell>
          <cell r="I191" t="str">
            <v>دوام كامل</v>
          </cell>
          <cell r="J191" t="str">
            <v>صائع حلويات</v>
          </cell>
          <cell r="K191" t="str">
            <v>الرياض</v>
          </cell>
          <cell r="L191" t="str">
            <v>هاينس</v>
          </cell>
          <cell r="O191" t="str">
            <v>0532949673</v>
          </cell>
        </row>
        <row r="192">
          <cell r="B192">
            <v>1184</v>
          </cell>
          <cell r="C192" t="str">
            <v>يوسف ناجي حزام فازع</v>
          </cell>
          <cell r="D192">
            <v>2517808057</v>
          </cell>
          <cell r="E192" t="str">
            <v>اليمن</v>
          </cell>
          <cell r="F192" t="str">
            <v>ذكر</v>
          </cell>
          <cell r="G192">
            <v>44762</v>
          </cell>
          <cell r="H192">
            <v>44762</v>
          </cell>
          <cell r="I192" t="str">
            <v>دوام كامل</v>
          </cell>
          <cell r="J192" t="str">
            <v>مصمم جرافيك</v>
          </cell>
          <cell r="K192" t="str">
            <v>الرياض</v>
          </cell>
          <cell r="L192" t="str">
            <v>وكالة ممكن</v>
          </cell>
          <cell r="O192" t="str">
            <v>0570333542</v>
          </cell>
        </row>
        <row r="193">
          <cell r="B193">
            <v>1185</v>
          </cell>
          <cell r="C193" t="str">
            <v>سيف الدين مصطفي معوض محمد</v>
          </cell>
          <cell r="D193">
            <v>2484780040</v>
          </cell>
          <cell r="E193" t="str">
            <v>مصر</v>
          </cell>
          <cell r="F193" t="str">
            <v>ذكر</v>
          </cell>
          <cell r="G193">
            <v>44762</v>
          </cell>
          <cell r="H193">
            <v>44902</v>
          </cell>
          <cell r="I193" t="str">
            <v>دوام كامل</v>
          </cell>
          <cell r="J193" t="str">
            <v>مدير التسويق</v>
          </cell>
          <cell r="K193" t="str">
            <v>الرياض</v>
          </cell>
          <cell r="L193" t="str">
            <v>وكالة ممكن</v>
          </cell>
          <cell r="O193" t="str">
            <v>0549040268</v>
          </cell>
        </row>
        <row r="194">
          <cell r="B194">
            <v>1186</v>
          </cell>
          <cell r="C194" t="str">
            <v>ميد أنعام ال حقي</v>
          </cell>
          <cell r="D194">
            <v>2493363184</v>
          </cell>
          <cell r="E194" t="str">
            <v>بنجلاديش</v>
          </cell>
          <cell r="F194" t="str">
            <v>ذكر</v>
          </cell>
          <cell r="G194">
            <v>44768</v>
          </cell>
          <cell r="H194">
            <v>44768</v>
          </cell>
          <cell r="I194" t="str">
            <v>دوام كامل</v>
          </cell>
          <cell r="J194" t="str">
            <v>عامل عادي</v>
          </cell>
          <cell r="K194" t="str">
            <v>الرياض</v>
          </cell>
          <cell r="L194" t="str">
            <v>هاينس</v>
          </cell>
          <cell r="O194" t="str">
            <v>0573366943</v>
          </cell>
        </row>
        <row r="195">
          <cell r="B195">
            <v>1187</v>
          </cell>
          <cell r="C195" t="str">
            <v>مد إبراهيم هارون رشيد</v>
          </cell>
          <cell r="D195">
            <v>2516497266</v>
          </cell>
          <cell r="E195" t="str">
            <v>بنجلاديش</v>
          </cell>
          <cell r="F195" t="str">
            <v>ذكر</v>
          </cell>
          <cell r="G195">
            <v>44768</v>
          </cell>
          <cell r="H195">
            <v>44768</v>
          </cell>
          <cell r="I195" t="str">
            <v>دوام كامل</v>
          </cell>
          <cell r="J195" t="str">
            <v>عامل عادي</v>
          </cell>
          <cell r="K195" t="str">
            <v>الرياض</v>
          </cell>
          <cell r="L195" t="str">
            <v>هاينس</v>
          </cell>
          <cell r="O195" t="str">
            <v>0531647172</v>
          </cell>
        </row>
        <row r="196">
          <cell r="B196">
            <v>1188</v>
          </cell>
          <cell r="C196" t="str">
            <v>نازميل حسين حسين حسين</v>
          </cell>
          <cell r="D196">
            <v>2508788656</v>
          </cell>
          <cell r="E196" t="str">
            <v>بنجلاديش</v>
          </cell>
          <cell r="F196" t="str">
            <v>ذكر</v>
          </cell>
          <cell r="G196">
            <v>44768</v>
          </cell>
          <cell r="H196">
            <v>44768</v>
          </cell>
          <cell r="I196" t="str">
            <v>دوام كامل</v>
          </cell>
          <cell r="J196" t="str">
            <v>عامل عادي</v>
          </cell>
          <cell r="K196" t="str">
            <v>الرياض</v>
          </cell>
          <cell r="L196" t="str">
            <v>المصيف</v>
          </cell>
          <cell r="O196" t="str">
            <v>0576687863</v>
          </cell>
        </row>
        <row r="197">
          <cell r="B197">
            <v>1189</v>
          </cell>
          <cell r="C197" t="str">
            <v>مصعب سلطان عبدالرحمن الرزيحي</v>
          </cell>
          <cell r="D197">
            <v>1105768467</v>
          </cell>
          <cell r="E197" t="str">
            <v>سعودي</v>
          </cell>
          <cell r="F197" t="str">
            <v>ذكر</v>
          </cell>
          <cell r="G197">
            <v>44562</v>
          </cell>
          <cell r="I197" t="str">
            <v>عن بعد</v>
          </cell>
          <cell r="K197" t="str">
            <v>الرياض</v>
          </cell>
          <cell r="L197" t="str">
            <v>المالك</v>
          </cell>
          <cell r="O197" t="str">
            <v>0558077067</v>
          </cell>
        </row>
        <row r="198">
          <cell r="B198">
            <v>1190</v>
          </cell>
          <cell r="C198" t="str">
            <v>منصور آيت بنكوهية</v>
          </cell>
          <cell r="D198">
            <v>2503409639</v>
          </cell>
          <cell r="E198" t="str">
            <v>المغرب</v>
          </cell>
          <cell r="F198" t="str">
            <v>ذكر</v>
          </cell>
          <cell r="G198">
            <v>44770</v>
          </cell>
          <cell r="I198" t="str">
            <v>دوام كامل</v>
          </cell>
          <cell r="J198" t="str">
            <v>عامل مطعم</v>
          </cell>
          <cell r="K198" t="str">
            <v>الرياض</v>
          </cell>
          <cell r="L198" t="str">
            <v>هاينس</v>
          </cell>
          <cell r="N198" t="str">
            <v>2023/01/03</v>
          </cell>
          <cell r="O198" t="str">
            <v>0578657739</v>
          </cell>
        </row>
        <row r="199">
          <cell r="B199">
            <v>1191</v>
          </cell>
          <cell r="C199" t="str">
            <v>JASHIM UDDIN</v>
          </cell>
          <cell r="D199">
            <v>2487151835</v>
          </cell>
          <cell r="E199" t="str">
            <v>بنجلاديش</v>
          </cell>
          <cell r="F199" t="str">
            <v>ذكر</v>
          </cell>
          <cell r="G199">
            <v>44562</v>
          </cell>
          <cell r="H199">
            <v>44544</v>
          </cell>
          <cell r="I199" t="str">
            <v>دوام كامل</v>
          </cell>
          <cell r="J199" t="str">
            <v>سائق خاص</v>
          </cell>
          <cell r="K199" t="str">
            <v>الرياض</v>
          </cell>
          <cell r="L199" t="str">
            <v>المالك</v>
          </cell>
          <cell r="O199" t="str">
            <v>0572520564</v>
          </cell>
        </row>
        <row r="200">
          <cell r="B200">
            <v>1192</v>
          </cell>
          <cell r="C200" t="str">
            <v>JENNYLYN PAMISA VISORDE</v>
          </cell>
          <cell r="D200">
            <v>2502373844</v>
          </cell>
          <cell r="E200" t="str">
            <v>الفلبين</v>
          </cell>
          <cell r="F200" t="str">
            <v>أنثي</v>
          </cell>
          <cell r="G200">
            <v>44562</v>
          </cell>
          <cell r="I200" t="str">
            <v>دوام كامل</v>
          </cell>
          <cell r="J200" t="str">
            <v>عاملة منزلية</v>
          </cell>
          <cell r="K200" t="str">
            <v>الرياض</v>
          </cell>
          <cell r="L200" t="str">
            <v>المالك</v>
          </cell>
          <cell r="O200" t="str">
            <v/>
          </cell>
        </row>
        <row r="201">
          <cell r="B201">
            <v>1193</v>
          </cell>
          <cell r="C201" t="str">
            <v>طارق محمد محمد علوان الخضر</v>
          </cell>
          <cell r="D201">
            <v>2524767692</v>
          </cell>
          <cell r="E201" t="str">
            <v>اليمن</v>
          </cell>
          <cell r="F201" t="str">
            <v>ذكر</v>
          </cell>
          <cell r="G201">
            <v>44741</v>
          </cell>
          <cell r="I201" t="str">
            <v>دوام كامل</v>
          </cell>
          <cell r="J201" t="str">
            <v>محاسب</v>
          </cell>
          <cell r="K201" t="str">
            <v>الرياض</v>
          </cell>
          <cell r="L201" t="str">
            <v>ورشة أثاث</v>
          </cell>
          <cell r="O201" t="str">
            <v>0532850301</v>
          </cell>
        </row>
        <row r="202">
          <cell r="B202">
            <v>1194</v>
          </cell>
          <cell r="C202" t="str">
            <v>محمد عبدالله سعد آل مرعي الشهري</v>
          </cell>
          <cell r="D202">
            <v>1109408854</v>
          </cell>
          <cell r="E202" t="str">
            <v>سعودي</v>
          </cell>
          <cell r="F202" t="str">
            <v>ذكر</v>
          </cell>
          <cell r="G202">
            <v>44774</v>
          </cell>
          <cell r="I202" t="str">
            <v>دوام كامل</v>
          </cell>
          <cell r="J202" t="str">
            <v>صانع قهوة</v>
          </cell>
          <cell r="K202" t="str">
            <v>الرياض</v>
          </cell>
          <cell r="L202" t="str">
            <v>هاينس</v>
          </cell>
          <cell r="M202" t="str">
            <v>إستقالة</v>
          </cell>
          <cell r="N202" t="str">
            <v>2022/10/23</v>
          </cell>
          <cell r="O202" t="e">
            <v>#N/A</v>
          </cell>
        </row>
        <row r="203">
          <cell r="B203">
            <v>1195</v>
          </cell>
          <cell r="C203" t="str">
            <v>فهد محمد نايف الميموني المطيري</v>
          </cell>
          <cell r="D203">
            <v>1115522581</v>
          </cell>
          <cell r="E203" t="str">
            <v>سعودي</v>
          </cell>
          <cell r="F203" t="str">
            <v>ذكر</v>
          </cell>
          <cell r="G203">
            <v>44774</v>
          </cell>
          <cell r="I203" t="str">
            <v>دوام كامل</v>
          </cell>
          <cell r="J203" t="str">
            <v>بائع مؤكولات ومشروبات</v>
          </cell>
          <cell r="K203" t="str">
            <v>الرياض</v>
          </cell>
          <cell r="L203" t="str">
            <v>هاينس</v>
          </cell>
          <cell r="O203" t="str">
            <v>0536720677</v>
          </cell>
        </row>
        <row r="204">
          <cell r="B204">
            <v>1196</v>
          </cell>
          <cell r="C204" t="str">
            <v>عبد الله عبد العزيز محمد السويح</v>
          </cell>
          <cell r="D204">
            <v>1108766666</v>
          </cell>
          <cell r="E204" t="str">
            <v>سعودي</v>
          </cell>
          <cell r="F204" t="str">
            <v>ذكر</v>
          </cell>
          <cell r="G204">
            <v>44774</v>
          </cell>
          <cell r="I204" t="str">
            <v>دوام كامل</v>
          </cell>
          <cell r="J204" t="str">
            <v>بائع مؤكولات ومشروبات</v>
          </cell>
          <cell r="K204" t="str">
            <v>الرياض</v>
          </cell>
          <cell r="L204" t="str">
            <v>هاينس</v>
          </cell>
          <cell r="M204" t="str">
            <v>إستقالة</v>
          </cell>
          <cell r="O204" t="str">
            <v>0595670155</v>
          </cell>
        </row>
        <row r="205">
          <cell r="B205">
            <v>1197</v>
          </cell>
          <cell r="C205" t="str">
            <v>محمد مطلق نائف النفيعي العتيبي</v>
          </cell>
          <cell r="D205">
            <v>1118122355</v>
          </cell>
          <cell r="E205" t="str">
            <v>سعودي</v>
          </cell>
          <cell r="F205" t="str">
            <v>ذكر</v>
          </cell>
          <cell r="G205">
            <v>44774</v>
          </cell>
          <cell r="I205" t="str">
            <v>دوام كامل</v>
          </cell>
          <cell r="J205" t="str">
            <v>بائع مؤكولات ومشروبات</v>
          </cell>
          <cell r="K205" t="str">
            <v>الرياض</v>
          </cell>
          <cell r="L205" t="str">
            <v>هاينس</v>
          </cell>
          <cell r="O205" t="str">
            <v>0503088133</v>
          </cell>
        </row>
        <row r="206">
          <cell r="B206">
            <v>1198</v>
          </cell>
          <cell r="C206" t="str">
            <v>عبد المجيد هاني سعد الهباد</v>
          </cell>
          <cell r="D206">
            <v>1111126049</v>
          </cell>
          <cell r="E206" t="str">
            <v>سعودي</v>
          </cell>
          <cell r="F206" t="str">
            <v>ذكر</v>
          </cell>
          <cell r="G206">
            <v>44774</v>
          </cell>
          <cell r="I206" t="str">
            <v>دوام كامل</v>
          </cell>
          <cell r="J206" t="str">
            <v>بائع مؤكولات ومشروبات</v>
          </cell>
          <cell r="K206" t="str">
            <v>الرياض</v>
          </cell>
          <cell r="L206" t="str">
            <v>هاينس</v>
          </cell>
          <cell r="M206" t="str">
            <v>إستقالة</v>
          </cell>
          <cell r="N206">
            <v>44916</v>
          </cell>
          <cell r="O206" t="e">
            <v>#N/A</v>
          </cell>
        </row>
        <row r="207">
          <cell r="B207">
            <v>1199</v>
          </cell>
          <cell r="C207" t="str">
            <v>سعد خالد عبدالله العنزان</v>
          </cell>
          <cell r="D207">
            <v>1115727578</v>
          </cell>
          <cell r="E207" t="str">
            <v>سعودي</v>
          </cell>
          <cell r="F207" t="str">
            <v>ذكر</v>
          </cell>
          <cell r="G207">
            <v>44774</v>
          </cell>
          <cell r="I207" t="str">
            <v>دوام كامل</v>
          </cell>
          <cell r="J207" t="str">
            <v>بائع مؤكولات ومشروبات</v>
          </cell>
          <cell r="K207" t="str">
            <v>الرياض</v>
          </cell>
          <cell r="L207" t="str">
            <v>هاينس</v>
          </cell>
          <cell r="M207" t="str">
            <v>انهاء فترة التجربة</v>
          </cell>
          <cell r="O207" t="e">
            <v>#N/A</v>
          </cell>
        </row>
        <row r="208">
          <cell r="B208">
            <v>1200</v>
          </cell>
          <cell r="C208" t="str">
            <v>راشد فهد راشد صبيح</v>
          </cell>
          <cell r="D208">
            <v>1099291922</v>
          </cell>
          <cell r="E208" t="str">
            <v>سعودي</v>
          </cell>
          <cell r="F208" t="str">
            <v>ذكر</v>
          </cell>
          <cell r="G208">
            <v>44774</v>
          </cell>
          <cell r="I208" t="str">
            <v>دوام كامل</v>
          </cell>
          <cell r="J208" t="str">
            <v>بائع مؤكولات ومشروبات</v>
          </cell>
          <cell r="K208" t="str">
            <v>الرياض</v>
          </cell>
          <cell r="L208" t="str">
            <v>هاينس</v>
          </cell>
          <cell r="M208" t="str">
            <v>انهاء فترة التجربة</v>
          </cell>
          <cell r="O208" t="e">
            <v>#N/A</v>
          </cell>
        </row>
        <row r="209">
          <cell r="B209">
            <v>1201</v>
          </cell>
          <cell r="C209" t="str">
            <v>جاسم عبدالكريم محمد قميش</v>
          </cell>
          <cell r="D209">
            <v>1124287820</v>
          </cell>
          <cell r="E209" t="str">
            <v>سعودي</v>
          </cell>
          <cell r="F209" t="str">
            <v>ذكر</v>
          </cell>
          <cell r="G209">
            <v>44774</v>
          </cell>
          <cell r="I209" t="str">
            <v>دوام كامل</v>
          </cell>
          <cell r="J209" t="str">
            <v>بائع مؤكولات ومشروبات</v>
          </cell>
          <cell r="K209" t="str">
            <v>الرياض</v>
          </cell>
          <cell r="L209" t="str">
            <v>هاينس</v>
          </cell>
          <cell r="O209" t="str">
            <v>0544694507</v>
          </cell>
        </row>
        <row r="210">
          <cell r="B210">
            <v>1202</v>
          </cell>
          <cell r="C210" t="str">
            <v>اثير إبراهيم سعود العبودي</v>
          </cell>
          <cell r="D210">
            <v>1085265286</v>
          </cell>
          <cell r="E210" t="str">
            <v>سعودي</v>
          </cell>
          <cell r="F210" t="str">
            <v>أنثي</v>
          </cell>
          <cell r="G210">
            <v>44783</v>
          </cell>
          <cell r="I210" t="str">
            <v>دوام كامل</v>
          </cell>
          <cell r="J210" t="str">
            <v>أخصائي تسويق</v>
          </cell>
          <cell r="K210" t="str">
            <v>الرياض</v>
          </cell>
          <cell r="L210" t="str">
            <v>الإدارة</v>
          </cell>
          <cell r="M210" t="str">
            <v>إستقالة</v>
          </cell>
          <cell r="N210">
            <v>45071</v>
          </cell>
          <cell r="O210" t="str">
            <v>0508414606</v>
          </cell>
        </row>
        <row r="211">
          <cell r="B211">
            <v>1203</v>
          </cell>
          <cell r="C211" t="str">
            <v>منال عبدالعزيز ابراهيم الطلاسي</v>
          </cell>
          <cell r="D211">
            <v>1034177665</v>
          </cell>
          <cell r="E211" t="str">
            <v>سعودي</v>
          </cell>
          <cell r="F211" t="str">
            <v>أنثي</v>
          </cell>
          <cell r="G211">
            <v>44783</v>
          </cell>
          <cell r="I211" t="str">
            <v>عن بعد</v>
          </cell>
          <cell r="J211" t="str">
            <v>أخصائي تسويق</v>
          </cell>
          <cell r="K211" t="str">
            <v>الرياض</v>
          </cell>
          <cell r="L211" t="str">
            <v>الإدارة</v>
          </cell>
          <cell r="O211" t="str">
            <v>0535592203</v>
          </cell>
        </row>
        <row r="212">
          <cell r="B212">
            <v>1204</v>
          </cell>
          <cell r="C212" t="str">
            <v>جهاد سعد محمد العشبي</v>
          </cell>
          <cell r="D212">
            <v>2502906254</v>
          </cell>
          <cell r="E212" t="str">
            <v>اليمن</v>
          </cell>
          <cell r="F212" t="str">
            <v>ذكر</v>
          </cell>
          <cell r="G212">
            <v>44756</v>
          </cell>
          <cell r="I212" t="str">
            <v>دوام كامل</v>
          </cell>
          <cell r="J212" t="str">
            <v>مشرف انتاج</v>
          </cell>
          <cell r="K212" t="str">
            <v>الرياض</v>
          </cell>
          <cell r="L212" t="str">
            <v>ورشة أثاث</v>
          </cell>
          <cell r="O212" t="str">
            <v>0501903280</v>
          </cell>
        </row>
        <row r="213">
          <cell r="B213">
            <v>1205</v>
          </cell>
          <cell r="C213" t="str">
            <v>هاني ناجي علي محمد عثمان</v>
          </cell>
          <cell r="D213">
            <v>2509929374</v>
          </cell>
          <cell r="E213" t="str">
            <v>اليمن</v>
          </cell>
          <cell r="F213" t="str">
            <v>ذكر</v>
          </cell>
          <cell r="G213">
            <v>44625</v>
          </cell>
          <cell r="I213" t="str">
            <v>تحت التجربة</v>
          </cell>
          <cell r="J213" t="str">
            <v>عامل</v>
          </cell>
          <cell r="K213" t="str">
            <v>الرياض</v>
          </cell>
          <cell r="L213" t="str">
            <v>ورشة أثاث</v>
          </cell>
          <cell r="O213" t="str">
            <v>0501197818</v>
          </cell>
        </row>
        <row r="214">
          <cell r="B214">
            <v>1206</v>
          </cell>
          <cell r="C214" t="str">
            <v>حسين علي محمد علي</v>
          </cell>
          <cell r="D214">
            <v>2444716753</v>
          </cell>
          <cell r="E214" t="str">
            <v>اليمن</v>
          </cell>
          <cell r="F214" t="str">
            <v>ذكر</v>
          </cell>
          <cell r="G214">
            <v>44621</v>
          </cell>
          <cell r="I214" t="str">
            <v>دوام كامل</v>
          </cell>
          <cell r="J214" t="str">
            <v>عامل</v>
          </cell>
          <cell r="K214" t="str">
            <v>الرياض</v>
          </cell>
          <cell r="L214" t="str">
            <v>ورشة أثاث</v>
          </cell>
          <cell r="O214" t="str">
            <v>0504889181</v>
          </cell>
        </row>
        <row r="215">
          <cell r="B215">
            <v>1207</v>
          </cell>
          <cell r="C215" t="str">
            <v>زياد شايف عبدالله عبده</v>
          </cell>
          <cell r="D215">
            <v>2364817763</v>
          </cell>
          <cell r="E215" t="str">
            <v>اليمن</v>
          </cell>
          <cell r="F215" t="str">
            <v>ذكر</v>
          </cell>
          <cell r="G215">
            <v>44722</v>
          </cell>
          <cell r="I215" t="str">
            <v>تحت التجربة</v>
          </cell>
          <cell r="J215" t="str">
            <v>مساعد نجار</v>
          </cell>
          <cell r="K215" t="str">
            <v>الرياض</v>
          </cell>
          <cell r="L215" t="str">
            <v>ورشة أثاث</v>
          </cell>
          <cell r="M215" t="str">
            <v>انهاء فترة التجربة</v>
          </cell>
          <cell r="N215" t="str">
            <v>2022/09/11</v>
          </cell>
          <cell r="O215" t="e">
            <v>#N/A</v>
          </cell>
        </row>
        <row r="216">
          <cell r="B216">
            <v>1208</v>
          </cell>
          <cell r="C216" t="str">
            <v>عبد الاله محسن هزاع ناجي</v>
          </cell>
          <cell r="D216">
            <v>2508377971</v>
          </cell>
          <cell r="E216" t="str">
            <v>اليمن</v>
          </cell>
          <cell r="F216" t="str">
            <v>ذكر</v>
          </cell>
          <cell r="G216">
            <v>44777</v>
          </cell>
          <cell r="I216" t="str">
            <v>دوام كامل</v>
          </cell>
          <cell r="J216" t="str">
            <v>عامل</v>
          </cell>
          <cell r="K216" t="str">
            <v>الرياض</v>
          </cell>
          <cell r="L216" t="str">
            <v>ورشة أثاث</v>
          </cell>
          <cell r="O216" t="str">
            <v>0571825723</v>
          </cell>
        </row>
        <row r="217">
          <cell r="B217">
            <v>1209</v>
          </cell>
          <cell r="C217" t="str">
            <v>بكر عثمان صالح الرعدي</v>
          </cell>
          <cell r="D217">
            <v>2465122766</v>
          </cell>
          <cell r="E217" t="str">
            <v>اليمن</v>
          </cell>
          <cell r="F217" t="str">
            <v>ذكر</v>
          </cell>
          <cell r="G217">
            <v>44606</v>
          </cell>
          <cell r="I217" t="str">
            <v>تحت التجربة</v>
          </cell>
          <cell r="J217" t="str">
            <v>معلم نجارة</v>
          </cell>
          <cell r="K217" t="str">
            <v>الرياض</v>
          </cell>
          <cell r="L217" t="str">
            <v>ورشة أثاث</v>
          </cell>
          <cell r="M217" t="str">
            <v>انهاء فترة التجربة</v>
          </cell>
          <cell r="N217" t="str">
            <v>2022/09/24</v>
          </cell>
          <cell r="O217" t="e">
            <v>#N/A</v>
          </cell>
        </row>
        <row r="218">
          <cell r="B218">
            <v>1210</v>
          </cell>
          <cell r="C218" t="str">
            <v>محمد نجيب علي اليافعي</v>
          </cell>
          <cell r="D218">
            <v>2523643985</v>
          </cell>
          <cell r="E218" t="str">
            <v>اليمن</v>
          </cell>
          <cell r="F218" t="str">
            <v>ذكر</v>
          </cell>
          <cell r="G218">
            <v>44671</v>
          </cell>
          <cell r="I218" t="str">
            <v>تحت التجربة</v>
          </cell>
          <cell r="J218" t="str">
            <v>مساعد نجار</v>
          </cell>
          <cell r="K218" t="str">
            <v>الرياض</v>
          </cell>
          <cell r="L218" t="str">
            <v>ورشة أثاث</v>
          </cell>
          <cell r="O218" t="str">
            <v>0571945436</v>
          </cell>
        </row>
        <row r="219">
          <cell r="B219">
            <v>1211</v>
          </cell>
          <cell r="C219" t="str">
            <v>عبدالغفار الزمان</v>
          </cell>
          <cell r="D219">
            <v>2196506562</v>
          </cell>
          <cell r="E219" t="str">
            <v>بنجلاديش</v>
          </cell>
          <cell r="F219" t="str">
            <v>ذكر</v>
          </cell>
          <cell r="G219">
            <v>44581</v>
          </cell>
          <cell r="I219" t="str">
            <v>تحت التجربة</v>
          </cell>
          <cell r="J219" t="str">
            <v>معلم بوية</v>
          </cell>
          <cell r="K219" t="str">
            <v>الرياض</v>
          </cell>
          <cell r="L219" t="str">
            <v>ورشة أثاث</v>
          </cell>
          <cell r="M219" t="str">
            <v>انهاء التعاقد</v>
          </cell>
          <cell r="O219" t="e">
            <v>#N/A</v>
          </cell>
        </row>
        <row r="220">
          <cell r="B220">
            <v>1212</v>
          </cell>
          <cell r="C220" t="str">
            <v>خالد علي احمد الخطيب</v>
          </cell>
          <cell r="D220">
            <v>2306440112</v>
          </cell>
          <cell r="E220" t="str">
            <v>اليمن</v>
          </cell>
          <cell r="F220" t="str">
            <v>ذكر</v>
          </cell>
          <cell r="G220">
            <v>44576</v>
          </cell>
          <cell r="I220" t="str">
            <v>تحت التجربة</v>
          </cell>
          <cell r="J220" t="str">
            <v>عامل تشطيب</v>
          </cell>
          <cell r="K220" t="str">
            <v>الرياض</v>
          </cell>
          <cell r="L220" t="str">
            <v>ورشة أثاث</v>
          </cell>
          <cell r="O220" t="str">
            <v>0542073194</v>
          </cell>
        </row>
        <row r="221">
          <cell r="B221">
            <v>1213</v>
          </cell>
          <cell r="C221" t="str">
            <v>جميل يحي محسن عميسان</v>
          </cell>
          <cell r="D221">
            <v>2292393333</v>
          </cell>
          <cell r="E221" t="str">
            <v>اليمن</v>
          </cell>
          <cell r="F221" t="str">
            <v>ذكر</v>
          </cell>
          <cell r="G221">
            <v>44484</v>
          </cell>
          <cell r="I221" t="str">
            <v>عقد أجير</v>
          </cell>
          <cell r="J221" t="str">
            <v>مسؤول استلام الطلبيات</v>
          </cell>
          <cell r="K221" t="str">
            <v>الرياض</v>
          </cell>
          <cell r="L221" t="str">
            <v>ورشة أثاث</v>
          </cell>
          <cell r="O221" t="str">
            <v>0558619250</v>
          </cell>
        </row>
        <row r="222">
          <cell r="B222">
            <v>1214</v>
          </cell>
          <cell r="C222" t="str">
            <v>علاء أبو السعود محمد عبدالجواد</v>
          </cell>
          <cell r="D222">
            <v>2301534695</v>
          </cell>
          <cell r="E222" t="str">
            <v>اليمن</v>
          </cell>
          <cell r="F222" t="str">
            <v>ذكر</v>
          </cell>
          <cell r="G222">
            <v>44576</v>
          </cell>
          <cell r="I222" t="str">
            <v>تحت التجربة</v>
          </cell>
          <cell r="J222" t="str">
            <v>مندوب مشتريات</v>
          </cell>
          <cell r="K222" t="str">
            <v>الرياض</v>
          </cell>
          <cell r="L222" t="str">
            <v>ورشة أثاث</v>
          </cell>
          <cell r="O222" t="str">
            <v>0566468114</v>
          </cell>
        </row>
        <row r="223">
          <cell r="B223">
            <v>1215</v>
          </cell>
          <cell r="C223" t="str">
            <v>سكينة ناجي منصور الحرز</v>
          </cell>
          <cell r="D223">
            <v>1002997326</v>
          </cell>
          <cell r="E223" t="str">
            <v>سعودي</v>
          </cell>
          <cell r="F223" t="str">
            <v>أنثي</v>
          </cell>
          <cell r="G223">
            <v>44790</v>
          </cell>
          <cell r="I223" t="str">
            <v>دوام كامل</v>
          </cell>
          <cell r="J223" t="str">
            <v>أمين صندوق</v>
          </cell>
          <cell r="K223" t="str">
            <v>الدمام</v>
          </cell>
          <cell r="L223" t="str">
            <v>العنود</v>
          </cell>
          <cell r="O223" t="str">
            <v>0559283598</v>
          </cell>
        </row>
        <row r="224">
          <cell r="B224">
            <v>1216</v>
          </cell>
          <cell r="C224" t="str">
            <v>بسمه محمد يحيى هارون</v>
          </cell>
          <cell r="D224">
            <v>1106097734</v>
          </cell>
          <cell r="E224" t="str">
            <v>سعودي</v>
          </cell>
          <cell r="F224" t="str">
            <v>أنثي</v>
          </cell>
          <cell r="G224">
            <v>44778</v>
          </cell>
          <cell r="I224" t="str">
            <v>دوام كامل</v>
          </cell>
          <cell r="J224" t="str">
            <v>أمين صندوق</v>
          </cell>
          <cell r="K224" t="str">
            <v>الرياض</v>
          </cell>
          <cell r="L224" t="str">
            <v>الشفا</v>
          </cell>
          <cell r="M224" t="str">
            <v>إستقالة</v>
          </cell>
          <cell r="N224">
            <v>45077</v>
          </cell>
          <cell r="O224" t="str">
            <v/>
          </cell>
        </row>
        <row r="225">
          <cell r="B225">
            <v>1217</v>
          </cell>
          <cell r="C225" t="str">
            <v>وعد محمد سعد الدليل الدوسري</v>
          </cell>
          <cell r="D225">
            <v>1097861767</v>
          </cell>
          <cell r="E225" t="str">
            <v>سعودي</v>
          </cell>
          <cell r="F225" t="str">
            <v>أنثي</v>
          </cell>
          <cell r="G225">
            <v>44791</v>
          </cell>
          <cell r="I225" t="str">
            <v>دوام كامل</v>
          </cell>
          <cell r="J225" t="str">
            <v>أمين صندوق</v>
          </cell>
          <cell r="K225" t="str">
            <v>الرياض</v>
          </cell>
          <cell r="L225" t="str">
            <v>الشفا</v>
          </cell>
          <cell r="M225" t="str">
            <v>إستقالة</v>
          </cell>
          <cell r="N225">
            <v>44905</v>
          </cell>
          <cell r="O225" t="e">
            <v>#N/A</v>
          </cell>
        </row>
        <row r="226">
          <cell r="B226">
            <v>1218</v>
          </cell>
          <cell r="C226" t="str">
            <v>كليم حسين أي بي رشيد</v>
          </cell>
          <cell r="D226">
            <v>2523299143</v>
          </cell>
          <cell r="E226" t="str">
            <v>بنجلاديش</v>
          </cell>
          <cell r="F226" t="str">
            <v>ذكر</v>
          </cell>
          <cell r="G226">
            <v>44784</v>
          </cell>
          <cell r="I226" t="str">
            <v>دوام كامل</v>
          </cell>
          <cell r="J226" t="str">
            <v>عامل نظافة</v>
          </cell>
          <cell r="K226" t="str">
            <v>الرياض</v>
          </cell>
          <cell r="L226" t="str">
            <v>هاينس</v>
          </cell>
          <cell r="O226" t="str">
            <v>0573366943</v>
          </cell>
        </row>
        <row r="227">
          <cell r="B227">
            <v>1219</v>
          </cell>
          <cell r="C227" t="str">
            <v>جايد حسن</v>
          </cell>
          <cell r="D227">
            <v>2521145389</v>
          </cell>
          <cell r="E227" t="str">
            <v>بنجلاديش</v>
          </cell>
          <cell r="F227" t="str">
            <v>ذكر</v>
          </cell>
          <cell r="G227">
            <v>44792</v>
          </cell>
          <cell r="I227" t="str">
            <v>دوام كامل</v>
          </cell>
          <cell r="J227" t="str">
            <v>عامل نظافة</v>
          </cell>
          <cell r="K227" t="str">
            <v>الرياض</v>
          </cell>
          <cell r="L227" t="str">
            <v>هاينس</v>
          </cell>
          <cell r="O227" t="str">
            <v>0577349281</v>
          </cell>
        </row>
        <row r="228">
          <cell r="B228">
            <v>1220</v>
          </cell>
          <cell r="C228" t="str">
            <v>مد جمال أوسين</v>
          </cell>
          <cell r="D228">
            <v>2516365471</v>
          </cell>
          <cell r="E228" t="str">
            <v>بنجلاديش</v>
          </cell>
          <cell r="F228" t="str">
            <v>ذكر</v>
          </cell>
          <cell r="G228">
            <v>44790</v>
          </cell>
          <cell r="I228" t="str">
            <v>دوام كامل</v>
          </cell>
          <cell r="J228" t="str">
            <v>عامل نظافة</v>
          </cell>
          <cell r="K228" t="str">
            <v>الرياض</v>
          </cell>
          <cell r="L228" t="str">
            <v>هاينس</v>
          </cell>
          <cell r="O228" t="str">
            <v>0531635824</v>
          </cell>
        </row>
        <row r="229">
          <cell r="B229">
            <v>1221</v>
          </cell>
          <cell r="C229" t="str">
            <v>محمد طارق مد مياه</v>
          </cell>
          <cell r="D229">
            <v>2514860937</v>
          </cell>
          <cell r="E229" t="str">
            <v>بنجلاديش</v>
          </cell>
          <cell r="F229" t="str">
            <v>ذكر</v>
          </cell>
          <cell r="G229">
            <v>44792</v>
          </cell>
          <cell r="I229" t="str">
            <v>دوام كامل</v>
          </cell>
          <cell r="J229" t="str">
            <v>عامل نظافة</v>
          </cell>
          <cell r="K229" t="str">
            <v>الرياض</v>
          </cell>
          <cell r="L229" t="str">
            <v>هاينس</v>
          </cell>
          <cell r="O229" t="str">
            <v>0566420372</v>
          </cell>
        </row>
        <row r="230">
          <cell r="B230">
            <v>1222</v>
          </cell>
          <cell r="C230" t="str">
            <v>رافت رافت حسين حسين</v>
          </cell>
          <cell r="D230">
            <v>2522513858</v>
          </cell>
          <cell r="E230" t="str">
            <v>بنجلاديش</v>
          </cell>
          <cell r="F230" t="str">
            <v>ذكر</v>
          </cell>
          <cell r="G230">
            <v>44785</v>
          </cell>
          <cell r="I230" t="str">
            <v>دوام كامل</v>
          </cell>
          <cell r="J230" t="str">
            <v>عامل مطبخ</v>
          </cell>
          <cell r="K230" t="str">
            <v>الرياض</v>
          </cell>
          <cell r="L230" t="str">
            <v>هاينس</v>
          </cell>
          <cell r="O230" t="str">
            <v>0573366943</v>
          </cell>
        </row>
        <row r="231">
          <cell r="B231">
            <v>1223</v>
          </cell>
          <cell r="C231" t="str">
            <v>عبدالعزيز عبدالواحد لطف الشلفي</v>
          </cell>
          <cell r="D231">
            <v>2479933422</v>
          </cell>
          <cell r="E231" t="str">
            <v>اليمن</v>
          </cell>
          <cell r="F231" t="str">
            <v>ذكر</v>
          </cell>
          <cell r="G231">
            <v>44791</v>
          </cell>
          <cell r="I231" t="str">
            <v>دوام كامل</v>
          </cell>
          <cell r="J231" t="str">
            <v xml:space="preserve">سائق </v>
          </cell>
          <cell r="K231" t="str">
            <v>الرياض</v>
          </cell>
          <cell r="L231" t="str">
            <v>هاينس</v>
          </cell>
          <cell r="O231" t="str">
            <v>0551881952</v>
          </cell>
        </row>
        <row r="232">
          <cell r="B232">
            <v>1224</v>
          </cell>
          <cell r="C232" t="str">
            <v>بسمه عبدالعزيز عبدالله عون</v>
          </cell>
          <cell r="E232" t="str">
            <v>سعودي</v>
          </cell>
          <cell r="F232" t="str">
            <v>أنثي</v>
          </cell>
          <cell r="G232">
            <v>44778</v>
          </cell>
          <cell r="I232" t="str">
            <v>دوام كامل</v>
          </cell>
          <cell r="J232" t="str">
            <v>أمين صندوق</v>
          </cell>
          <cell r="K232" t="str">
            <v>الرياض</v>
          </cell>
          <cell r="L232" t="str">
            <v>الشفا</v>
          </cell>
          <cell r="M232" t="str">
            <v>إستقالة</v>
          </cell>
          <cell r="N232" t="str">
            <v>2022/08/09</v>
          </cell>
          <cell r="O232" t="e">
            <v>#N/A</v>
          </cell>
        </row>
        <row r="233">
          <cell r="B233">
            <v>1225</v>
          </cell>
          <cell r="C233" t="str">
            <v>غيداء سليمان صالح المريشد</v>
          </cell>
          <cell r="D233">
            <v>1117758530</v>
          </cell>
          <cell r="E233" t="str">
            <v>سعودي</v>
          </cell>
          <cell r="F233" t="str">
            <v>أنثي</v>
          </cell>
          <cell r="G233">
            <v>44774</v>
          </cell>
          <cell r="I233" t="str">
            <v>عن بعد</v>
          </cell>
          <cell r="J233" t="str">
            <v>تصوير منتجات</v>
          </cell>
          <cell r="K233" t="str">
            <v>الرياض</v>
          </cell>
          <cell r="L233" t="str">
            <v>وكالة ممكن</v>
          </cell>
          <cell r="O233" t="str">
            <v/>
          </cell>
        </row>
        <row r="234">
          <cell r="B234">
            <v>1226</v>
          </cell>
          <cell r="C234" t="str">
            <v xml:space="preserve">محمد المبارك ( أبو سامي) </v>
          </cell>
          <cell r="E234" t="str">
            <v>سعودي</v>
          </cell>
          <cell r="F234" t="str">
            <v>ذكر</v>
          </cell>
          <cell r="G234">
            <v>43466</v>
          </cell>
          <cell r="I234" t="str">
            <v>منتسب</v>
          </cell>
          <cell r="J234" t="str">
            <v>مدير فرع</v>
          </cell>
          <cell r="K234" t="str">
            <v>الرياض</v>
          </cell>
          <cell r="L234" t="str">
            <v>الشفا</v>
          </cell>
          <cell r="O234" t="str">
            <v/>
          </cell>
        </row>
        <row r="235">
          <cell r="B235">
            <v>1227</v>
          </cell>
          <cell r="C235" t="str">
            <v>محمد ريدوري</v>
          </cell>
          <cell r="D235">
            <v>2522194626</v>
          </cell>
          <cell r="E235" t="str">
            <v>بنجلاديش</v>
          </cell>
          <cell r="F235" t="str">
            <v>ذكر</v>
          </cell>
          <cell r="G235">
            <v>44794</v>
          </cell>
          <cell r="I235" t="str">
            <v>دوام كامل</v>
          </cell>
          <cell r="J235" t="str">
            <v>عامل مطبخ</v>
          </cell>
          <cell r="K235" t="str">
            <v>الرياض</v>
          </cell>
          <cell r="L235" t="str">
            <v>النسيم 2</v>
          </cell>
          <cell r="O235" t="str">
            <v>0573366943</v>
          </cell>
        </row>
        <row r="236">
          <cell r="B236">
            <v>1228</v>
          </cell>
          <cell r="C236" t="str">
            <v>مد تان</v>
          </cell>
          <cell r="D236">
            <v>2526581166</v>
          </cell>
          <cell r="E236" t="str">
            <v>بنجلاديش</v>
          </cell>
          <cell r="F236" t="str">
            <v>ذكر</v>
          </cell>
          <cell r="G236">
            <v>44796</v>
          </cell>
          <cell r="I236" t="str">
            <v>دوام كامل</v>
          </cell>
          <cell r="J236" t="str">
            <v>عامل مطبخ</v>
          </cell>
          <cell r="K236" t="str">
            <v>الرياض</v>
          </cell>
          <cell r="L236" t="str">
            <v>هاينس</v>
          </cell>
          <cell r="O236" t="str">
            <v>0573366943</v>
          </cell>
        </row>
        <row r="237">
          <cell r="B237">
            <v>1229</v>
          </cell>
          <cell r="C237" t="str">
            <v>عريف الرحمن</v>
          </cell>
          <cell r="D237">
            <v>2518494626</v>
          </cell>
          <cell r="E237" t="str">
            <v>بنجلاديش</v>
          </cell>
          <cell r="F237" t="str">
            <v>ذكر</v>
          </cell>
          <cell r="G237">
            <v>44794</v>
          </cell>
          <cell r="I237" t="str">
            <v>دوام كامل</v>
          </cell>
          <cell r="J237" t="str">
            <v>عامل مطبخ</v>
          </cell>
          <cell r="K237" t="str">
            <v>الرياض</v>
          </cell>
          <cell r="L237" t="str">
            <v>هاينس</v>
          </cell>
          <cell r="O237" t="str">
            <v>0573366943</v>
          </cell>
        </row>
        <row r="238">
          <cell r="B238">
            <v>1230</v>
          </cell>
          <cell r="C238" t="str">
            <v>رياض أوسين</v>
          </cell>
          <cell r="D238">
            <v>2525137192</v>
          </cell>
          <cell r="E238" t="str">
            <v>بنجلاديش</v>
          </cell>
          <cell r="F238" t="str">
            <v>ذكر</v>
          </cell>
          <cell r="G238">
            <v>44796</v>
          </cell>
          <cell r="I238" t="str">
            <v>دوام كامل</v>
          </cell>
          <cell r="J238" t="str">
            <v>عامل مطبخ</v>
          </cell>
          <cell r="K238" t="str">
            <v>الرياض</v>
          </cell>
          <cell r="L238" t="str">
            <v>هاينس</v>
          </cell>
          <cell r="O238" t="str">
            <v>0577920397</v>
          </cell>
        </row>
        <row r="239">
          <cell r="B239">
            <v>1231</v>
          </cell>
          <cell r="C239" t="str">
            <v>يعقوب نبي</v>
          </cell>
          <cell r="D239">
            <v>2521033999</v>
          </cell>
          <cell r="E239" t="str">
            <v>بنجلاديش</v>
          </cell>
          <cell r="F239" t="str">
            <v>ذكر</v>
          </cell>
          <cell r="G239">
            <v>44796</v>
          </cell>
          <cell r="I239" t="str">
            <v>دوام كامل</v>
          </cell>
          <cell r="J239" t="str">
            <v>عامل مطبخ</v>
          </cell>
          <cell r="K239" t="str">
            <v>الرياض</v>
          </cell>
          <cell r="L239" t="str">
            <v>هاينس</v>
          </cell>
          <cell r="O239" t="str">
            <v>0573366943</v>
          </cell>
        </row>
        <row r="240">
          <cell r="B240">
            <v>1232</v>
          </cell>
          <cell r="C240" t="str">
            <v>مسعود علام</v>
          </cell>
          <cell r="D240">
            <v>2522117650</v>
          </cell>
          <cell r="E240" t="str">
            <v>بنجلاديش</v>
          </cell>
          <cell r="F240" t="str">
            <v>ذكر</v>
          </cell>
          <cell r="G240">
            <v>44794</v>
          </cell>
          <cell r="I240" t="str">
            <v>دوام كامل</v>
          </cell>
          <cell r="J240" t="str">
            <v>عامل مطبخ</v>
          </cell>
          <cell r="K240" t="str">
            <v>الرياض</v>
          </cell>
          <cell r="L240" t="str">
            <v>هاينس</v>
          </cell>
          <cell r="O240" t="str">
            <v>0576250641</v>
          </cell>
        </row>
        <row r="241">
          <cell r="B241">
            <v>1233</v>
          </cell>
          <cell r="C241" t="str">
            <v>حبيب آل ارحمن</v>
          </cell>
          <cell r="D241">
            <v>2522117726</v>
          </cell>
          <cell r="E241" t="str">
            <v>بنجلاديش</v>
          </cell>
          <cell r="F241" t="str">
            <v>ذكر</v>
          </cell>
          <cell r="G241">
            <v>44794</v>
          </cell>
          <cell r="I241" t="str">
            <v>دوام كامل</v>
          </cell>
          <cell r="J241" t="str">
            <v>عامل مطبخ</v>
          </cell>
          <cell r="K241" t="str">
            <v>الرياض</v>
          </cell>
          <cell r="L241" t="str">
            <v>هاينس</v>
          </cell>
          <cell r="O241" t="str">
            <v>0539121735</v>
          </cell>
        </row>
        <row r="242">
          <cell r="B242">
            <v>1234</v>
          </cell>
          <cell r="C242" t="str">
            <v>فيصل عيضه عوض الوهبي المالكي</v>
          </cell>
          <cell r="D242">
            <v>1090338755</v>
          </cell>
          <cell r="E242" t="str">
            <v>سعودي</v>
          </cell>
          <cell r="F242" t="str">
            <v>ذكر</v>
          </cell>
          <cell r="G242">
            <v>44780</v>
          </cell>
          <cell r="I242" t="str">
            <v>دوام كامل</v>
          </cell>
          <cell r="J242" t="str">
            <v>أمين صندوق</v>
          </cell>
          <cell r="K242" t="str">
            <v>الرياض</v>
          </cell>
          <cell r="L242" t="str">
            <v>النسيم</v>
          </cell>
          <cell r="O242" t="str">
            <v>0507642672</v>
          </cell>
        </row>
        <row r="243">
          <cell r="B243">
            <v>1235</v>
          </cell>
          <cell r="C243" t="str">
            <v>محمد علي محمد الشطنان الرشيدي</v>
          </cell>
          <cell r="D243">
            <v>1111922827</v>
          </cell>
          <cell r="E243" t="str">
            <v>سعودي</v>
          </cell>
          <cell r="F243" t="str">
            <v>ذكر</v>
          </cell>
          <cell r="G243">
            <v>44787</v>
          </cell>
          <cell r="I243" t="str">
            <v>دوام كامل</v>
          </cell>
          <cell r="J243" t="str">
            <v>أمين صندوق</v>
          </cell>
          <cell r="K243" t="str">
            <v>الرياض</v>
          </cell>
          <cell r="L243" t="str">
            <v>المصيف</v>
          </cell>
          <cell r="M243" t="str">
            <v>إستقالة</v>
          </cell>
          <cell r="N243">
            <v>44877</v>
          </cell>
          <cell r="O243" t="e">
            <v>#N/A</v>
          </cell>
        </row>
        <row r="244">
          <cell r="B244">
            <v>1236</v>
          </cell>
          <cell r="C244" t="str">
            <v>بندر فيحان حمدي الشيباني العتيبي</v>
          </cell>
          <cell r="D244">
            <v>1123851683</v>
          </cell>
          <cell r="E244" t="str">
            <v>سعودي</v>
          </cell>
          <cell r="F244" t="str">
            <v>ذكر</v>
          </cell>
          <cell r="G244">
            <v>44788</v>
          </cell>
          <cell r="I244" t="str">
            <v>دوام كامل</v>
          </cell>
          <cell r="J244" t="str">
            <v>أمين صندوق</v>
          </cell>
          <cell r="K244" t="str">
            <v>الرياض</v>
          </cell>
          <cell r="L244" t="str">
            <v>اليرموك</v>
          </cell>
          <cell r="M244" t="str">
            <v>إستقالة</v>
          </cell>
          <cell r="N244">
            <v>44880</v>
          </cell>
          <cell r="O244" t="e">
            <v>#N/A</v>
          </cell>
        </row>
        <row r="245">
          <cell r="B245">
            <v>1237</v>
          </cell>
          <cell r="C245" t="str">
            <v>فاطمة إبراهيم حدور آل عيسى</v>
          </cell>
          <cell r="D245">
            <v>1082731298</v>
          </cell>
          <cell r="E245" t="str">
            <v>سعودي</v>
          </cell>
          <cell r="F245" t="str">
            <v>ذكر</v>
          </cell>
          <cell r="G245">
            <v>44797</v>
          </cell>
          <cell r="I245" t="str">
            <v>دوام كامل</v>
          </cell>
          <cell r="J245" t="str">
            <v>أمين صندوق</v>
          </cell>
          <cell r="K245" t="str">
            <v>الرياض</v>
          </cell>
          <cell r="L245" t="str">
            <v>الدائري الغربي</v>
          </cell>
          <cell r="O245" t="str">
            <v>0535213543</v>
          </cell>
        </row>
        <row r="246">
          <cell r="B246">
            <v>1238</v>
          </cell>
          <cell r="C246" t="str">
            <v>بكر عبد القادر محمد عبدالقوي</v>
          </cell>
          <cell r="D246">
            <v>2526518408</v>
          </cell>
          <cell r="E246" t="str">
            <v>اليمن</v>
          </cell>
          <cell r="F246" t="str">
            <v>ذكر</v>
          </cell>
          <cell r="G246">
            <v>44798</v>
          </cell>
          <cell r="I246" t="str">
            <v>تحت التجربة</v>
          </cell>
          <cell r="J246" t="str">
            <v>عامل</v>
          </cell>
          <cell r="K246" t="str">
            <v>الرياض</v>
          </cell>
          <cell r="L246" t="str">
            <v>اليرموك</v>
          </cell>
          <cell r="M246" t="str">
            <v>انهاء فترة التجربة</v>
          </cell>
          <cell r="O246" t="e">
            <v>#N/A</v>
          </cell>
        </row>
        <row r="247">
          <cell r="B247">
            <v>1239</v>
          </cell>
          <cell r="C247" t="str">
            <v>جابر محمد ناجي علي مراد</v>
          </cell>
          <cell r="D247">
            <v>2532058480</v>
          </cell>
          <cell r="E247" t="str">
            <v>اليمن</v>
          </cell>
          <cell r="F247" t="str">
            <v>ذكر</v>
          </cell>
          <cell r="G247">
            <v>44798</v>
          </cell>
          <cell r="I247" t="str">
            <v>دوام كامل</v>
          </cell>
          <cell r="J247" t="str">
            <v>عامل</v>
          </cell>
          <cell r="K247" t="str">
            <v>الرياض</v>
          </cell>
          <cell r="L247" t="str">
            <v>الشفا</v>
          </cell>
          <cell r="O247" t="str">
            <v>0590919657</v>
          </cell>
        </row>
        <row r="248">
          <cell r="B248">
            <v>1240</v>
          </cell>
          <cell r="C248" t="str">
            <v>كريم مجد علي عباس</v>
          </cell>
          <cell r="D248">
            <v>4803364852</v>
          </cell>
          <cell r="E248" t="str">
            <v>اليمن</v>
          </cell>
          <cell r="F248" t="str">
            <v>ذكر</v>
          </cell>
          <cell r="G248">
            <v>44788</v>
          </cell>
          <cell r="I248" t="str">
            <v>تحت التجربة</v>
          </cell>
          <cell r="J248" t="str">
            <v>حداد</v>
          </cell>
          <cell r="K248" t="str">
            <v>الرياض</v>
          </cell>
          <cell r="L248" t="str">
            <v>ورشة أثاث</v>
          </cell>
          <cell r="O248" t="str">
            <v/>
          </cell>
        </row>
        <row r="249">
          <cell r="B249">
            <v>1241</v>
          </cell>
          <cell r="C249" t="str">
            <v>خليل نجيب اليافعي</v>
          </cell>
          <cell r="E249" t="str">
            <v>اليمن</v>
          </cell>
          <cell r="F249" t="str">
            <v>ذكر</v>
          </cell>
          <cell r="G249">
            <v>44788</v>
          </cell>
          <cell r="I249" t="str">
            <v>تحت التجربة</v>
          </cell>
          <cell r="K249" t="str">
            <v>الرياض</v>
          </cell>
          <cell r="L249" t="str">
            <v>ورشة أثاث</v>
          </cell>
          <cell r="O249" t="str">
            <v/>
          </cell>
        </row>
        <row r="250">
          <cell r="B250">
            <v>1242</v>
          </cell>
          <cell r="C250" t="str">
            <v>فهد القحطاني</v>
          </cell>
          <cell r="E250" t="str">
            <v>سعودي</v>
          </cell>
          <cell r="F250" t="str">
            <v>ذكر</v>
          </cell>
          <cell r="I250" t="str">
            <v>شريك</v>
          </cell>
          <cell r="J250" t="str">
            <v>شريك</v>
          </cell>
          <cell r="K250" t="str">
            <v>الرياض</v>
          </cell>
          <cell r="L250" t="str">
            <v>ورشة أثاث</v>
          </cell>
          <cell r="M250" t="str">
            <v>انهاء التعاقد</v>
          </cell>
          <cell r="N250">
            <v>45010</v>
          </cell>
          <cell r="O250" t="e">
            <v>#N/A</v>
          </cell>
        </row>
        <row r="251">
          <cell r="B251">
            <v>1243</v>
          </cell>
          <cell r="C251" t="str">
            <v>مبارك عبدالله مبارك دليم</v>
          </cell>
          <cell r="D251">
            <v>1125701688</v>
          </cell>
          <cell r="E251" t="str">
            <v>سعودي</v>
          </cell>
          <cell r="F251" t="str">
            <v>ذكر</v>
          </cell>
          <cell r="G251">
            <v>44805</v>
          </cell>
          <cell r="I251" t="str">
            <v>دوام كامل</v>
          </cell>
          <cell r="J251" t="str">
            <v>بارستا</v>
          </cell>
          <cell r="K251" t="str">
            <v>الرياض</v>
          </cell>
          <cell r="L251" t="str">
            <v>هاينس</v>
          </cell>
          <cell r="M251" t="str">
            <v>إستقالة</v>
          </cell>
          <cell r="O251" t="str">
            <v>0500456165</v>
          </cell>
        </row>
        <row r="252">
          <cell r="B252">
            <v>1244</v>
          </cell>
          <cell r="C252" t="str">
            <v>عمر عبد القادر حسن</v>
          </cell>
          <cell r="E252" t="str">
            <v>مصر</v>
          </cell>
          <cell r="F252" t="str">
            <v>ذكر</v>
          </cell>
          <cell r="G252">
            <v>43831</v>
          </cell>
          <cell r="I252" t="str">
            <v>عن بعد</v>
          </cell>
          <cell r="J252" t="str">
            <v>مصمم جرافيك</v>
          </cell>
          <cell r="K252" t="str">
            <v>الدمام</v>
          </cell>
          <cell r="L252" t="str">
            <v>وكالة ممكن</v>
          </cell>
          <cell r="O252" t="str">
            <v>0501412949</v>
          </cell>
        </row>
        <row r="253">
          <cell r="B253">
            <v>1245</v>
          </cell>
          <cell r="C253" t="str">
            <v>منيرة عبدالرحمن صالح الفهيد الدوسري</v>
          </cell>
          <cell r="D253">
            <v>1118509171</v>
          </cell>
          <cell r="E253" t="str">
            <v>سعودي</v>
          </cell>
          <cell r="F253" t="str">
            <v>أنثي</v>
          </cell>
          <cell r="G253">
            <v>44805</v>
          </cell>
          <cell r="I253" t="str">
            <v>دوام كامل</v>
          </cell>
          <cell r="J253" t="str">
            <v>بائع مؤكولات ومشروبات</v>
          </cell>
          <cell r="K253" t="str">
            <v>الرياض</v>
          </cell>
          <cell r="L253" t="str">
            <v>هاينس</v>
          </cell>
          <cell r="M253" t="str">
            <v>انهاء فترة التجربة</v>
          </cell>
          <cell r="O253" t="e">
            <v>#N/A</v>
          </cell>
        </row>
        <row r="254">
          <cell r="B254">
            <v>1246</v>
          </cell>
          <cell r="C254" t="str">
            <v>رزان فهد راشد خثران</v>
          </cell>
          <cell r="D254">
            <v>1113682718</v>
          </cell>
          <cell r="E254" t="str">
            <v>سعودي</v>
          </cell>
          <cell r="F254" t="str">
            <v>أنثي</v>
          </cell>
          <cell r="G254">
            <v>44805</v>
          </cell>
          <cell r="I254" t="str">
            <v>دوام كامل</v>
          </cell>
          <cell r="J254" t="str">
            <v>بائع مؤكولات ومشروبات</v>
          </cell>
          <cell r="K254" t="str">
            <v>الرياض</v>
          </cell>
          <cell r="L254" t="str">
            <v>هاينس</v>
          </cell>
          <cell r="M254" t="str">
            <v>انهاء فترة التجربة</v>
          </cell>
          <cell r="O254" t="e">
            <v>#N/A</v>
          </cell>
        </row>
        <row r="255">
          <cell r="B255">
            <v>1247</v>
          </cell>
          <cell r="C255" t="str">
            <v>منيره دحيم مبارك آل صارم الدوسري</v>
          </cell>
          <cell r="D255">
            <v>1107063248</v>
          </cell>
          <cell r="E255" t="str">
            <v>سعودي</v>
          </cell>
          <cell r="F255" t="str">
            <v>أنثي</v>
          </cell>
          <cell r="G255">
            <v>44805</v>
          </cell>
          <cell r="I255" t="str">
            <v>دوام كامل</v>
          </cell>
          <cell r="J255" t="str">
            <v>بائع مؤكولات ومشروبات</v>
          </cell>
          <cell r="K255" t="str">
            <v>الرياض</v>
          </cell>
          <cell r="L255" t="str">
            <v>هاينس</v>
          </cell>
          <cell r="M255" t="str">
            <v>إستقالة</v>
          </cell>
          <cell r="N255" t="str">
            <v>2022/11/28</v>
          </cell>
          <cell r="O255" t="e">
            <v>#N/A</v>
          </cell>
        </row>
        <row r="256">
          <cell r="B256">
            <v>1248</v>
          </cell>
          <cell r="C256" t="str">
            <v>سعد محمد سعد الشبرمي</v>
          </cell>
          <cell r="D256">
            <v>1123794461</v>
          </cell>
          <cell r="E256" t="str">
            <v>سعودي</v>
          </cell>
          <cell r="F256" t="str">
            <v>ذكر</v>
          </cell>
          <cell r="G256">
            <v>44814</v>
          </cell>
          <cell r="I256" t="str">
            <v>دوام كامل</v>
          </cell>
          <cell r="J256" t="str">
            <v>أمين صندوق</v>
          </cell>
          <cell r="K256" t="str">
            <v>الرياض</v>
          </cell>
          <cell r="L256" t="str">
            <v>النسيم</v>
          </cell>
          <cell r="M256" t="str">
            <v>إستقالة</v>
          </cell>
          <cell r="N256" t="str">
            <v>2022/09/25</v>
          </cell>
          <cell r="O256" t="e">
            <v>#N/A</v>
          </cell>
        </row>
        <row r="257">
          <cell r="B257">
            <v>1249</v>
          </cell>
          <cell r="C257" t="str">
            <v>هديل مصبح</v>
          </cell>
          <cell r="E257" t="str">
            <v>فلسطين</v>
          </cell>
          <cell r="F257" t="str">
            <v>أنثي</v>
          </cell>
          <cell r="G257">
            <v>44536</v>
          </cell>
          <cell r="I257" t="str">
            <v>عن بعد</v>
          </cell>
          <cell r="J257" t="str">
            <v>كاتب محتوي</v>
          </cell>
          <cell r="K257" t="str">
            <v>الرياض</v>
          </cell>
          <cell r="L257" t="str">
            <v>وكالة ممكن</v>
          </cell>
          <cell r="M257" t="str">
            <v>انهاء التعاقد</v>
          </cell>
          <cell r="N257" t="str">
            <v>25/01/2023</v>
          </cell>
          <cell r="O257" t="e">
            <v>#N/A</v>
          </cell>
        </row>
        <row r="258">
          <cell r="B258">
            <v>1250</v>
          </cell>
          <cell r="C258" t="str">
            <v>ريناد العمري</v>
          </cell>
          <cell r="E258" t="str">
            <v>سعودي</v>
          </cell>
          <cell r="F258" t="str">
            <v>أنثي</v>
          </cell>
          <cell r="G258">
            <v>44656</v>
          </cell>
          <cell r="I258" t="str">
            <v>عن بعد</v>
          </cell>
          <cell r="J258" t="str">
            <v>مصور فيديو</v>
          </cell>
          <cell r="K258" t="str">
            <v>الرياض</v>
          </cell>
          <cell r="L258" t="str">
            <v>وكالة ممكن</v>
          </cell>
          <cell r="O258" t="str">
            <v>0509241902</v>
          </cell>
        </row>
        <row r="259">
          <cell r="B259">
            <v>1251</v>
          </cell>
          <cell r="C259" t="str">
            <v>أحمد السيد</v>
          </cell>
          <cell r="E259" t="str">
            <v>مصر</v>
          </cell>
          <cell r="F259" t="str">
            <v>ذكر</v>
          </cell>
          <cell r="G259">
            <v>44527</v>
          </cell>
          <cell r="I259" t="str">
            <v>عن بعد</v>
          </cell>
          <cell r="J259" t="str">
            <v>مصمم بوستات</v>
          </cell>
          <cell r="K259" t="str">
            <v>الرياض</v>
          </cell>
          <cell r="L259" t="str">
            <v>وكالة ممكن</v>
          </cell>
          <cell r="O259" t="str">
            <v>+201277800074</v>
          </cell>
        </row>
        <row r="260">
          <cell r="B260">
            <v>1252</v>
          </cell>
          <cell r="C260" t="str">
            <v>مد لامين</v>
          </cell>
          <cell r="D260">
            <v>2528211788</v>
          </cell>
          <cell r="E260" t="str">
            <v>بنجلاديش</v>
          </cell>
          <cell r="F260" t="str">
            <v>ذكر</v>
          </cell>
          <cell r="G260">
            <v>44817</v>
          </cell>
          <cell r="I260" t="str">
            <v>دوام كامل</v>
          </cell>
          <cell r="J260" t="str">
            <v>عامل</v>
          </cell>
          <cell r="K260" t="str">
            <v>الرياض</v>
          </cell>
          <cell r="L260" t="str">
            <v>هاينس</v>
          </cell>
          <cell r="O260" t="str">
            <v>0571961171</v>
          </cell>
        </row>
        <row r="261">
          <cell r="B261">
            <v>1253</v>
          </cell>
          <cell r="C261" t="str">
            <v>معاذ عبد العزيز عبد الواحد الشلفي</v>
          </cell>
          <cell r="E261" t="str">
            <v>اليمن</v>
          </cell>
          <cell r="F261" t="str">
            <v>ذكر</v>
          </cell>
          <cell r="G261">
            <v>44817</v>
          </cell>
          <cell r="I261" t="str">
            <v>دوام كامل</v>
          </cell>
          <cell r="J261" t="str">
            <v>عامل</v>
          </cell>
          <cell r="K261" t="str">
            <v>الرياض</v>
          </cell>
          <cell r="L261" t="str">
            <v>اليرموك</v>
          </cell>
          <cell r="M261" t="str">
            <v>انهاء فترة التجربة</v>
          </cell>
          <cell r="N261" t="str">
            <v>2022/10/10</v>
          </cell>
          <cell r="O261" t="e">
            <v>#N/A</v>
          </cell>
        </row>
        <row r="262">
          <cell r="B262">
            <v>1254</v>
          </cell>
          <cell r="C262" t="str">
            <v>نوف حسن عبدالله قعود</v>
          </cell>
          <cell r="D262">
            <v>1084424330</v>
          </cell>
          <cell r="E262" t="str">
            <v>سعودي</v>
          </cell>
          <cell r="F262" t="str">
            <v>أنثي</v>
          </cell>
          <cell r="G262">
            <v>44822</v>
          </cell>
          <cell r="I262" t="str">
            <v>عن بعد</v>
          </cell>
          <cell r="J262" t="str">
            <v>أخصائي تسويق</v>
          </cell>
          <cell r="K262" t="str">
            <v>الرياض</v>
          </cell>
          <cell r="L262" t="str">
            <v>الإدارة</v>
          </cell>
          <cell r="O262" t="str">
            <v>0552441986</v>
          </cell>
        </row>
        <row r="263">
          <cell r="B263">
            <v>1255</v>
          </cell>
          <cell r="C263" t="str">
            <v>فهد فيحان حمدي الشيباني العتيبي</v>
          </cell>
          <cell r="D263">
            <v>1123652461</v>
          </cell>
          <cell r="E263" t="str">
            <v>سعودي</v>
          </cell>
          <cell r="F263" t="str">
            <v>ذكر</v>
          </cell>
          <cell r="G263">
            <v>44822</v>
          </cell>
          <cell r="I263" t="str">
            <v>دوام كامل</v>
          </cell>
          <cell r="J263" t="str">
            <v>أمين صندوق</v>
          </cell>
          <cell r="K263" t="str">
            <v>الرياض</v>
          </cell>
          <cell r="L263" t="str">
            <v>النسيم</v>
          </cell>
          <cell r="M263" t="str">
            <v>إستقالة</v>
          </cell>
          <cell r="N263" t="str">
            <v>2022/10/16</v>
          </cell>
          <cell r="O263" t="e">
            <v>#N/A</v>
          </cell>
        </row>
        <row r="264">
          <cell r="B264">
            <v>1256</v>
          </cell>
          <cell r="C264" t="str">
            <v>فتون تركي مهدي ال سالم</v>
          </cell>
          <cell r="D264">
            <v>1087442123</v>
          </cell>
          <cell r="E264" t="str">
            <v>سعودي</v>
          </cell>
          <cell r="F264" t="str">
            <v>أنثي</v>
          </cell>
          <cell r="G264">
            <v>44823</v>
          </cell>
          <cell r="I264" t="str">
            <v>دوام كامل</v>
          </cell>
          <cell r="J264" t="str">
            <v>أمين صندوق</v>
          </cell>
          <cell r="K264" t="str">
            <v>الدمام</v>
          </cell>
          <cell r="L264" t="str">
            <v>العنود</v>
          </cell>
          <cell r="M264" t="str">
            <v>انهاء فترة التجربة</v>
          </cell>
          <cell r="O264" t="e">
            <v>#N/A</v>
          </cell>
        </row>
        <row r="265">
          <cell r="B265">
            <v>1257</v>
          </cell>
          <cell r="C265" t="str">
            <v>فيصل سعد عيظه سيلان</v>
          </cell>
          <cell r="D265">
            <v>2271917474</v>
          </cell>
          <cell r="E265" t="str">
            <v>اليمن</v>
          </cell>
          <cell r="F265" t="str">
            <v>ذكر</v>
          </cell>
          <cell r="G265">
            <v>44807</v>
          </cell>
          <cell r="I265" t="str">
            <v>دوام كامل</v>
          </cell>
          <cell r="J265" t="str">
            <v>مجهز حفلات</v>
          </cell>
          <cell r="K265" t="str">
            <v>الرياض</v>
          </cell>
          <cell r="L265" t="str">
            <v>هاينس</v>
          </cell>
          <cell r="M265" t="str">
            <v>انهاء فترة التجربة</v>
          </cell>
          <cell r="O265" t="e">
            <v>#N/A</v>
          </cell>
        </row>
        <row r="266">
          <cell r="B266">
            <v>1258</v>
          </cell>
          <cell r="C266" t="str">
            <v>نظم أل حسن</v>
          </cell>
          <cell r="D266">
            <v>4800198238</v>
          </cell>
          <cell r="E266" t="str">
            <v>بنجلاديش</v>
          </cell>
          <cell r="F266" t="str">
            <v>ذكر</v>
          </cell>
          <cell r="G266">
            <v>44822</v>
          </cell>
          <cell r="I266" t="str">
            <v>دوام كامل</v>
          </cell>
          <cell r="J266" t="str">
            <v>نادل</v>
          </cell>
          <cell r="K266" t="str">
            <v>الرياض</v>
          </cell>
          <cell r="L266" t="str">
            <v>هاينس</v>
          </cell>
          <cell r="O266" t="str">
            <v>0546968690</v>
          </cell>
        </row>
        <row r="267">
          <cell r="B267">
            <v>1259</v>
          </cell>
          <cell r="C267" t="str">
            <v xml:space="preserve">محمد كوثر </v>
          </cell>
          <cell r="D267">
            <v>2529330140</v>
          </cell>
          <cell r="E267" t="str">
            <v>بنجلاديش</v>
          </cell>
          <cell r="F267" t="str">
            <v>ذكر</v>
          </cell>
          <cell r="G267">
            <v>44821</v>
          </cell>
          <cell r="I267" t="str">
            <v>دوام كامل</v>
          </cell>
          <cell r="J267" t="str">
            <v>نادل</v>
          </cell>
          <cell r="K267" t="str">
            <v>الرياض</v>
          </cell>
          <cell r="L267" t="str">
            <v>هاينس</v>
          </cell>
          <cell r="O267" t="str">
            <v>0573366943</v>
          </cell>
        </row>
        <row r="268">
          <cell r="B268">
            <v>1260</v>
          </cell>
          <cell r="C268" t="str">
            <v>محمود حسن</v>
          </cell>
          <cell r="D268">
            <v>2527261222</v>
          </cell>
          <cell r="E268" t="str">
            <v>بنجلاديش</v>
          </cell>
          <cell r="F268" t="str">
            <v>ذكر</v>
          </cell>
          <cell r="G268">
            <v>44822</v>
          </cell>
          <cell r="I268" t="str">
            <v>دوام كامل</v>
          </cell>
          <cell r="J268" t="str">
            <v>نادل</v>
          </cell>
          <cell r="K268" t="str">
            <v>الرياض</v>
          </cell>
          <cell r="L268" t="str">
            <v>هاينس</v>
          </cell>
          <cell r="O268" t="str">
            <v>0573366943</v>
          </cell>
        </row>
        <row r="269">
          <cell r="B269">
            <v>1261</v>
          </cell>
          <cell r="C269" t="str">
            <v>مد طارق</v>
          </cell>
          <cell r="D269">
            <v>2529318855</v>
          </cell>
          <cell r="E269" t="str">
            <v>بنجلاديش</v>
          </cell>
          <cell r="F269" t="str">
            <v>ذكر</v>
          </cell>
          <cell r="G269">
            <v>44821</v>
          </cell>
          <cell r="I269" t="str">
            <v>دوام كامل</v>
          </cell>
          <cell r="J269" t="str">
            <v>نادل</v>
          </cell>
          <cell r="K269" t="str">
            <v>الرياض</v>
          </cell>
          <cell r="L269" t="str">
            <v>هاينس</v>
          </cell>
          <cell r="O269" t="str">
            <v>0541619157</v>
          </cell>
        </row>
        <row r="270">
          <cell r="B270">
            <v>1262</v>
          </cell>
          <cell r="C270" t="str">
            <v>غرام عبدالله ناصر الحداني العنزي</v>
          </cell>
          <cell r="D270">
            <v>1107354001</v>
          </cell>
          <cell r="E270" t="str">
            <v>سعودي</v>
          </cell>
          <cell r="F270" t="str">
            <v>أنثي</v>
          </cell>
          <cell r="G270">
            <v>44822</v>
          </cell>
          <cell r="I270" t="str">
            <v>دوام كامل</v>
          </cell>
          <cell r="J270" t="str">
            <v>بائع مؤكولات ومشروبات</v>
          </cell>
          <cell r="K270" t="str">
            <v>الرياض</v>
          </cell>
          <cell r="L270" t="str">
            <v>هاينس</v>
          </cell>
          <cell r="O270" t="str">
            <v>0553271281</v>
          </cell>
        </row>
        <row r="271">
          <cell r="B271">
            <v>1263</v>
          </cell>
          <cell r="C271" t="str">
            <v>شكيل كازي</v>
          </cell>
          <cell r="D271">
            <v>2529318863</v>
          </cell>
          <cell r="E271" t="str">
            <v>بنجلاديش</v>
          </cell>
          <cell r="F271" t="str">
            <v>ذكر</v>
          </cell>
          <cell r="G271">
            <v>44821</v>
          </cell>
          <cell r="I271" t="str">
            <v>دوام كامل</v>
          </cell>
          <cell r="J271" t="str">
            <v>نادل</v>
          </cell>
          <cell r="K271" t="str">
            <v>الرياض</v>
          </cell>
          <cell r="L271" t="str">
            <v>هاينس</v>
          </cell>
          <cell r="O271" t="str">
            <v>0573366943</v>
          </cell>
        </row>
        <row r="272">
          <cell r="B272">
            <v>1264</v>
          </cell>
          <cell r="C272" t="str">
            <v>راشد عبدالعزيز احمد الراشد</v>
          </cell>
          <cell r="D272">
            <v>2151980667</v>
          </cell>
          <cell r="E272" t="str">
            <v>العراق</v>
          </cell>
          <cell r="F272" t="str">
            <v>ذكر</v>
          </cell>
          <cell r="G272">
            <v>44822</v>
          </cell>
          <cell r="I272" t="str">
            <v>تحت التجربة</v>
          </cell>
          <cell r="J272" t="str">
            <v>بارستا</v>
          </cell>
          <cell r="K272" t="str">
            <v>الرياض</v>
          </cell>
          <cell r="L272" t="str">
            <v>هاينس</v>
          </cell>
          <cell r="M272" t="str">
            <v>إستقالة</v>
          </cell>
          <cell r="O272" t="e">
            <v>#N/A</v>
          </cell>
        </row>
        <row r="273">
          <cell r="B273">
            <v>1265</v>
          </cell>
          <cell r="C273" t="str">
            <v>نادر محمد عبدالله احمد السامعي</v>
          </cell>
          <cell r="D273">
            <v>4787282484</v>
          </cell>
          <cell r="E273" t="str">
            <v>اليمن</v>
          </cell>
          <cell r="F273" t="str">
            <v>ذكر</v>
          </cell>
          <cell r="G273">
            <v>44823</v>
          </cell>
          <cell r="I273" t="str">
            <v>تحت التجربة</v>
          </cell>
          <cell r="J273" t="str">
            <v>نجار أثاث</v>
          </cell>
          <cell r="K273" t="str">
            <v>الرياض</v>
          </cell>
          <cell r="L273" t="str">
            <v>ورشة أثاث</v>
          </cell>
          <cell r="O273" t="str">
            <v>0577036706</v>
          </cell>
        </row>
        <row r="274">
          <cell r="B274">
            <v>1266</v>
          </cell>
          <cell r="C274" t="str">
            <v>وداد إبراهيم حسن شواق</v>
          </cell>
          <cell r="D274">
            <v>1118795614</v>
          </cell>
          <cell r="E274" t="str">
            <v>سعودي</v>
          </cell>
          <cell r="F274" t="str">
            <v>أنثي</v>
          </cell>
          <cell r="G274">
            <v>44833</v>
          </cell>
          <cell r="I274" t="str">
            <v>دوام كامل</v>
          </cell>
          <cell r="J274" t="str">
            <v>أمين صندوق</v>
          </cell>
          <cell r="K274" t="str">
            <v>الرياض</v>
          </cell>
          <cell r="L274" t="str">
            <v>الدائري الغربي</v>
          </cell>
          <cell r="M274" t="str">
            <v>انهاء فترة التجربة</v>
          </cell>
          <cell r="O274" t="e">
            <v>#N/A</v>
          </cell>
        </row>
        <row r="275">
          <cell r="B275">
            <v>1267</v>
          </cell>
          <cell r="C275" t="str">
            <v>محمد سيد عبدالعظيم سليمان</v>
          </cell>
          <cell r="D275">
            <v>2495925618</v>
          </cell>
          <cell r="E275" t="str">
            <v>مصر</v>
          </cell>
          <cell r="F275" t="str">
            <v>ذكر</v>
          </cell>
          <cell r="G275">
            <v>44840</v>
          </cell>
          <cell r="I275" t="str">
            <v>دوام كامل</v>
          </cell>
          <cell r="J275" t="str">
            <v>أخصائي موارد بشرية</v>
          </cell>
          <cell r="K275" t="str">
            <v>الرياض</v>
          </cell>
          <cell r="L275" t="str">
            <v>وكالة ممكن</v>
          </cell>
          <cell r="O275" t="str">
            <v>0593119252</v>
          </cell>
        </row>
        <row r="276">
          <cell r="B276">
            <v>1268</v>
          </cell>
          <cell r="C276" t="str">
            <v>أحمد صبري محمد جعلوص</v>
          </cell>
          <cell r="D276">
            <v>2400293862</v>
          </cell>
          <cell r="E276" t="str">
            <v>مصر</v>
          </cell>
          <cell r="F276" t="str">
            <v>ذكر</v>
          </cell>
          <cell r="G276">
            <v>44843</v>
          </cell>
          <cell r="I276" t="str">
            <v>دوام كامل</v>
          </cell>
          <cell r="J276" t="str">
            <v>مراجع مالي</v>
          </cell>
          <cell r="K276" t="str">
            <v>الرياض</v>
          </cell>
          <cell r="L276" t="str">
            <v>وكالة ممكن</v>
          </cell>
          <cell r="O276" t="str">
            <v>0549499140</v>
          </cell>
        </row>
        <row r="277">
          <cell r="B277">
            <v>1269</v>
          </cell>
          <cell r="C277" t="str">
            <v>فارس ترحيب عبدالله المزيني الحربي</v>
          </cell>
          <cell r="D277">
            <v>1125139327</v>
          </cell>
          <cell r="E277" t="str">
            <v>سعودي</v>
          </cell>
          <cell r="F277" t="str">
            <v>ذكر</v>
          </cell>
          <cell r="G277">
            <v>44839</v>
          </cell>
          <cell r="I277" t="str">
            <v>دوام كامل</v>
          </cell>
          <cell r="J277" t="str">
            <v>بائع مؤكولات ومشروبات</v>
          </cell>
          <cell r="K277" t="str">
            <v>الرياض</v>
          </cell>
          <cell r="L277" t="str">
            <v>هاينس</v>
          </cell>
          <cell r="M277" t="str">
            <v>إستقالة</v>
          </cell>
          <cell r="O277" t="e">
            <v>#N/A</v>
          </cell>
        </row>
        <row r="278">
          <cell r="B278">
            <v>1270</v>
          </cell>
          <cell r="C278" t="str">
            <v>شهاب الدين عبد الرحمن  عاشور</v>
          </cell>
          <cell r="D278">
            <v>2215761525</v>
          </cell>
          <cell r="E278" t="str">
            <v>فلسطين</v>
          </cell>
          <cell r="F278" t="str">
            <v>ذكر</v>
          </cell>
          <cell r="G278">
            <v>44840</v>
          </cell>
          <cell r="I278" t="str">
            <v>دوام جزئي</v>
          </cell>
          <cell r="J278" t="str">
            <v>مصور</v>
          </cell>
          <cell r="K278" t="str">
            <v>الرياض</v>
          </cell>
          <cell r="L278" t="str">
            <v>وكالة ممكن</v>
          </cell>
          <cell r="M278" t="str">
            <v>انهاء فترة التجربة</v>
          </cell>
          <cell r="O278" t="e">
            <v>#N/A</v>
          </cell>
        </row>
        <row r="279">
          <cell r="B279">
            <v>1271</v>
          </cell>
          <cell r="C279" t="str">
            <v>عبد الله محمد عبدالله النشار</v>
          </cell>
          <cell r="D279">
            <v>1117087815</v>
          </cell>
          <cell r="E279" t="str">
            <v>سعودي</v>
          </cell>
          <cell r="F279" t="str">
            <v>ذكر</v>
          </cell>
          <cell r="G279">
            <v>44840</v>
          </cell>
          <cell r="I279" t="str">
            <v>دوام جزئي</v>
          </cell>
          <cell r="J279" t="str">
            <v>مصور</v>
          </cell>
          <cell r="K279" t="str">
            <v>الرياض</v>
          </cell>
          <cell r="L279" t="str">
            <v>وكالة ممكن</v>
          </cell>
          <cell r="M279" t="str">
            <v>انهاء فترة التجربة</v>
          </cell>
          <cell r="O279" t="e">
            <v>#N/A</v>
          </cell>
        </row>
        <row r="280">
          <cell r="B280">
            <v>1272</v>
          </cell>
          <cell r="C280" t="str">
            <v>سعد محمد القرني</v>
          </cell>
          <cell r="D280">
            <v>1030121915</v>
          </cell>
          <cell r="E280" t="str">
            <v>سعودي</v>
          </cell>
          <cell r="F280" t="str">
            <v>ذكر</v>
          </cell>
          <cell r="G280">
            <v>44840</v>
          </cell>
          <cell r="I280" t="str">
            <v>دوام كامل</v>
          </cell>
          <cell r="J280" t="str">
            <v>مشرف</v>
          </cell>
          <cell r="K280" t="str">
            <v>الرياض</v>
          </cell>
          <cell r="L280" t="str">
            <v>وكالة ممكن</v>
          </cell>
          <cell r="O280" t="str">
            <v>0532224660</v>
          </cell>
        </row>
        <row r="281">
          <cell r="B281">
            <v>1273</v>
          </cell>
          <cell r="C281" t="str">
            <v>مد يعقوب حسين</v>
          </cell>
          <cell r="D281">
            <v>2530280730</v>
          </cell>
          <cell r="E281" t="str">
            <v>بنجلاديش</v>
          </cell>
          <cell r="F281" t="str">
            <v>ذكر</v>
          </cell>
          <cell r="G281">
            <v>44845</v>
          </cell>
          <cell r="I281" t="str">
            <v>تحت التجربة</v>
          </cell>
          <cell r="J281" t="str">
            <v>عامل تنظيف مكتب ومنشأت</v>
          </cell>
          <cell r="K281" t="str">
            <v>الرياض</v>
          </cell>
          <cell r="L281" t="str">
            <v>اليرموك</v>
          </cell>
          <cell r="M281" t="str">
            <v>إستقالة</v>
          </cell>
          <cell r="N281" t="str">
            <v>2022/10/25</v>
          </cell>
          <cell r="O281" t="e">
            <v>#N/A</v>
          </cell>
        </row>
        <row r="282">
          <cell r="B282">
            <v>1274</v>
          </cell>
          <cell r="C282" t="str">
            <v>منصور محمد يحي حكمي</v>
          </cell>
          <cell r="D282">
            <v>1122136961</v>
          </cell>
          <cell r="E282" t="str">
            <v>سعودي</v>
          </cell>
          <cell r="F282" t="str">
            <v>ذكر</v>
          </cell>
          <cell r="G282">
            <v>44857</v>
          </cell>
          <cell r="I282" t="str">
            <v>عن بعد</v>
          </cell>
          <cell r="J282" t="str">
            <v>أخصائي تسويق</v>
          </cell>
          <cell r="K282" t="str">
            <v>الرياض</v>
          </cell>
          <cell r="L282" t="str">
            <v>الإدارة</v>
          </cell>
          <cell r="O282" t="str">
            <v>0501615811</v>
          </cell>
        </row>
        <row r="283">
          <cell r="B283">
            <v>1275</v>
          </cell>
          <cell r="C283" t="str">
            <v>صالح علي</v>
          </cell>
          <cell r="D283">
            <v>2185998156</v>
          </cell>
          <cell r="E283" t="str">
            <v>تشاد</v>
          </cell>
          <cell r="F283" t="str">
            <v>ذكر</v>
          </cell>
          <cell r="G283">
            <v>44855</v>
          </cell>
          <cell r="I283" t="str">
            <v>تحت التجربة</v>
          </cell>
          <cell r="J283" t="str">
            <v>بارستا</v>
          </cell>
          <cell r="K283" t="str">
            <v>الرياض</v>
          </cell>
          <cell r="L283" t="str">
            <v>هاينس</v>
          </cell>
          <cell r="O283" t="e">
            <v>#N/A</v>
          </cell>
        </row>
        <row r="284">
          <cell r="B284">
            <v>1276</v>
          </cell>
          <cell r="C284" t="str">
            <v>احمد محمد علي احمد العبدلي</v>
          </cell>
          <cell r="D284">
            <v>2440678429</v>
          </cell>
          <cell r="E284" t="str">
            <v>اليمن</v>
          </cell>
          <cell r="F284" t="str">
            <v>ذكر</v>
          </cell>
          <cell r="G284">
            <v>44860</v>
          </cell>
          <cell r="I284" t="str">
            <v>دوام كامل</v>
          </cell>
          <cell r="J284" t="str">
            <v>مدير فرع</v>
          </cell>
          <cell r="K284" t="str">
            <v>الرياض</v>
          </cell>
          <cell r="L284" t="str">
            <v>هاينس</v>
          </cell>
          <cell r="O284" t="str">
            <v>0557594096</v>
          </cell>
        </row>
        <row r="285">
          <cell r="B285">
            <v>1277</v>
          </cell>
          <cell r="C285" t="str">
            <v>منى احمد محمد السميح</v>
          </cell>
          <cell r="D285">
            <v>1110338900</v>
          </cell>
          <cell r="E285" t="str">
            <v>سعودي</v>
          </cell>
          <cell r="F285" t="str">
            <v>أنثي</v>
          </cell>
          <cell r="G285">
            <v>44867</v>
          </cell>
          <cell r="I285" t="str">
            <v>عن بعد</v>
          </cell>
          <cell r="J285" t="str">
            <v>أخصائي تسويق</v>
          </cell>
          <cell r="K285" t="str">
            <v>الرياض</v>
          </cell>
          <cell r="L285" t="str">
            <v>الإدارة</v>
          </cell>
          <cell r="O285" t="str">
            <v/>
          </cell>
        </row>
        <row r="286">
          <cell r="B286">
            <v>1278</v>
          </cell>
          <cell r="C286" t="str">
            <v>حصه عبدالرحمن غائب الغائب</v>
          </cell>
          <cell r="D286">
            <v>1079819510</v>
          </cell>
          <cell r="E286" t="str">
            <v>سعودي</v>
          </cell>
          <cell r="F286" t="str">
            <v>أنثي</v>
          </cell>
          <cell r="G286">
            <v>44871</v>
          </cell>
          <cell r="I286" t="str">
            <v>دوام كامل</v>
          </cell>
          <cell r="J286" t="str">
            <v>بائع مؤكولات ومشروبات</v>
          </cell>
          <cell r="K286" t="str">
            <v>الرياض</v>
          </cell>
          <cell r="L286" t="str">
            <v>هاينس</v>
          </cell>
          <cell r="M286" t="str">
            <v>انهاء فترة التجربة</v>
          </cell>
          <cell r="O286" t="e">
            <v>#N/A</v>
          </cell>
        </row>
        <row r="287">
          <cell r="B287">
            <v>1279</v>
          </cell>
          <cell r="C287" t="str">
            <v>نواف ابراهيم سعود العبودي</v>
          </cell>
          <cell r="D287">
            <v>1119770392</v>
          </cell>
          <cell r="E287" t="str">
            <v>سعودي</v>
          </cell>
          <cell r="F287" t="str">
            <v>ذكر</v>
          </cell>
          <cell r="G287">
            <v>44866</v>
          </cell>
          <cell r="I287" t="str">
            <v>دوام كامل</v>
          </cell>
          <cell r="J287" t="str">
            <v>بائع مؤكولات ومشروبات</v>
          </cell>
          <cell r="K287" t="str">
            <v>الرياض</v>
          </cell>
          <cell r="L287" t="str">
            <v>هاينس</v>
          </cell>
          <cell r="M287" t="str">
            <v>إستقالة</v>
          </cell>
          <cell r="N287">
            <v>45054</v>
          </cell>
          <cell r="O287" t="str">
            <v>0555323921</v>
          </cell>
        </row>
        <row r="288">
          <cell r="B288">
            <v>1280</v>
          </cell>
          <cell r="C288" t="str">
            <v>بياترس دينا منيازي</v>
          </cell>
          <cell r="D288">
            <v>2532701600</v>
          </cell>
          <cell r="E288" t="str">
            <v>كينيا</v>
          </cell>
          <cell r="F288" t="str">
            <v>أنثي</v>
          </cell>
          <cell r="G288">
            <v>44874</v>
          </cell>
          <cell r="I288" t="str">
            <v>دوام كامل</v>
          </cell>
          <cell r="J288" t="str">
            <v>عامل منزلي</v>
          </cell>
          <cell r="K288" t="str">
            <v>الرياض</v>
          </cell>
          <cell r="L288" t="str">
            <v>المالك</v>
          </cell>
          <cell r="O288" t="str">
            <v/>
          </cell>
        </row>
        <row r="289">
          <cell r="B289">
            <v>1281</v>
          </cell>
          <cell r="C289" t="str">
            <v>اصيل عبدالله علي احمد</v>
          </cell>
          <cell r="D289">
            <v>4756970986</v>
          </cell>
          <cell r="E289" t="str">
            <v>اليمن</v>
          </cell>
          <cell r="F289" t="str">
            <v>ذكر</v>
          </cell>
          <cell r="G289">
            <v>44863</v>
          </cell>
          <cell r="I289" t="str">
            <v>دوام كامل</v>
          </cell>
          <cell r="J289" t="str">
            <v>عامل</v>
          </cell>
          <cell r="K289" t="str">
            <v>الرياض</v>
          </cell>
          <cell r="L289" t="str">
            <v>ورشة أثاث</v>
          </cell>
          <cell r="O289" t="str">
            <v>0545100535</v>
          </cell>
        </row>
        <row r="290">
          <cell r="B290">
            <v>1282</v>
          </cell>
          <cell r="C290" t="str">
            <v>إبراهيم إبراهيم محمد أبو شنب</v>
          </cell>
          <cell r="D290">
            <v>2532879794</v>
          </cell>
          <cell r="E290" t="str">
            <v>مصر</v>
          </cell>
          <cell r="F290" t="str">
            <v>ذكر</v>
          </cell>
          <cell r="G290">
            <v>44921</v>
          </cell>
          <cell r="I290" t="str">
            <v>دوام كامل</v>
          </cell>
          <cell r="J290" t="str">
            <v>مندوب مبيعات</v>
          </cell>
          <cell r="K290" t="str">
            <v>الرياض</v>
          </cell>
          <cell r="L290" t="str">
            <v>المصنع</v>
          </cell>
          <cell r="M290" t="str">
            <v>إستقالة</v>
          </cell>
          <cell r="O290" t="str">
            <v>‪0571983733‬</v>
          </cell>
        </row>
        <row r="291">
          <cell r="B291">
            <v>1283</v>
          </cell>
          <cell r="C291" t="str">
            <v>ساميه جابر احمد هزازي</v>
          </cell>
          <cell r="D291">
            <v>1116913185</v>
          </cell>
          <cell r="E291" t="str">
            <v>سعودي</v>
          </cell>
          <cell r="F291" t="str">
            <v>أنثي</v>
          </cell>
          <cell r="G291">
            <v>44873</v>
          </cell>
          <cell r="I291" t="str">
            <v>دوام كامل</v>
          </cell>
          <cell r="J291" t="str">
            <v>أمين صندوق</v>
          </cell>
          <cell r="K291" t="str">
            <v>الرياض</v>
          </cell>
          <cell r="L291" t="str">
            <v>الدائري الغربي</v>
          </cell>
          <cell r="M291" t="str">
            <v>إستقالة</v>
          </cell>
          <cell r="N291">
            <v>44881</v>
          </cell>
          <cell r="O291" t="e">
            <v>#N/A</v>
          </cell>
        </row>
        <row r="292">
          <cell r="B292">
            <v>1284</v>
          </cell>
          <cell r="C292" t="str">
            <v>نوره محمد عبدالله النمي</v>
          </cell>
          <cell r="D292">
            <v>1101949806</v>
          </cell>
          <cell r="E292" t="str">
            <v>سعودي</v>
          </cell>
          <cell r="F292" t="str">
            <v>أنثي</v>
          </cell>
          <cell r="G292">
            <v>44879</v>
          </cell>
          <cell r="I292" t="str">
            <v>عن بعد</v>
          </cell>
          <cell r="J292" t="str">
            <v>أخصائي تسويق</v>
          </cell>
          <cell r="K292" t="str">
            <v>الرياض</v>
          </cell>
          <cell r="L292" t="str">
            <v>الإدارة</v>
          </cell>
          <cell r="O292" t="str">
            <v>055 822 2206</v>
          </cell>
        </row>
        <row r="293">
          <cell r="B293">
            <v>1285</v>
          </cell>
          <cell r="C293" t="str">
            <v>بندر محمد احمد ازيبي</v>
          </cell>
          <cell r="D293">
            <v>1125855195</v>
          </cell>
          <cell r="E293" t="str">
            <v>سعودي</v>
          </cell>
          <cell r="F293" t="str">
            <v>ذكر</v>
          </cell>
          <cell r="G293">
            <v>44878</v>
          </cell>
          <cell r="I293" t="str">
            <v>دوام كامل</v>
          </cell>
          <cell r="J293" t="str">
            <v>أمين صندوق</v>
          </cell>
          <cell r="K293" t="str">
            <v>الرياض</v>
          </cell>
          <cell r="L293" t="str">
            <v>المصيف</v>
          </cell>
          <cell r="M293" t="str">
            <v>إستقالة</v>
          </cell>
          <cell r="N293">
            <v>44890</v>
          </cell>
          <cell r="O293" t="e">
            <v>#N/A</v>
          </cell>
        </row>
        <row r="294">
          <cell r="B294">
            <v>1286</v>
          </cell>
          <cell r="C294" t="str">
            <v>محمد عبدالله عبدالرحمن الشهري</v>
          </cell>
          <cell r="D294">
            <v>1090784131</v>
          </cell>
          <cell r="E294" t="str">
            <v>سعودي</v>
          </cell>
          <cell r="F294" t="str">
            <v>ذكر</v>
          </cell>
          <cell r="G294">
            <v>44868</v>
          </cell>
          <cell r="I294" t="str">
            <v>دوام كامل</v>
          </cell>
          <cell r="J294" t="str">
            <v>أمين صندوق</v>
          </cell>
          <cell r="K294" t="str">
            <v>الرياض</v>
          </cell>
          <cell r="L294" t="str">
            <v>اليرموك</v>
          </cell>
          <cell r="M294" t="str">
            <v>إستقالة</v>
          </cell>
          <cell r="N294" t="str">
            <v>2022/11/06</v>
          </cell>
          <cell r="O294" t="e">
            <v>#N/A</v>
          </cell>
        </row>
        <row r="295">
          <cell r="B295">
            <v>1287</v>
          </cell>
          <cell r="C295" t="str">
            <v>صالح سعيد عوظه الشهري</v>
          </cell>
          <cell r="D295">
            <v>1115444729</v>
          </cell>
          <cell r="E295" t="str">
            <v>سعودي</v>
          </cell>
          <cell r="F295" t="str">
            <v>ذكر</v>
          </cell>
          <cell r="G295">
            <v>44880</v>
          </cell>
          <cell r="I295" t="str">
            <v>دوام كامل</v>
          </cell>
          <cell r="J295" t="str">
            <v>أمين صندوق</v>
          </cell>
          <cell r="K295" t="str">
            <v>الرياض</v>
          </cell>
          <cell r="L295" t="str">
            <v>اليرموك</v>
          </cell>
          <cell r="M295" t="str">
            <v>انهاء فترة التجربة</v>
          </cell>
          <cell r="N295">
            <v>44961</v>
          </cell>
          <cell r="O295" t="e">
            <v>#N/A</v>
          </cell>
        </row>
        <row r="296">
          <cell r="B296">
            <v>1288</v>
          </cell>
          <cell r="C296" t="str">
            <v>محمد بلال حسين</v>
          </cell>
          <cell r="D296">
            <v>2430333225</v>
          </cell>
          <cell r="E296" t="str">
            <v>بنجلاديش</v>
          </cell>
          <cell r="F296" t="str">
            <v>ذكر</v>
          </cell>
          <cell r="G296">
            <v>44884</v>
          </cell>
          <cell r="I296" t="str">
            <v>تحت التجربة</v>
          </cell>
          <cell r="J296" t="str">
            <v>كهربائي</v>
          </cell>
          <cell r="K296" t="str">
            <v>الرياض</v>
          </cell>
          <cell r="L296" t="str">
            <v>الإدارة</v>
          </cell>
          <cell r="M296" t="str">
            <v>انهاء فترة التجربة</v>
          </cell>
          <cell r="O296" t="e">
            <v>#N/A</v>
          </cell>
        </row>
        <row r="297">
          <cell r="B297">
            <v>1289</v>
          </cell>
          <cell r="C297" t="str">
            <v>محمود صالح حسن عبدالله</v>
          </cell>
          <cell r="D297">
            <v>2508818388</v>
          </cell>
          <cell r="E297" t="str">
            <v>مصر</v>
          </cell>
          <cell r="F297" t="str">
            <v>ذكر</v>
          </cell>
          <cell r="G297">
            <v>44886</v>
          </cell>
          <cell r="I297" t="str">
            <v>دوام كامل</v>
          </cell>
          <cell r="J297" t="str">
            <v>مدير الكوفي</v>
          </cell>
          <cell r="K297" t="str">
            <v>الرياض</v>
          </cell>
          <cell r="L297" t="str">
            <v>هاينس</v>
          </cell>
          <cell r="M297" t="str">
            <v>إستقالة</v>
          </cell>
          <cell r="N297" t="str">
            <v>25/01/2023</v>
          </cell>
          <cell r="O297" t="e">
            <v>#N/A</v>
          </cell>
        </row>
        <row r="298">
          <cell r="B298">
            <v>1290</v>
          </cell>
          <cell r="C298" t="str">
            <v>شهيد خان سودير خان</v>
          </cell>
          <cell r="D298">
            <v>2520050721</v>
          </cell>
          <cell r="E298" t="str">
            <v>باكستان</v>
          </cell>
          <cell r="F298" t="str">
            <v>ذكر</v>
          </cell>
          <cell r="G298">
            <v>44884</v>
          </cell>
          <cell r="I298" t="str">
            <v>دوام كامل</v>
          </cell>
          <cell r="J298" t="str">
            <v>سائق شاحنة ثقيلة</v>
          </cell>
          <cell r="K298" t="str">
            <v>الخرج</v>
          </cell>
          <cell r="L298" t="str">
            <v>المصنع</v>
          </cell>
          <cell r="O298" t="str">
            <v>0582890951</v>
          </cell>
        </row>
        <row r="299">
          <cell r="B299">
            <v>1291</v>
          </cell>
          <cell r="C299" t="str">
            <v>وائل معوض حفناوي الحفناوي</v>
          </cell>
          <cell r="D299">
            <v>2342543580</v>
          </cell>
          <cell r="E299" t="str">
            <v>مصر</v>
          </cell>
          <cell r="F299" t="str">
            <v>ذكر</v>
          </cell>
          <cell r="G299">
            <v>44896</v>
          </cell>
          <cell r="I299" t="str">
            <v>دوام كامل</v>
          </cell>
          <cell r="J299" t="str">
            <v>محاسب تكاليف</v>
          </cell>
          <cell r="K299" t="str">
            <v>الرياض</v>
          </cell>
          <cell r="L299" t="str">
            <v>وكالة ممكن</v>
          </cell>
          <cell r="O299" t="str">
            <v>0503287373</v>
          </cell>
        </row>
        <row r="300">
          <cell r="B300">
            <v>1292</v>
          </cell>
          <cell r="C300" t="str">
            <v>مد راسل شيخ</v>
          </cell>
          <cell r="D300">
            <v>2533569550</v>
          </cell>
          <cell r="E300" t="str">
            <v>بنجلاديش</v>
          </cell>
          <cell r="F300" t="str">
            <v>ذكر</v>
          </cell>
          <cell r="G300">
            <v>44891</v>
          </cell>
          <cell r="I300" t="str">
            <v>دوام كامل</v>
          </cell>
          <cell r="J300" t="str">
            <v>عامل</v>
          </cell>
          <cell r="K300" t="str">
            <v>الدمام</v>
          </cell>
          <cell r="L300" t="str">
            <v>العنود</v>
          </cell>
          <cell r="O300" t="str">
            <v>0570456801</v>
          </cell>
        </row>
        <row r="301">
          <cell r="B301">
            <v>1293</v>
          </cell>
          <cell r="C301" t="str">
            <v>محمد ضيف الله محمد يحيى</v>
          </cell>
          <cell r="D301">
            <v>2533839151</v>
          </cell>
          <cell r="E301" t="str">
            <v>اليمن</v>
          </cell>
          <cell r="F301" t="str">
            <v>ذكر</v>
          </cell>
          <cell r="G301">
            <v>44891</v>
          </cell>
          <cell r="I301" t="str">
            <v>دوام كامل</v>
          </cell>
          <cell r="J301" t="str">
            <v>عامل</v>
          </cell>
          <cell r="K301" t="str">
            <v>الرياض</v>
          </cell>
          <cell r="L301" t="str">
            <v>النسيم 2</v>
          </cell>
          <cell r="O301" t="str">
            <v>0550892553</v>
          </cell>
        </row>
        <row r="302">
          <cell r="B302">
            <v>1294</v>
          </cell>
          <cell r="C302" t="str">
            <v>عبدالعزيز صالح محمد الغوينم</v>
          </cell>
          <cell r="D302">
            <v>1128327937</v>
          </cell>
          <cell r="E302" t="str">
            <v>سعودي</v>
          </cell>
          <cell r="F302" t="str">
            <v>ذكر</v>
          </cell>
          <cell r="G302">
            <v>44891</v>
          </cell>
          <cell r="I302" t="str">
            <v>دوام كامل</v>
          </cell>
          <cell r="J302" t="str">
            <v>بائع مؤكولات ومشروبات</v>
          </cell>
          <cell r="K302" t="str">
            <v>الرياض</v>
          </cell>
          <cell r="L302" t="str">
            <v>هاينس</v>
          </cell>
          <cell r="M302" t="str">
            <v>إستقالة</v>
          </cell>
          <cell r="N302">
            <v>44961</v>
          </cell>
          <cell r="O302" t="e">
            <v>#N/A</v>
          </cell>
        </row>
        <row r="303">
          <cell r="B303">
            <v>1295</v>
          </cell>
          <cell r="C303" t="str">
            <v>الزيتوني عسيلة</v>
          </cell>
          <cell r="D303">
            <v>3111073304</v>
          </cell>
          <cell r="E303" t="str">
            <v>المغرب</v>
          </cell>
          <cell r="F303" t="str">
            <v>ذكر</v>
          </cell>
          <cell r="G303">
            <v>44895</v>
          </cell>
          <cell r="I303" t="str">
            <v>دوام كامل</v>
          </cell>
          <cell r="J303" t="str">
            <v>شيف حلويات</v>
          </cell>
          <cell r="K303" t="str">
            <v>الرياض</v>
          </cell>
          <cell r="L303" t="str">
            <v>هاينس</v>
          </cell>
          <cell r="O303" t="str">
            <v>0531890237</v>
          </cell>
        </row>
        <row r="304">
          <cell r="B304">
            <v>1296</v>
          </cell>
          <cell r="C304" t="str">
            <v>اثير عبدالله مبارك ابوسباع الدوسري</v>
          </cell>
          <cell r="D304">
            <v>1112293145</v>
          </cell>
          <cell r="E304" t="str">
            <v>سعودي</v>
          </cell>
          <cell r="F304" t="str">
            <v>أنثي</v>
          </cell>
          <cell r="G304">
            <v>44897</v>
          </cell>
          <cell r="I304" t="str">
            <v>دوام كامل</v>
          </cell>
          <cell r="J304" t="str">
            <v>بائع مؤكولات ومشروبات</v>
          </cell>
          <cell r="K304" t="str">
            <v>الرياض</v>
          </cell>
          <cell r="L304" t="str">
            <v>هاينس</v>
          </cell>
          <cell r="M304" t="str">
            <v>إستقالة</v>
          </cell>
          <cell r="N304" t="str">
            <v>2022/12/02</v>
          </cell>
          <cell r="O304" t="e">
            <v>#N/A</v>
          </cell>
        </row>
        <row r="305">
          <cell r="B305">
            <v>1297</v>
          </cell>
          <cell r="C305" t="str">
            <v>لطيفه ابراهيم عبدالعزيز بن عمير</v>
          </cell>
          <cell r="D305">
            <v>1123786079</v>
          </cell>
          <cell r="E305" t="str">
            <v>سعودي</v>
          </cell>
          <cell r="F305" t="str">
            <v>أنثي</v>
          </cell>
          <cell r="G305">
            <v>44896</v>
          </cell>
          <cell r="I305" t="str">
            <v>دوام كامل</v>
          </cell>
          <cell r="J305" t="str">
            <v>أمين صندوق</v>
          </cell>
          <cell r="K305" t="str">
            <v>الرياض</v>
          </cell>
          <cell r="L305" t="str">
            <v>الشفا</v>
          </cell>
          <cell r="O305" t="str">
            <v>0538448158</v>
          </cell>
        </row>
        <row r="306">
          <cell r="B306">
            <v>1298</v>
          </cell>
          <cell r="C306" t="str">
            <v>احلام ذياب يوسف الزهراني</v>
          </cell>
          <cell r="D306">
            <v>1088653322</v>
          </cell>
          <cell r="E306" t="str">
            <v>سعودي</v>
          </cell>
          <cell r="F306" t="str">
            <v>أنثي</v>
          </cell>
          <cell r="G306">
            <v>44899</v>
          </cell>
          <cell r="I306" t="str">
            <v>عن بعد</v>
          </cell>
          <cell r="J306" t="str">
            <v>أخصائي تسويق</v>
          </cell>
          <cell r="K306" t="str">
            <v>الرياض</v>
          </cell>
          <cell r="L306" t="str">
            <v>الإدارة</v>
          </cell>
          <cell r="O306" t="str">
            <v>0534731121</v>
          </cell>
        </row>
        <row r="307">
          <cell r="B307">
            <v>1299</v>
          </cell>
          <cell r="C307" t="str">
            <v xml:space="preserve">رجب صلاح ابراهيم فتح الباب </v>
          </cell>
          <cell r="D307">
            <v>2492074675</v>
          </cell>
          <cell r="E307" t="str">
            <v>مصر</v>
          </cell>
          <cell r="F307" t="str">
            <v>ذكر</v>
          </cell>
          <cell r="G307">
            <v>44905</v>
          </cell>
          <cell r="I307" t="str">
            <v>دوام كامل</v>
          </cell>
          <cell r="J307" t="str">
            <v>مدخل بيانات</v>
          </cell>
          <cell r="K307" t="str">
            <v>الرياض</v>
          </cell>
          <cell r="L307" t="str">
            <v>جملة ريال البركة</v>
          </cell>
          <cell r="O307" t="str">
            <v>0569040891</v>
          </cell>
        </row>
        <row r="308">
          <cell r="B308">
            <v>1300</v>
          </cell>
          <cell r="C308" t="str">
            <v>خالد فوزي عنبر معتوق</v>
          </cell>
          <cell r="D308">
            <v>1112481609</v>
          </cell>
          <cell r="E308" t="str">
            <v>سعودي</v>
          </cell>
          <cell r="F308" t="str">
            <v>ذكر</v>
          </cell>
          <cell r="G308">
            <v>44901</v>
          </cell>
          <cell r="I308" t="str">
            <v>دوام كامل</v>
          </cell>
          <cell r="J308" t="str">
            <v>أمين صندوق</v>
          </cell>
          <cell r="K308" t="str">
            <v>الرياض</v>
          </cell>
          <cell r="L308" t="str">
            <v>المصيف</v>
          </cell>
          <cell r="O308" t="str">
            <v>0580464404</v>
          </cell>
        </row>
        <row r="309">
          <cell r="B309">
            <v>1301</v>
          </cell>
          <cell r="C309" t="str">
            <v>وعد سعد عبدالله الهويمل</v>
          </cell>
          <cell r="D309">
            <v>1095096119</v>
          </cell>
          <cell r="E309" t="str">
            <v>سعودي</v>
          </cell>
          <cell r="F309" t="str">
            <v>أنثي</v>
          </cell>
          <cell r="G309">
            <v>44902</v>
          </cell>
          <cell r="I309" t="str">
            <v>عن بعد</v>
          </cell>
          <cell r="J309" t="str">
            <v>أخصائي تسويق</v>
          </cell>
          <cell r="K309" t="str">
            <v>الرياض</v>
          </cell>
          <cell r="L309" t="str">
            <v>الإدارة</v>
          </cell>
          <cell r="O309" t="str">
            <v>0541917739</v>
          </cell>
        </row>
        <row r="310">
          <cell r="B310">
            <v>1302</v>
          </cell>
          <cell r="C310" t="str">
            <v>خلود عبدالرحمن سعود الجبيرى</v>
          </cell>
          <cell r="D310">
            <v>1030367765</v>
          </cell>
          <cell r="E310" t="str">
            <v>سعودي</v>
          </cell>
          <cell r="F310" t="str">
            <v>أنثي</v>
          </cell>
          <cell r="G310">
            <v>44902</v>
          </cell>
          <cell r="I310" t="str">
            <v>عن بعد</v>
          </cell>
          <cell r="J310" t="str">
            <v>أخصائي تسويق</v>
          </cell>
          <cell r="K310" t="str">
            <v>الرياض</v>
          </cell>
          <cell r="L310" t="str">
            <v>الإدارة</v>
          </cell>
          <cell r="O310" t="str">
            <v>0555293369</v>
          </cell>
        </row>
        <row r="311">
          <cell r="B311">
            <v>1303</v>
          </cell>
          <cell r="C311" t="str">
            <v>فيصل ناصر معتق الشهراني</v>
          </cell>
          <cell r="D311">
            <v>1123968206</v>
          </cell>
          <cell r="E311" t="str">
            <v>سعودي</v>
          </cell>
          <cell r="F311" t="str">
            <v>ذكر</v>
          </cell>
          <cell r="G311">
            <v>44891</v>
          </cell>
          <cell r="I311" t="str">
            <v>دوام كامل</v>
          </cell>
          <cell r="J311" t="str">
            <v>أمين صندوق</v>
          </cell>
          <cell r="K311" t="str">
            <v>الرياض</v>
          </cell>
          <cell r="L311" t="str">
            <v>المصيف</v>
          </cell>
          <cell r="M311" t="str">
            <v>إستقالة</v>
          </cell>
          <cell r="N311">
            <v>44893</v>
          </cell>
          <cell r="O311" t="e">
            <v>#N/A</v>
          </cell>
        </row>
        <row r="312">
          <cell r="B312">
            <v>1304</v>
          </cell>
          <cell r="C312" t="str">
            <v>احمد عبد العزيز محمد الشمراني</v>
          </cell>
          <cell r="D312">
            <v>1124303833</v>
          </cell>
          <cell r="E312" t="str">
            <v>سعودي</v>
          </cell>
          <cell r="F312" t="str">
            <v>ذكر</v>
          </cell>
          <cell r="G312">
            <v>44897</v>
          </cell>
          <cell r="I312" t="str">
            <v>دوام كامل</v>
          </cell>
          <cell r="J312" t="str">
            <v>أمين صندوق</v>
          </cell>
          <cell r="K312" t="str">
            <v>الرياض</v>
          </cell>
          <cell r="L312" t="str">
            <v>اليرموك</v>
          </cell>
          <cell r="O312" t="str">
            <v>0504574273</v>
          </cell>
        </row>
        <row r="313">
          <cell r="B313">
            <v>1305</v>
          </cell>
          <cell r="C313" t="str">
            <v>منى عيدان ابن احمد الغامدي</v>
          </cell>
          <cell r="D313">
            <v>1093773438</v>
          </cell>
          <cell r="E313" t="str">
            <v>سعودي</v>
          </cell>
          <cell r="F313" t="str">
            <v>أنثي</v>
          </cell>
          <cell r="G313">
            <v>44900</v>
          </cell>
          <cell r="I313" t="str">
            <v>دوام كامل</v>
          </cell>
          <cell r="J313" t="str">
            <v>أمين صندوق</v>
          </cell>
          <cell r="K313" t="str">
            <v>الرياض</v>
          </cell>
          <cell r="L313" t="str">
            <v>الدائري الغربي</v>
          </cell>
          <cell r="M313" t="str">
            <v>انهاء فترة التجربة</v>
          </cell>
          <cell r="N313">
            <v>44919</v>
          </cell>
          <cell r="O313" t="e">
            <v>#N/A</v>
          </cell>
        </row>
        <row r="314">
          <cell r="B314">
            <v>1306</v>
          </cell>
          <cell r="C314" t="str">
            <v>الهام سليمان فهد الطريمان</v>
          </cell>
          <cell r="D314">
            <v>1036881496</v>
          </cell>
          <cell r="E314" t="str">
            <v>سعودي</v>
          </cell>
          <cell r="F314" t="str">
            <v>أنثي</v>
          </cell>
          <cell r="G314">
            <v>44910</v>
          </cell>
          <cell r="I314" t="str">
            <v>عن بعد</v>
          </cell>
          <cell r="J314" t="str">
            <v>أخصائي تسويق</v>
          </cell>
          <cell r="K314" t="str">
            <v>الرياض</v>
          </cell>
          <cell r="L314" t="str">
            <v>الإدارة</v>
          </cell>
          <cell r="O314" t="str">
            <v>0501094449</v>
          </cell>
        </row>
        <row r="315">
          <cell r="B315">
            <v>1307</v>
          </cell>
          <cell r="C315" t="str">
            <v>وفاء عبدالرحمن سعود الجبيرى</v>
          </cell>
          <cell r="D315">
            <v>1030367724</v>
          </cell>
          <cell r="E315" t="str">
            <v>سعودي</v>
          </cell>
          <cell r="F315" t="str">
            <v>أنثي</v>
          </cell>
          <cell r="G315">
            <v>44910</v>
          </cell>
          <cell r="I315" t="str">
            <v>عن بعد</v>
          </cell>
          <cell r="J315" t="str">
            <v>أخصائي تسويق</v>
          </cell>
          <cell r="K315" t="str">
            <v>الرياض</v>
          </cell>
          <cell r="L315" t="str">
            <v>الإدارة</v>
          </cell>
          <cell r="O315" t="str">
            <v>0548362793</v>
          </cell>
        </row>
        <row r="316">
          <cell r="B316">
            <v>1308</v>
          </cell>
          <cell r="C316" t="str">
            <v>رولا سعد عبدالله بن هويمل</v>
          </cell>
          <cell r="D316">
            <v>1097503104</v>
          </cell>
          <cell r="E316" t="str">
            <v>سعودي</v>
          </cell>
          <cell r="F316" t="str">
            <v>أنثي</v>
          </cell>
          <cell r="G316">
            <v>44910</v>
          </cell>
          <cell r="I316" t="str">
            <v>عن بعد</v>
          </cell>
          <cell r="J316" t="str">
            <v>أخصائي تسويق</v>
          </cell>
          <cell r="K316" t="str">
            <v>الرياض</v>
          </cell>
          <cell r="L316" t="str">
            <v>الإدارة</v>
          </cell>
          <cell r="O316" t="str">
            <v>0563500706</v>
          </cell>
        </row>
        <row r="317">
          <cell r="B317">
            <v>1309</v>
          </cell>
          <cell r="C317" t="str">
            <v>عارف علي حسين علي قرانه</v>
          </cell>
          <cell r="D317">
            <v>3104942754</v>
          </cell>
          <cell r="E317" t="str">
            <v>اليمن</v>
          </cell>
          <cell r="F317" t="str">
            <v>ذكر</v>
          </cell>
          <cell r="G317">
            <v>44905</v>
          </cell>
          <cell r="I317" t="str">
            <v>تحت التجربة</v>
          </cell>
          <cell r="J317" t="str">
            <v>عامل</v>
          </cell>
          <cell r="K317" t="str">
            <v>الرياض</v>
          </cell>
          <cell r="L317" t="str">
            <v>اليرموك</v>
          </cell>
          <cell r="O317" t="str">
            <v>0504835376</v>
          </cell>
        </row>
        <row r="318">
          <cell r="B318">
            <v>1310</v>
          </cell>
          <cell r="C318" t="str">
            <v>عبد السلام لطف الله ناصر شمسان</v>
          </cell>
          <cell r="D318">
            <v>2483555880</v>
          </cell>
          <cell r="E318" t="str">
            <v>اليمن</v>
          </cell>
          <cell r="F318" t="str">
            <v>ذكر</v>
          </cell>
          <cell r="G318">
            <v>44907</v>
          </cell>
          <cell r="I318" t="str">
            <v>تحت التجربة</v>
          </cell>
          <cell r="J318" t="str">
            <v>محاسب</v>
          </cell>
          <cell r="K318" t="str">
            <v>الرياض</v>
          </cell>
          <cell r="L318" t="str">
            <v>المصنع</v>
          </cell>
          <cell r="M318" t="str">
            <v>انهاء فترة التجربة</v>
          </cell>
          <cell r="N318" t="str">
            <v>20/03/2023</v>
          </cell>
          <cell r="O318" t="e">
            <v>#N/A</v>
          </cell>
        </row>
        <row r="319">
          <cell r="B319">
            <v>1311</v>
          </cell>
          <cell r="C319" t="str">
            <v>خالد محمد عاصم عبدالفتاح فراج</v>
          </cell>
          <cell r="D319">
            <v>2480986641</v>
          </cell>
          <cell r="E319" t="str">
            <v>مصر</v>
          </cell>
          <cell r="F319" t="str">
            <v>ذكر</v>
          </cell>
          <cell r="G319">
            <v>44918</v>
          </cell>
          <cell r="I319" t="str">
            <v>دوام كامل</v>
          </cell>
          <cell r="J319" t="str">
            <v>مشرف فرع</v>
          </cell>
          <cell r="K319" t="str">
            <v>الرياض</v>
          </cell>
          <cell r="L319" t="str">
            <v>هاينس</v>
          </cell>
          <cell r="O319" t="str">
            <v>0582525346</v>
          </cell>
        </row>
        <row r="320">
          <cell r="B320">
            <v>1312</v>
          </cell>
          <cell r="C320" t="str">
            <v>عبد العزيز احمد طيب عواجي</v>
          </cell>
          <cell r="D320">
            <v>1014165946</v>
          </cell>
          <cell r="E320" t="str">
            <v>سعودي</v>
          </cell>
          <cell r="F320" t="str">
            <v>ذكر</v>
          </cell>
          <cell r="G320">
            <v>44919</v>
          </cell>
          <cell r="I320" t="str">
            <v>تحت التجربة</v>
          </cell>
          <cell r="J320" t="str">
            <v>أمين صندوق</v>
          </cell>
          <cell r="K320" t="str">
            <v>الرياض</v>
          </cell>
          <cell r="L320" t="str">
            <v>المصيف</v>
          </cell>
          <cell r="M320" t="str">
            <v>انهاء فترة التجربة</v>
          </cell>
          <cell r="N320" t="str">
            <v>2022/12/25</v>
          </cell>
          <cell r="O320" t="e">
            <v>#N/A</v>
          </cell>
        </row>
        <row r="321">
          <cell r="B321">
            <v>1313</v>
          </cell>
          <cell r="C321" t="str">
            <v>مشاري حسن صالح ال مساعد الشهري</v>
          </cell>
          <cell r="D321">
            <v>1117945699</v>
          </cell>
          <cell r="E321" t="str">
            <v>سعودي</v>
          </cell>
          <cell r="F321" t="str">
            <v>ذكر</v>
          </cell>
          <cell r="G321">
            <v>44906</v>
          </cell>
          <cell r="I321" t="str">
            <v>تحت التجربة</v>
          </cell>
          <cell r="J321" t="str">
            <v>أمين صندوق</v>
          </cell>
          <cell r="K321" t="str">
            <v>الرياض</v>
          </cell>
          <cell r="L321" t="str">
            <v>المصيف</v>
          </cell>
          <cell r="M321" t="str">
            <v>انهاء فترة التجربة</v>
          </cell>
          <cell r="N321" t="str">
            <v>2022/12/15</v>
          </cell>
          <cell r="O321" t="e">
            <v>#N/A</v>
          </cell>
        </row>
        <row r="322">
          <cell r="B322">
            <v>1314</v>
          </cell>
          <cell r="C322" t="str">
            <v>حنين عبدالله عطية ال محمد الشمراني</v>
          </cell>
          <cell r="D322">
            <v>1114290362</v>
          </cell>
          <cell r="E322" t="str">
            <v>سعودي</v>
          </cell>
          <cell r="F322" t="str">
            <v>أنثي</v>
          </cell>
          <cell r="G322">
            <v>44920</v>
          </cell>
          <cell r="I322" t="str">
            <v>دوام كامل</v>
          </cell>
          <cell r="J322" t="str">
            <v>أمين صندوق</v>
          </cell>
          <cell r="K322" t="str">
            <v>الدمام</v>
          </cell>
          <cell r="L322" t="str">
            <v>العنود</v>
          </cell>
          <cell r="M322" t="str">
            <v>إستقالة</v>
          </cell>
          <cell r="N322" t="str">
            <v>09/03/2023</v>
          </cell>
          <cell r="O322" t="e">
            <v>#N/A</v>
          </cell>
        </row>
        <row r="323">
          <cell r="B323">
            <v>1315</v>
          </cell>
          <cell r="C323" t="str">
            <v>معاذ احمد محمد سيف</v>
          </cell>
          <cell r="D323">
            <v>2443570425</v>
          </cell>
          <cell r="E323" t="str">
            <v>اليمن</v>
          </cell>
          <cell r="F323" t="str">
            <v>ذكر</v>
          </cell>
          <cell r="G323">
            <v>44930</v>
          </cell>
          <cell r="I323" t="str">
            <v>دوام كامل</v>
          </cell>
          <cell r="J323" t="str">
            <v>سائق شاحنة ثقيلة</v>
          </cell>
          <cell r="K323" t="str">
            <v>الخرج</v>
          </cell>
          <cell r="L323" t="str">
            <v>المصنع</v>
          </cell>
          <cell r="O323" t="str">
            <v>0533245137</v>
          </cell>
        </row>
        <row r="324">
          <cell r="B324">
            <v>1316</v>
          </cell>
          <cell r="C324" t="str">
            <v>شروق عبدالرحمن عواد العواد</v>
          </cell>
          <cell r="D324">
            <v>1086376421</v>
          </cell>
          <cell r="E324" t="str">
            <v>سعودي</v>
          </cell>
          <cell r="F324" t="str">
            <v>أنثي</v>
          </cell>
          <cell r="G324">
            <v>44927</v>
          </cell>
          <cell r="I324" t="str">
            <v>دوام كامل</v>
          </cell>
          <cell r="J324" t="str">
            <v>مصور فوتغرافي</v>
          </cell>
          <cell r="K324" t="str">
            <v>الرياض</v>
          </cell>
          <cell r="L324" t="str">
            <v>وكالة ممكن</v>
          </cell>
          <cell r="O324" t="str">
            <v>0536166061</v>
          </cell>
        </row>
        <row r="325">
          <cell r="B325">
            <v>1317</v>
          </cell>
          <cell r="C325" t="str">
            <v>عصام سعيد علي عبده احمد</v>
          </cell>
          <cell r="D325">
            <v>2522723804</v>
          </cell>
          <cell r="E325" t="str">
            <v>اليمن</v>
          </cell>
          <cell r="F325" t="str">
            <v>ذكر</v>
          </cell>
          <cell r="G325">
            <v>44931</v>
          </cell>
          <cell r="I325" t="str">
            <v>تحت التجربة</v>
          </cell>
          <cell r="J325" t="str">
            <v xml:space="preserve">عامل </v>
          </cell>
          <cell r="K325" t="str">
            <v>الرياض</v>
          </cell>
          <cell r="L325" t="str">
            <v>ورشة أثاث</v>
          </cell>
          <cell r="M325" t="str">
            <v>انهاء فترة التجربة</v>
          </cell>
          <cell r="N325" t="str">
            <v>12/01/2023</v>
          </cell>
          <cell r="O325" t="e">
            <v>#N/A</v>
          </cell>
        </row>
        <row r="326">
          <cell r="B326">
            <v>1318</v>
          </cell>
          <cell r="C326" t="str">
            <v>ميالدين حافظ أحمد</v>
          </cell>
          <cell r="D326">
            <v>2503815330</v>
          </cell>
          <cell r="E326" t="str">
            <v>بنجلاديش</v>
          </cell>
          <cell r="F326" t="str">
            <v>ذكر</v>
          </cell>
          <cell r="G326">
            <v>44930</v>
          </cell>
          <cell r="I326" t="str">
            <v>دوام كامل</v>
          </cell>
          <cell r="J326" t="str">
            <v>صانع شاي</v>
          </cell>
          <cell r="K326" t="str">
            <v>الرياض</v>
          </cell>
          <cell r="L326" t="str">
            <v>لبن</v>
          </cell>
          <cell r="O326" t="str">
            <v>0538200940</v>
          </cell>
        </row>
        <row r="327">
          <cell r="B327">
            <v>1319</v>
          </cell>
          <cell r="C327" t="str">
            <v>شؤيف أوسين</v>
          </cell>
          <cell r="D327">
            <v>2532687825</v>
          </cell>
          <cell r="E327" t="str">
            <v>بنجلاديش</v>
          </cell>
          <cell r="F327" t="str">
            <v>ذكر</v>
          </cell>
          <cell r="G327">
            <v>44931</v>
          </cell>
          <cell r="I327" t="str">
            <v>دوام كامل</v>
          </cell>
          <cell r="J327" t="str">
            <v>صانع شاي</v>
          </cell>
          <cell r="K327" t="str">
            <v>الرياض</v>
          </cell>
          <cell r="L327" t="str">
            <v>هاينس</v>
          </cell>
          <cell r="O327" t="str">
            <v>0534353724</v>
          </cell>
        </row>
        <row r="328">
          <cell r="B328">
            <v>1320</v>
          </cell>
          <cell r="C328" t="str">
            <v>مد راسل فرازي</v>
          </cell>
          <cell r="D328">
            <v>2532145436</v>
          </cell>
          <cell r="E328" t="str">
            <v>بنجلاديش</v>
          </cell>
          <cell r="F328" t="str">
            <v>ذكر</v>
          </cell>
          <cell r="G328">
            <v>44932</v>
          </cell>
          <cell r="I328" t="str">
            <v>دوام كامل</v>
          </cell>
          <cell r="J328" t="str">
            <v>صانع شاي</v>
          </cell>
          <cell r="K328" t="str">
            <v>الرياض</v>
          </cell>
          <cell r="L328" t="str">
            <v>هاينس</v>
          </cell>
          <cell r="O328" t="str">
            <v>0572949419</v>
          </cell>
        </row>
        <row r="329">
          <cell r="B329">
            <v>1321</v>
          </cell>
          <cell r="C329" t="str">
            <v>نوره شباب  محمد السبيعي</v>
          </cell>
          <cell r="D329">
            <v>1073486779</v>
          </cell>
          <cell r="E329" t="str">
            <v>سعودي</v>
          </cell>
          <cell r="F329" t="str">
            <v>أنثي</v>
          </cell>
          <cell r="G329">
            <v>44923</v>
          </cell>
          <cell r="I329" t="str">
            <v>تحت التجربة</v>
          </cell>
          <cell r="J329" t="str">
            <v>أمين صندوق</v>
          </cell>
          <cell r="K329" t="str">
            <v>الرياض</v>
          </cell>
          <cell r="L329" t="str">
            <v>الدائري الغربي</v>
          </cell>
          <cell r="M329" t="str">
            <v>إستقالة</v>
          </cell>
          <cell r="N329" t="str">
            <v>02/01/2023</v>
          </cell>
          <cell r="O329" t="e">
            <v>#N/A</v>
          </cell>
        </row>
        <row r="330">
          <cell r="B330">
            <v>1322</v>
          </cell>
          <cell r="C330" t="str">
            <v>عبير الحسين علي حماطى</v>
          </cell>
          <cell r="D330">
            <v>1101186086</v>
          </cell>
          <cell r="E330" t="str">
            <v>سعودي</v>
          </cell>
          <cell r="F330" t="str">
            <v>أنثي</v>
          </cell>
          <cell r="G330">
            <v>44928</v>
          </cell>
          <cell r="I330" t="str">
            <v>دوام كامل</v>
          </cell>
          <cell r="J330" t="str">
            <v>أمين صندوق</v>
          </cell>
          <cell r="K330" t="str">
            <v>الرياض</v>
          </cell>
          <cell r="L330" t="str">
            <v>الدائري الغربي</v>
          </cell>
          <cell r="O330" t="str">
            <v>0554982870</v>
          </cell>
        </row>
        <row r="331">
          <cell r="B331">
            <v>1323</v>
          </cell>
          <cell r="C331" t="str">
            <v>شمس الدين زايال بوريال</v>
          </cell>
          <cell r="D331">
            <v>3110284589</v>
          </cell>
          <cell r="E331" t="str">
            <v>الهند</v>
          </cell>
          <cell r="F331" t="str">
            <v>ذكر</v>
          </cell>
          <cell r="G331">
            <v>44934</v>
          </cell>
          <cell r="I331" t="str">
            <v>دوام كامل</v>
          </cell>
          <cell r="J331" t="str">
            <v>عامل</v>
          </cell>
          <cell r="K331" t="str">
            <v>الرياض</v>
          </cell>
          <cell r="L331" t="str">
            <v>النسيم 2</v>
          </cell>
          <cell r="O331" t="str">
            <v/>
          </cell>
        </row>
        <row r="332">
          <cell r="B332">
            <v>1324</v>
          </cell>
          <cell r="C332" t="str">
            <v>محمد زيدان محمد زيدان</v>
          </cell>
          <cell r="D332">
            <v>2498911995</v>
          </cell>
          <cell r="E332" t="str">
            <v>مصر</v>
          </cell>
          <cell r="F332" t="str">
            <v>ذكر</v>
          </cell>
          <cell r="G332">
            <v>44964</v>
          </cell>
          <cell r="I332" t="str">
            <v>دوام كامل</v>
          </cell>
          <cell r="J332" t="str">
            <v>مشرف مبيعات</v>
          </cell>
          <cell r="K332" t="str">
            <v>الخرج</v>
          </cell>
          <cell r="L332" t="str">
            <v>المصنع</v>
          </cell>
          <cell r="O332" t="str">
            <v>0545928859</v>
          </cell>
        </row>
        <row r="333">
          <cell r="B333">
            <v>1325</v>
          </cell>
          <cell r="C333" t="str">
            <v>سجيب سو ليمان</v>
          </cell>
          <cell r="D333">
            <v>2536753755</v>
          </cell>
          <cell r="E333" t="str">
            <v>بنجلاديش</v>
          </cell>
          <cell r="F333" t="str">
            <v>ذكر</v>
          </cell>
          <cell r="G333">
            <v>44935</v>
          </cell>
          <cell r="I333" t="str">
            <v>تحت التجربة</v>
          </cell>
          <cell r="J333" t="str">
            <v>عامل</v>
          </cell>
          <cell r="K333" t="str">
            <v>الرياض</v>
          </cell>
          <cell r="L333" t="str">
            <v>هاينس</v>
          </cell>
          <cell r="O333" t="str">
            <v>0578257610</v>
          </cell>
        </row>
        <row r="334">
          <cell r="B334">
            <v>1326</v>
          </cell>
          <cell r="C334" t="str">
            <v>فهد دلوار أوسين</v>
          </cell>
          <cell r="D334">
            <v>2536662022</v>
          </cell>
          <cell r="E334" t="str">
            <v>بنجلاديش</v>
          </cell>
          <cell r="F334" t="str">
            <v>ذكر</v>
          </cell>
          <cell r="G334">
            <v>44935</v>
          </cell>
          <cell r="I334" t="str">
            <v>تحت التجربة</v>
          </cell>
          <cell r="J334" t="str">
            <v>عامل</v>
          </cell>
          <cell r="K334" t="str">
            <v>الرياض</v>
          </cell>
          <cell r="L334" t="str">
            <v>هاينس</v>
          </cell>
          <cell r="O334" t="str">
            <v>0578596403</v>
          </cell>
        </row>
        <row r="335">
          <cell r="B335">
            <v>1327</v>
          </cell>
          <cell r="C335" t="str">
            <v>محمد جي بقاء ال</v>
          </cell>
          <cell r="D335">
            <v>2528275064</v>
          </cell>
          <cell r="E335" t="str">
            <v>بنجلاديش</v>
          </cell>
          <cell r="F335" t="str">
            <v>ذكر</v>
          </cell>
          <cell r="G335">
            <v>44936</v>
          </cell>
          <cell r="I335" t="str">
            <v>تحت التجربة</v>
          </cell>
          <cell r="J335" t="str">
            <v>عامل</v>
          </cell>
          <cell r="K335" t="str">
            <v>الرياض</v>
          </cell>
          <cell r="L335" t="str">
            <v>هاينس</v>
          </cell>
          <cell r="O335" t="str">
            <v>0577029050</v>
          </cell>
        </row>
        <row r="336">
          <cell r="B336">
            <v>1328</v>
          </cell>
          <cell r="C336" t="str">
            <v>محمد نازمال اسلام</v>
          </cell>
          <cell r="D336">
            <v>2527992065</v>
          </cell>
          <cell r="E336" t="str">
            <v>بنجلاديش</v>
          </cell>
          <cell r="F336" t="str">
            <v>ذكر</v>
          </cell>
          <cell r="G336">
            <v>44937</v>
          </cell>
          <cell r="I336" t="str">
            <v>تحت التجربة</v>
          </cell>
          <cell r="J336" t="str">
            <v>عامل</v>
          </cell>
          <cell r="K336" t="str">
            <v>الرياض</v>
          </cell>
          <cell r="L336" t="str">
            <v>هاينس</v>
          </cell>
          <cell r="M336" t="str">
            <v>انهاء فترة التجربة</v>
          </cell>
          <cell r="N336" t="str">
            <v>14/01/2023</v>
          </cell>
          <cell r="O336" t="e">
            <v>#N/A</v>
          </cell>
        </row>
        <row r="337">
          <cell r="B337">
            <v>1329</v>
          </cell>
          <cell r="C337" t="str">
            <v>مد أبو بكر صديق</v>
          </cell>
          <cell r="D337">
            <v>2527261669</v>
          </cell>
          <cell r="E337" t="str">
            <v>بنجلاديش</v>
          </cell>
          <cell r="F337" t="str">
            <v>ذكر</v>
          </cell>
          <cell r="G337">
            <v>44937</v>
          </cell>
          <cell r="I337" t="str">
            <v>دوام كامل</v>
          </cell>
          <cell r="J337" t="str">
            <v>ويتر</v>
          </cell>
          <cell r="K337" t="str">
            <v>الرياض</v>
          </cell>
          <cell r="L337" t="str">
            <v>هاينس</v>
          </cell>
          <cell r="O337" t="str">
            <v>0564538531</v>
          </cell>
        </row>
        <row r="338">
          <cell r="B338">
            <v>1330</v>
          </cell>
          <cell r="C338" t="str">
            <v>مؤمن باكاول</v>
          </cell>
          <cell r="D338">
            <v>2525705451</v>
          </cell>
          <cell r="E338" t="str">
            <v>بنجلاديش</v>
          </cell>
          <cell r="F338" t="str">
            <v>ذكر</v>
          </cell>
          <cell r="G338">
            <v>44939</v>
          </cell>
          <cell r="I338" t="str">
            <v>دوام كامل</v>
          </cell>
          <cell r="J338" t="str">
            <v>صانع شاي</v>
          </cell>
          <cell r="K338" t="str">
            <v>الرياض</v>
          </cell>
          <cell r="L338" t="str">
            <v>هاينس</v>
          </cell>
          <cell r="O338" t="str">
            <v>0542375931</v>
          </cell>
        </row>
        <row r="339">
          <cell r="B339">
            <v>1331</v>
          </cell>
          <cell r="C339" t="str">
            <v>سميرة عبدالله كريوين النفيعي العتيبي</v>
          </cell>
          <cell r="D339">
            <v>1044099990</v>
          </cell>
          <cell r="E339" t="str">
            <v>سعودي</v>
          </cell>
          <cell r="F339" t="str">
            <v>أنثي</v>
          </cell>
          <cell r="G339">
            <v>44941</v>
          </cell>
          <cell r="I339" t="str">
            <v>تحت التجربة</v>
          </cell>
          <cell r="J339" t="str">
            <v>صانع محتوي</v>
          </cell>
          <cell r="K339" t="str">
            <v>الرياض</v>
          </cell>
          <cell r="L339" t="str">
            <v>وكالة ممكن</v>
          </cell>
          <cell r="O339" t="str">
            <v>0550707819</v>
          </cell>
        </row>
        <row r="340">
          <cell r="B340">
            <v>1332</v>
          </cell>
          <cell r="C340" t="str">
            <v>منيرة فهد علي مديهش</v>
          </cell>
          <cell r="D340">
            <v>1121485021</v>
          </cell>
          <cell r="E340" t="str">
            <v>سعودي</v>
          </cell>
          <cell r="F340" t="str">
            <v>أنثي</v>
          </cell>
          <cell r="G340">
            <v>44941</v>
          </cell>
          <cell r="I340" t="str">
            <v>دوام كامل</v>
          </cell>
          <cell r="J340" t="str">
            <v>صانع محتوي</v>
          </cell>
          <cell r="K340" t="str">
            <v>الرياض</v>
          </cell>
          <cell r="L340" t="str">
            <v>وكالة ممكن</v>
          </cell>
          <cell r="O340" t="str">
            <v>0504867290</v>
          </cell>
        </row>
        <row r="341">
          <cell r="B341">
            <v>1333</v>
          </cell>
          <cell r="C341" t="str">
            <v>زينب علي مهدي سماني</v>
          </cell>
          <cell r="D341">
            <v>1062387806</v>
          </cell>
          <cell r="E341" t="str">
            <v>سعودي</v>
          </cell>
          <cell r="F341" t="str">
            <v>أنثي</v>
          </cell>
          <cell r="G341">
            <v>44941</v>
          </cell>
          <cell r="I341" t="str">
            <v>دوام كامل</v>
          </cell>
          <cell r="J341" t="str">
            <v>كاتب إداري</v>
          </cell>
          <cell r="K341" t="str">
            <v>الرياض</v>
          </cell>
          <cell r="L341" t="str">
            <v>وكالة ممكن</v>
          </cell>
          <cell r="O341" t="str">
            <v>0504360758</v>
          </cell>
        </row>
        <row r="342">
          <cell r="B342">
            <v>1334</v>
          </cell>
          <cell r="C342" t="str">
            <v>عائشة محمد عبدالرزاق الدهام</v>
          </cell>
          <cell r="D342">
            <v>1104998362</v>
          </cell>
          <cell r="E342" t="str">
            <v>سعودي</v>
          </cell>
          <cell r="F342" t="str">
            <v>أنثي</v>
          </cell>
          <cell r="G342">
            <v>44941</v>
          </cell>
          <cell r="I342" t="str">
            <v>دوام كامل</v>
          </cell>
          <cell r="J342" t="str">
            <v>خدمة عملاء</v>
          </cell>
          <cell r="K342" t="str">
            <v>الرياض</v>
          </cell>
          <cell r="L342" t="str">
            <v>وكالة ممكن</v>
          </cell>
          <cell r="O342" t="str">
            <v>0535425615</v>
          </cell>
        </row>
        <row r="343">
          <cell r="B343">
            <v>1335</v>
          </cell>
          <cell r="C343" t="str">
            <v>اسامه محمد تركي ال جراد</v>
          </cell>
          <cell r="D343">
            <v>1125186740</v>
          </cell>
          <cell r="E343" t="str">
            <v>سعودي</v>
          </cell>
          <cell r="F343" t="str">
            <v>ذكر</v>
          </cell>
          <cell r="G343">
            <v>44937</v>
          </cell>
          <cell r="I343" t="str">
            <v>دوام كامل</v>
          </cell>
          <cell r="J343" t="str">
            <v>أمين صندوق</v>
          </cell>
          <cell r="K343" t="str">
            <v>الرياض</v>
          </cell>
          <cell r="L343" t="str">
            <v>المصيف</v>
          </cell>
          <cell r="O343" t="str">
            <v>0552375089</v>
          </cell>
        </row>
        <row r="344">
          <cell r="B344">
            <v>1336</v>
          </cell>
          <cell r="C344" t="str">
            <v>أسامه سعيد سعد الشهراني</v>
          </cell>
          <cell r="D344">
            <v>1123444588</v>
          </cell>
          <cell r="E344" t="str">
            <v>سعودي</v>
          </cell>
          <cell r="F344" t="str">
            <v>ذكر</v>
          </cell>
          <cell r="G344">
            <v>44935</v>
          </cell>
          <cell r="I344" t="str">
            <v>دوام كامل</v>
          </cell>
          <cell r="J344" t="str">
            <v>أمين صندوق</v>
          </cell>
          <cell r="K344" t="str">
            <v>الرياض</v>
          </cell>
          <cell r="L344" t="str">
            <v>المصيف</v>
          </cell>
          <cell r="O344" t="str">
            <v>0506353166</v>
          </cell>
        </row>
        <row r="345">
          <cell r="B345">
            <v>1337</v>
          </cell>
          <cell r="C345" t="str">
            <v>وليد عيظة يحيى عميشان</v>
          </cell>
          <cell r="D345">
            <v>2344876285</v>
          </cell>
          <cell r="E345" t="str">
            <v>اليمن</v>
          </cell>
          <cell r="F345" t="str">
            <v>ذكر</v>
          </cell>
          <cell r="G345">
            <v>44944</v>
          </cell>
          <cell r="I345" t="str">
            <v>تحت التجربة</v>
          </cell>
          <cell r="J345" t="str">
            <v>سائق</v>
          </cell>
          <cell r="K345" t="str">
            <v>الخرج</v>
          </cell>
          <cell r="L345" t="str">
            <v>المصنع</v>
          </cell>
          <cell r="O345" t="str">
            <v>0506721106</v>
          </cell>
        </row>
        <row r="346">
          <cell r="B346">
            <v>1338</v>
          </cell>
          <cell r="C346" t="str">
            <v>مد رضاء ال كريم</v>
          </cell>
          <cell r="D346">
            <v>2510562966</v>
          </cell>
          <cell r="E346" t="str">
            <v>بنجلاديش</v>
          </cell>
          <cell r="F346" t="str">
            <v>ذكر</v>
          </cell>
          <cell r="G346">
            <v>44944</v>
          </cell>
          <cell r="I346" t="str">
            <v>تحت التجربة</v>
          </cell>
          <cell r="J346" t="str">
            <v>عامل</v>
          </cell>
          <cell r="K346" t="str">
            <v>الرياض</v>
          </cell>
          <cell r="L346" t="str">
            <v>هاينس</v>
          </cell>
          <cell r="M346" t="str">
            <v>إستقالة</v>
          </cell>
          <cell r="O346" t="e">
            <v>#N/A</v>
          </cell>
        </row>
        <row r="347">
          <cell r="B347">
            <v>1339</v>
          </cell>
          <cell r="C347" t="str">
            <v>عبد الحميد محمد ذكى عتيم</v>
          </cell>
          <cell r="D347">
            <v>2344876285</v>
          </cell>
          <cell r="E347" t="str">
            <v>اليمن</v>
          </cell>
          <cell r="F347" t="str">
            <v>ذكر</v>
          </cell>
          <cell r="G347">
            <v>44943</v>
          </cell>
          <cell r="I347" t="str">
            <v>تحت التجربة</v>
          </cell>
          <cell r="J347" t="str">
            <v>عامل</v>
          </cell>
          <cell r="K347" t="str">
            <v>الرياض</v>
          </cell>
          <cell r="L347" t="str">
            <v>ورشة أثاث</v>
          </cell>
          <cell r="O347" t="str">
            <v>0550285163</v>
          </cell>
        </row>
        <row r="348">
          <cell r="B348">
            <v>1340</v>
          </cell>
          <cell r="C348" t="str">
            <v>محمد حسن علي الرعوي</v>
          </cell>
          <cell r="D348">
            <v>4804551176</v>
          </cell>
          <cell r="E348" t="str">
            <v>اليمن</v>
          </cell>
          <cell r="F348" t="str">
            <v>ذكر</v>
          </cell>
          <cell r="G348">
            <v>44946</v>
          </cell>
          <cell r="I348" t="str">
            <v>دوام كامل</v>
          </cell>
          <cell r="J348" t="str">
            <v>مدخل بيانات</v>
          </cell>
          <cell r="K348" t="str">
            <v>الرياض</v>
          </cell>
          <cell r="L348" t="str">
            <v>أونلاين</v>
          </cell>
          <cell r="O348" t="str">
            <v/>
          </cell>
        </row>
        <row r="349">
          <cell r="B349">
            <v>1341</v>
          </cell>
          <cell r="C349" t="str">
            <v>عبدالرحمن خالد اسماعيل خليفة</v>
          </cell>
          <cell r="D349">
            <v>2508652456</v>
          </cell>
          <cell r="E349" t="str">
            <v>مصر</v>
          </cell>
          <cell r="F349" t="str">
            <v>ذكر</v>
          </cell>
          <cell r="G349">
            <v>44947</v>
          </cell>
          <cell r="I349" t="str">
            <v>تحت التجربة</v>
          </cell>
          <cell r="J349" t="str">
            <v>محاسب</v>
          </cell>
          <cell r="K349" t="str">
            <v>الرياض</v>
          </cell>
          <cell r="L349" t="str">
            <v>وكالة ممكن</v>
          </cell>
          <cell r="M349" t="str">
            <v>انهاء فترة التجربة</v>
          </cell>
          <cell r="N349" t="str">
            <v>29/01/2023</v>
          </cell>
          <cell r="O349" t="e">
            <v>#N/A</v>
          </cell>
        </row>
        <row r="350">
          <cell r="B350">
            <v>1342</v>
          </cell>
          <cell r="C350" t="str">
            <v>PUTHIYA PURAYIL RAJU</v>
          </cell>
          <cell r="D350">
            <v>2432636310</v>
          </cell>
          <cell r="E350" t="str">
            <v>الهند</v>
          </cell>
          <cell r="F350" t="str">
            <v>ذكر</v>
          </cell>
          <cell r="I350" t="str">
            <v>دوام كامل</v>
          </cell>
          <cell r="J350" t="str">
            <v>عامله منزليه</v>
          </cell>
          <cell r="K350" t="str">
            <v>الرياض</v>
          </cell>
          <cell r="L350" t="str">
            <v>المدير العام</v>
          </cell>
          <cell r="O350" t="str">
            <v/>
          </cell>
        </row>
        <row r="351">
          <cell r="B351">
            <v>1343</v>
          </cell>
          <cell r="C351" t="str">
            <v>جانجير حسين حسين</v>
          </cell>
          <cell r="D351">
            <v>2531142392</v>
          </cell>
          <cell r="E351" t="str">
            <v>بنجلاديش</v>
          </cell>
          <cell r="F351" t="str">
            <v>ذكر</v>
          </cell>
          <cell r="G351">
            <v>44940</v>
          </cell>
          <cell r="I351" t="str">
            <v>تحت التجربة</v>
          </cell>
          <cell r="J351" t="str">
            <v>عامل</v>
          </cell>
          <cell r="K351" t="str">
            <v>الرياض</v>
          </cell>
          <cell r="L351" t="str">
            <v>الدائري الغربي</v>
          </cell>
          <cell r="M351" t="str">
            <v>انهاء فترة التجربة</v>
          </cell>
          <cell r="N351" t="str">
            <v>02/02/2023</v>
          </cell>
          <cell r="O351" t="e">
            <v>#N/A</v>
          </cell>
        </row>
        <row r="352">
          <cell r="B352">
            <v>1344</v>
          </cell>
          <cell r="C352" t="str">
            <v>اسامة احمد محمد الكامل</v>
          </cell>
          <cell r="D352">
            <v>2529380178</v>
          </cell>
          <cell r="E352" t="str">
            <v>اليمن</v>
          </cell>
          <cell r="F352" t="str">
            <v>ذكر</v>
          </cell>
          <cell r="G352">
            <v>44957</v>
          </cell>
          <cell r="I352" t="str">
            <v>دوام كامل</v>
          </cell>
          <cell r="J352" t="str">
            <v>مبرمج</v>
          </cell>
          <cell r="K352" t="str">
            <v>الرياض</v>
          </cell>
          <cell r="L352" t="str">
            <v>وكالة ممكن</v>
          </cell>
          <cell r="O352" t="str">
            <v>0557428843</v>
          </cell>
        </row>
        <row r="353">
          <cell r="B353">
            <v>1345</v>
          </cell>
          <cell r="C353" t="str">
            <v>اوس فيصل ناجي الرعوي</v>
          </cell>
          <cell r="E353" t="str">
            <v>اليمن</v>
          </cell>
          <cell r="F353" t="str">
            <v>ذكر</v>
          </cell>
          <cell r="G353">
            <v>44958</v>
          </cell>
          <cell r="I353" t="str">
            <v>دوام كامل</v>
          </cell>
          <cell r="J353" t="str">
            <v>مدخل بيانات</v>
          </cell>
          <cell r="K353" t="str">
            <v>الرياض</v>
          </cell>
          <cell r="L353" t="str">
            <v>هاينس</v>
          </cell>
          <cell r="O353" t="str">
            <v>0501754520</v>
          </cell>
        </row>
        <row r="354">
          <cell r="B354">
            <v>1346</v>
          </cell>
          <cell r="C354" t="str">
            <v>محمد رمزان محمد نفيس</v>
          </cell>
          <cell r="D354">
            <v>3126220833</v>
          </cell>
          <cell r="E354" t="str">
            <v>باكستان</v>
          </cell>
          <cell r="F354" t="str">
            <v>ذكر</v>
          </cell>
          <cell r="G354">
            <v>45055</v>
          </cell>
          <cell r="J354" t="str">
            <v>عامل صيانة أدوات كهربائية</v>
          </cell>
          <cell r="K354" t="str">
            <v>الرياض</v>
          </cell>
          <cell r="L354" t="str">
            <v>الإدارة</v>
          </cell>
          <cell r="O354" t="str">
            <v/>
          </cell>
        </row>
        <row r="355">
          <cell r="B355">
            <v>1347</v>
          </cell>
          <cell r="C355" t="str">
            <v>عمرو ماجد عبده علي الرعوي</v>
          </cell>
          <cell r="E355" t="str">
            <v>اليمن</v>
          </cell>
          <cell r="F355" t="str">
            <v>ذكر</v>
          </cell>
          <cell r="I355" t="str">
            <v>دوام كامل</v>
          </cell>
          <cell r="J355" t="str">
            <v>عامل مخزن</v>
          </cell>
          <cell r="K355" t="str">
            <v>الرياض</v>
          </cell>
          <cell r="L355" t="str">
            <v>مستودع جملة سلطان</v>
          </cell>
          <cell r="O355" t="str">
            <v/>
          </cell>
        </row>
        <row r="356">
          <cell r="B356">
            <v>1348</v>
          </cell>
          <cell r="C356" t="str">
            <v>اثير يحيى علي حكمي</v>
          </cell>
          <cell r="D356">
            <v>1101526802</v>
          </cell>
          <cell r="E356" t="str">
            <v>سعودي</v>
          </cell>
          <cell r="F356" t="str">
            <v>أنثي</v>
          </cell>
          <cell r="G356">
            <v>44964</v>
          </cell>
          <cell r="I356" t="str">
            <v>دوام كامل</v>
          </cell>
          <cell r="J356" t="str">
            <v>مصور فوتغرافي</v>
          </cell>
          <cell r="K356" t="str">
            <v>الرياض</v>
          </cell>
          <cell r="L356" t="str">
            <v>وكالة ممكن</v>
          </cell>
          <cell r="O356" t="str">
            <v>0535577315</v>
          </cell>
        </row>
        <row r="357">
          <cell r="B357">
            <v>1349</v>
          </cell>
          <cell r="C357" t="str">
            <v>صلاح اديب يحيى الشامي</v>
          </cell>
          <cell r="D357">
            <v>2542194382</v>
          </cell>
          <cell r="E357" t="str">
            <v>اليمن</v>
          </cell>
          <cell r="F357" t="str">
            <v>ذكر</v>
          </cell>
          <cell r="G357">
            <v>44957</v>
          </cell>
          <cell r="I357" t="str">
            <v>دوام كامل</v>
          </cell>
          <cell r="J357" t="str">
            <v>عامل</v>
          </cell>
          <cell r="K357" t="str">
            <v>الرياض</v>
          </cell>
          <cell r="L357" t="str">
            <v>مزبوط الشاي</v>
          </cell>
          <cell r="O357" t="str">
            <v>0570271249</v>
          </cell>
        </row>
        <row r="358">
          <cell r="B358">
            <v>1350</v>
          </cell>
          <cell r="C358" t="str">
            <v>رقيه علي مهدي سماني</v>
          </cell>
          <cell r="D358">
            <v>1100801966</v>
          </cell>
          <cell r="E358" t="str">
            <v>سعودي</v>
          </cell>
          <cell r="G358">
            <v>44965</v>
          </cell>
          <cell r="I358" t="str">
            <v>عن بعد</v>
          </cell>
          <cell r="J358" t="str">
            <v>أخصائي تسويق</v>
          </cell>
          <cell r="K358" t="str">
            <v>الرياض</v>
          </cell>
          <cell r="L358" t="str">
            <v>الإدارة</v>
          </cell>
          <cell r="O358" t="str">
            <v/>
          </cell>
        </row>
        <row r="359">
          <cell r="B359">
            <v>1351</v>
          </cell>
          <cell r="C359" t="str">
            <v>مصطفي سعيد محمد خالد الجعدي</v>
          </cell>
          <cell r="E359" t="str">
            <v>اليمن</v>
          </cell>
          <cell r="F359" t="str">
            <v>ذكر</v>
          </cell>
          <cell r="G359">
            <v>44941</v>
          </cell>
          <cell r="I359" t="str">
            <v>تحت التجربة</v>
          </cell>
          <cell r="K359" t="str">
            <v>الرياض</v>
          </cell>
          <cell r="L359" t="str">
            <v>ورشة أثاث</v>
          </cell>
          <cell r="O359" t="str">
            <v/>
          </cell>
        </row>
        <row r="360">
          <cell r="B360">
            <v>1352</v>
          </cell>
          <cell r="C360" t="str">
            <v>حصه فيصل مبارك ال حميد الدوسري</v>
          </cell>
          <cell r="D360">
            <v>1120811821</v>
          </cell>
          <cell r="E360" t="str">
            <v>سعودي</v>
          </cell>
          <cell r="F360" t="str">
            <v>أنثي</v>
          </cell>
          <cell r="G360">
            <v>44962</v>
          </cell>
          <cell r="I360" t="str">
            <v>دوام كامل</v>
          </cell>
          <cell r="J360" t="str">
            <v>أمين صندوق</v>
          </cell>
          <cell r="K360" t="str">
            <v>الرياض</v>
          </cell>
          <cell r="L360" t="str">
            <v>الشفا</v>
          </cell>
          <cell r="M360" t="str">
            <v>إستقالة</v>
          </cell>
          <cell r="N360" t="str">
            <v>06/06/2023</v>
          </cell>
          <cell r="O360" t="str">
            <v>0532327266</v>
          </cell>
        </row>
        <row r="361">
          <cell r="B361">
            <v>1353</v>
          </cell>
          <cell r="C361" t="str">
            <v>منصور عبدالعزيز ماشع المشرافي المطيري</v>
          </cell>
          <cell r="D361">
            <v>1122972456</v>
          </cell>
          <cell r="E361" t="str">
            <v>سعودي</v>
          </cell>
          <cell r="F361" t="str">
            <v>ذكر</v>
          </cell>
          <cell r="G361">
            <v>44964</v>
          </cell>
          <cell r="I361" t="str">
            <v>دوام كامل</v>
          </cell>
          <cell r="J361" t="str">
            <v>أمين صندوق</v>
          </cell>
          <cell r="K361" t="str">
            <v>الرياض</v>
          </cell>
          <cell r="L361" t="str">
            <v>اليرموك</v>
          </cell>
          <cell r="O361" t="str">
            <v>0536126960</v>
          </cell>
        </row>
        <row r="362">
          <cell r="B362">
            <v>1354</v>
          </cell>
          <cell r="C362" t="str">
            <v>الوليد خالد عبدالله بن دبل</v>
          </cell>
          <cell r="D362">
            <v>1114023367</v>
          </cell>
          <cell r="E362" t="str">
            <v>سعودي</v>
          </cell>
          <cell r="F362" t="str">
            <v>ذكر</v>
          </cell>
          <cell r="G362">
            <v>44971</v>
          </cell>
          <cell r="I362" t="str">
            <v>دوام كامل</v>
          </cell>
          <cell r="K362" t="str">
            <v>الرياض</v>
          </cell>
          <cell r="L362" t="str">
            <v>هاينس</v>
          </cell>
          <cell r="M362" t="str">
            <v>إستقالة</v>
          </cell>
          <cell r="O362" t="e">
            <v>#N/A</v>
          </cell>
        </row>
        <row r="363">
          <cell r="B363">
            <v>1355</v>
          </cell>
          <cell r="C363" t="str">
            <v>شهد فهد إبراهيم الرزيحي</v>
          </cell>
          <cell r="D363">
            <v>1110778030</v>
          </cell>
          <cell r="E363" t="str">
            <v>سعودي</v>
          </cell>
          <cell r="F363" t="str">
            <v>أنثي</v>
          </cell>
          <cell r="G363">
            <v>44972</v>
          </cell>
          <cell r="I363" t="str">
            <v>عن بعد</v>
          </cell>
          <cell r="J363" t="str">
            <v>أخصائي تسويق</v>
          </cell>
          <cell r="K363" t="str">
            <v>الرياض</v>
          </cell>
          <cell r="L363" t="str">
            <v>الإدارة</v>
          </cell>
          <cell r="O363" t="str">
            <v>0533996362</v>
          </cell>
        </row>
        <row r="364">
          <cell r="B364">
            <v>1356</v>
          </cell>
          <cell r="C364" t="str">
            <v>دانه أحمد صالح المبيريك</v>
          </cell>
          <cell r="D364">
            <v>1080876889</v>
          </cell>
          <cell r="E364" t="str">
            <v>سعودي</v>
          </cell>
          <cell r="F364" t="str">
            <v>أنثي</v>
          </cell>
          <cell r="G364">
            <v>44972</v>
          </cell>
          <cell r="I364" t="str">
            <v>عن بعد</v>
          </cell>
          <cell r="J364" t="str">
            <v>أخصائي تسويق</v>
          </cell>
          <cell r="K364" t="str">
            <v>الرياض</v>
          </cell>
          <cell r="L364" t="str">
            <v>الإدارة</v>
          </cell>
          <cell r="O364" t="str">
            <v>0549755543</v>
          </cell>
        </row>
        <row r="365">
          <cell r="B365">
            <v>1357</v>
          </cell>
          <cell r="C365" t="str">
            <v>راويه محمد بن عبده رياني</v>
          </cell>
          <cell r="D365">
            <v>1071460826</v>
          </cell>
          <cell r="E365" t="str">
            <v>سعودي</v>
          </cell>
          <cell r="F365" t="str">
            <v>أنثي</v>
          </cell>
          <cell r="G365">
            <v>44972</v>
          </cell>
          <cell r="I365" t="str">
            <v>عن بعد</v>
          </cell>
          <cell r="J365" t="str">
            <v>أخصائي تسويق</v>
          </cell>
          <cell r="K365" t="str">
            <v>الرياض</v>
          </cell>
          <cell r="L365" t="str">
            <v>الإدارة</v>
          </cell>
          <cell r="O365" t="str">
            <v/>
          </cell>
        </row>
        <row r="366">
          <cell r="B366">
            <v>1358</v>
          </cell>
          <cell r="C366" t="str">
            <v>بيان صالح عبدالعزيز العجيان</v>
          </cell>
          <cell r="D366">
            <v>1112370810</v>
          </cell>
          <cell r="E366" t="str">
            <v>سعودي</v>
          </cell>
          <cell r="F366" t="str">
            <v>أنثي</v>
          </cell>
          <cell r="G366">
            <v>44973</v>
          </cell>
          <cell r="I366" t="str">
            <v>عن بعد</v>
          </cell>
          <cell r="J366" t="str">
            <v>أخصائي تسويق</v>
          </cell>
          <cell r="K366" t="str">
            <v>الرياض</v>
          </cell>
          <cell r="L366" t="str">
            <v>الإدارة</v>
          </cell>
          <cell r="O366" t="str">
            <v>0551367646</v>
          </cell>
        </row>
        <row r="367">
          <cell r="B367">
            <v>1359</v>
          </cell>
          <cell r="C367" t="str">
            <v>سهام احمد محمد السميح</v>
          </cell>
          <cell r="D367">
            <v>1110338884</v>
          </cell>
          <cell r="E367" t="str">
            <v>سعودي</v>
          </cell>
          <cell r="F367" t="str">
            <v>أنثي</v>
          </cell>
          <cell r="G367">
            <v>44973</v>
          </cell>
          <cell r="I367" t="str">
            <v>عن بعد</v>
          </cell>
          <cell r="J367" t="str">
            <v>أخصائي تسويق</v>
          </cell>
          <cell r="K367" t="str">
            <v>الرياض</v>
          </cell>
          <cell r="L367" t="str">
            <v>الإدارة</v>
          </cell>
          <cell r="O367" t="str">
            <v>0545500104</v>
          </cell>
        </row>
        <row r="368">
          <cell r="B368">
            <v>1360</v>
          </cell>
          <cell r="C368" t="str">
            <v>محمد رسيل مياح مياح</v>
          </cell>
          <cell r="D368">
            <v>2534760141</v>
          </cell>
          <cell r="E368" t="str">
            <v>بنجلاديش</v>
          </cell>
          <cell r="F368" t="str">
            <v>ذكر</v>
          </cell>
          <cell r="G368">
            <v>44972</v>
          </cell>
          <cell r="I368" t="str">
            <v>تحت التجربة</v>
          </cell>
          <cell r="J368" t="str">
            <v>عامل</v>
          </cell>
          <cell r="K368" t="str">
            <v>الاحساء</v>
          </cell>
          <cell r="L368" t="str">
            <v>الأندلس</v>
          </cell>
          <cell r="O368" t="str">
            <v/>
          </cell>
        </row>
        <row r="369">
          <cell r="B369">
            <v>1361</v>
          </cell>
          <cell r="C369" t="str">
            <v>مد فاهد ال اسلام</v>
          </cell>
          <cell r="D369">
            <v>2511228443</v>
          </cell>
          <cell r="E369" t="str">
            <v>بنجلاديش</v>
          </cell>
          <cell r="F369" t="str">
            <v>ذكر</v>
          </cell>
          <cell r="G369">
            <v>44972</v>
          </cell>
          <cell r="I369" t="str">
            <v>تحت التجربة</v>
          </cell>
          <cell r="J369" t="str">
            <v>عامل</v>
          </cell>
          <cell r="K369" t="str">
            <v>الرياض</v>
          </cell>
          <cell r="L369" t="str">
            <v>لبن</v>
          </cell>
          <cell r="O369" t="str">
            <v/>
          </cell>
        </row>
        <row r="370">
          <cell r="B370">
            <v>1362</v>
          </cell>
          <cell r="C370" t="str">
            <v>مد شكيل اوسين</v>
          </cell>
          <cell r="D370">
            <v>2533300105</v>
          </cell>
          <cell r="E370" t="str">
            <v>بنجلاديش</v>
          </cell>
          <cell r="F370" t="str">
            <v>ذكر</v>
          </cell>
          <cell r="G370">
            <v>44941</v>
          </cell>
          <cell r="I370" t="str">
            <v>تحت التجربة</v>
          </cell>
          <cell r="J370" t="str">
            <v>عامل</v>
          </cell>
          <cell r="K370" t="str">
            <v>الرياض</v>
          </cell>
          <cell r="L370" t="str">
            <v>الدائري الغربي</v>
          </cell>
          <cell r="O370" t="str">
            <v>0575785014</v>
          </cell>
        </row>
        <row r="371">
          <cell r="B371">
            <v>1363</v>
          </cell>
          <cell r="C371" t="str">
            <v>ليتون ساردار</v>
          </cell>
          <cell r="D371">
            <v>2535213090</v>
          </cell>
          <cell r="E371" t="str">
            <v>بنجلاديش</v>
          </cell>
          <cell r="F371" t="str">
            <v>ذكر</v>
          </cell>
          <cell r="G371">
            <v>44972</v>
          </cell>
          <cell r="I371" t="str">
            <v>دوام كامل</v>
          </cell>
          <cell r="J371" t="str">
            <v>عامل</v>
          </cell>
          <cell r="K371" t="str">
            <v>الرياض</v>
          </cell>
          <cell r="L371" t="str">
            <v>هاينس</v>
          </cell>
          <cell r="O371" t="str">
            <v>0570097133</v>
          </cell>
        </row>
        <row r="372">
          <cell r="B372">
            <v>1364</v>
          </cell>
          <cell r="C372" t="str">
            <v>عاشق ال رحمن</v>
          </cell>
          <cell r="D372">
            <v>2535213124</v>
          </cell>
          <cell r="E372" t="str">
            <v>بنجلاديش</v>
          </cell>
          <cell r="F372" t="str">
            <v>ذكر</v>
          </cell>
          <cell r="G372">
            <v>44972</v>
          </cell>
          <cell r="I372" t="str">
            <v>تحت التجربة</v>
          </cell>
          <cell r="J372" t="str">
            <v>عامل</v>
          </cell>
          <cell r="K372" t="str">
            <v>الرياض</v>
          </cell>
          <cell r="L372" t="str">
            <v>مزبوط الشاي</v>
          </cell>
          <cell r="O372" t="str">
            <v>0572005762</v>
          </cell>
        </row>
        <row r="373">
          <cell r="B373">
            <v>1365</v>
          </cell>
          <cell r="C373" t="str">
            <v>مد شفيق ال اسلام</v>
          </cell>
          <cell r="D373">
            <v>2534253832</v>
          </cell>
          <cell r="E373" t="str">
            <v>بنجلاديش</v>
          </cell>
          <cell r="F373" t="str">
            <v>ذكر</v>
          </cell>
          <cell r="G373">
            <v>44972</v>
          </cell>
          <cell r="I373" t="str">
            <v>تحت التجربة</v>
          </cell>
          <cell r="J373" t="str">
            <v>عامل</v>
          </cell>
          <cell r="K373" t="str">
            <v>الرياض</v>
          </cell>
          <cell r="L373" t="str">
            <v>هاينس</v>
          </cell>
          <cell r="O373" t="str">
            <v/>
          </cell>
        </row>
        <row r="374">
          <cell r="B374">
            <v>1366</v>
          </cell>
          <cell r="C374" t="str">
            <v>مد اقبال حسين</v>
          </cell>
          <cell r="D374">
            <v>2431861596</v>
          </cell>
          <cell r="E374" t="str">
            <v>بنجلاديش</v>
          </cell>
          <cell r="F374" t="str">
            <v>ذكر</v>
          </cell>
          <cell r="G374">
            <v>44975</v>
          </cell>
          <cell r="I374" t="str">
            <v>دوام كامل</v>
          </cell>
          <cell r="J374" t="str">
            <v>عامل بوفيه</v>
          </cell>
          <cell r="K374" t="str">
            <v>الرياض</v>
          </cell>
          <cell r="L374" t="str">
            <v>وكالة ممكن</v>
          </cell>
          <cell r="O374" t="str">
            <v>0509056706</v>
          </cell>
        </row>
        <row r="375">
          <cell r="B375">
            <v>1367</v>
          </cell>
          <cell r="C375" t="str">
            <v>نجد سعد زيد الشايقي</v>
          </cell>
          <cell r="D375">
            <v>1110223326</v>
          </cell>
          <cell r="E375" t="str">
            <v>سعودي</v>
          </cell>
          <cell r="F375" t="str">
            <v>أنثي</v>
          </cell>
          <cell r="G375">
            <v>44975</v>
          </cell>
          <cell r="I375" t="str">
            <v>عن بعد</v>
          </cell>
          <cell r="J375" t="str">
            <v>أخصائي تسويق</v>
          </cell>
          <cell r="K375" t="str">
            <v>الرياض</v>
          </cell>
          <cell r="L375" t="str">
            <v>الإدارة</v>
          </cell>
          <cell r="O375" t="str">
            <v>0533611016</v>
          </cell>
        </row>
        <row r="376">
          <cell r="B376">
            <v>1368</v>
          </cell>
          <cell r="C376" t="str">
            <v>شوق مرشد عبدالله ال خرعان</v>
          </cell>
          <cell r="D376">
            <v>1113058711</v>
          </cell>
          <cell r="E376" t="str">
            <v>سعودي</v>
          </cell>
          <cell r="F376" t="str">
            <v>أنثي</v>
          </cell>
          <cell r="G376">
            <v>44975</v>
          </cell>
          <cell r="I376" t="str">
            <v>عن بعد</v>
          </cell>
          <cell r="J376" t="str">
            <v>أخصائي تسويق</v>
          </cell>
          <cell r="K376" t="str">
            <v>الرياض</v>
          </cell>
          <cell r="L376" t="str">
            <v>الإدارة</v>
          </cell>
          <cell r="O376" t="str">
            <v/>
          </cell>
        </row>
        <row r="377">
          <cell r="B377">
            <v>1369</v>
          </cell>
          <cell r="C377" t="str">
            <v>حسن حسن حسن عطوة</v>
          </cell>
          <cell r="D377">
            <v>2538185592</v>
          </cell>
          <cell r="E377" t="str">
            <v>مصر</v>
          </cell>
          <cell r="F377" t="str">
            <v>ذكر</v>
          </cell>
          <cell r="G377">
            <v>44972</v>
          </cell>
          <cell r="I377" t="str">
            <v>دوام كامل</v>
          </cell>
          <cell r="K377" t="str">
            <v>الرياض</v>
          </cell>
          <cell r="L377" t="str">
            <v>ورشة أثاث</v>
          </cell>
          <cell r="O377" t="str">
            <v>0575640876</v>
          </cell>
        </row>
        <row r="378">
          <cell r="B378">
            <v>1370</v>
          </cell>
          <cell r="C378" t="str">
            <v>رغد زيد سلطان الكثيري</v>
          </cell>
          <cell r="D378">
            <v>1126532223</v>
          </cell>
          <cell r="E378" t="str">
            <v>سعودي</v>
          </cell>
          <cell r="F378" t="str">
            <v>أنثي</v>
          </cell>
          <cell r="G378">
            <v>44975</v>
          </cell>
          <cell r="I378" t="str">
            <v>عن بعد</v>
          </cell>
          <cell r="J378" t="str">
            <v>أخصائي تسويق</v>
          </cell>
          <cell r="K378" t="str">
            <v>الرياض</v>
          </cell>
          <cell r="L378" t="str">
            <v>الإدارة</v>
          </cell>
          <cell r="O378" t="str">
            <v>0530119891</v>
          </cell>
        </row>
        <row r="379">
          <cell r="B379">
            <v>1371</v>
          </cell>
          <cell r="C379" t="str">
            <v>لينا ناصر بن محمد المنقور</v>
          </cell>
          <cell r="D379">
            <v>1067807683</v>
          </cell>
          <cell r="E379" t="str">
            <v>سعودي</v>
          </cell>
          <cell r="F379" t="str">
            <v>أنثي</v>
          </cell>
          <cell r="G379">
            <v>44975</v>
          </cell>
          <cell r="I379" t="str">
            <v>عن بعد</v>
          </cell>
          <cell r="J379" t="str">
            <v>أخصائي تسويق</v>
          </cell>
          <cell r="K379" t="str">
            <v>الرياض</v>
          </cell>
          <cell r="L379" t="str">
            <v>الإدارة</v>
          </cell>
          <cell r="O379" t="str">
            <v>0566979299</v>
          </cell>
        </row>
        <row r="380">
          <cell r="B380">
            <v>1372</v>
          </cell>
          <cell r="C380" t="str">
            <v>لولوه ناصر محمد الخنين</v>
          </cell>
          <cell r="D380">
            <v>1064820994</v>
          </cell>
          <cell r="E380" t="str">
            <v>سعودي</v>
          </cell>
          <cell r="F380" t="str">
            <v>أنثي</v>
          </cell>
          <cell r="G380">
            <v>44975</v>
          </cell>
          <cell r="I380" t="str">
            <v>عن بعد</v>
          </cell>
          <cell r="J380" t="str">
            <v>أخصائي تسويق</v>
          </cell>
          <cell r="K380" t="str">
            <v>الرياض</v>
          </cell>
          <cell r="L380" t="str">
            <v>الإدارة</v>
          </cell>
          <cell r="O380" t="str">
            <v>0508555435</v>
          </cell>
        </row>
        <row r="381">
          <cell r="B381">
            <v>1373</v>
          </cell>
          <cell r="C381" t="str">
            <v>مد معراج حسن</v>
          </cell>
          <cell r="D381">
            <v>2502033851</v>
          </cell>
          <cell r="E381" t="str">
            <v>بنجلاديش</v>
          </cell>
          <cell r="F381" t="str">
            <v>ذكر</v>
          </cell>
          <cell r="G381">
            <v>44970</v>
          </cell>
          <cell r="I381" t="str">
            <v>تحت التجربة</v>
          </cell>
          <cell r="J381" t="str">
            <v>عامل</v>
          </cell>
          <cell r="K381" t="str">
            <v>الرياض</v>
          </cell>
          <cell r="L381" t="str">
            <v>الدائري الغربي</v>
          </cell>
          <cell r="O381" t="str">
            <v/>
          </cell>
        </row>
        <row r="382">
          <cell r="B382">
            <v>1374</v>
          </cell>
          <cell r="C382" t="str">
            <v>زهراء مطاعن محمد شيخين</v>
          </cell>
          <cell r="D382">
            <v>1087777478</v>
          </cell>
          <cell r="E382" t="str">
            <v>سعودي</v>
          </cell>
          <cell r="F382" t="str">
            <v>أنثي</v>
          </cell>
          <cell r="G382">
            <v>44975</v>
          </cell>
          <cell r="I382" t="str">
            <v>عن بعد</v>
          </cell>
          <cell r="J382" t="str">
            <v>أخصائي تسويق</v>
          </cell>
          <cell r="K382" t="str">
            <v>الرياض</v>
          </cell>
          <cell r="L382" t="str">
            <v>الإدارة</v>
          </cell>
          <cell r="O382" t="str">
            <v>0500345584</v>
          </cell>
        </row>
        <row r="383">
          <cell r="B383">
            <v>1375</v>
          </cell>
          <cell r="C383" t="str">
            <v>ريناد احمد محمد جرشي مجرشي</v>
          </cell>
          <cell r="D383">
            <v>1018588754</v>
          </cell>
          <cell r="E383" t="str">
            <v>سعودي</v>
          </cell>
          <cell r="F383" t="str">
            <v>أنثي</v>
          </cell>
          <cell r="G383">
            <v>44975</v>
          </cell>
          <cell r="I383" t="str">
            <v>عن بعد</v>
          </cell>
          <cell r="J383" t="str">
            <v>أخصائي تسويق</v>
          </cell>
          <cell r="K383" t="str">
            <v>الرياض</v>
          </cell>
          <cell r="L383" t="str">
            <v>الإدارة</v>
          </cell>
          <cell r="O383" t="str">
            <v>0570107888</v>
          </cell>
        </row>
        <row r="384">
          <cell r="B384">
            <v>1376</v>
          </cell>
          <cell r="C384" t="str">
            <v>ساره عبدالله بن علي الغامدي</v>
          </cell>
          <cell r="D384">
            <v>1114109760</v>
          </cell>
          <cell r="E384" t="str">
            <v>سعودي</v>
          </cell>
          <cell r="F384" t="str">
            <v>أنثي</v>
          </cell>
          <cell r="G384">
            <v>44975</v>
          </cell>
          <cell r="I384" t="str">
            <v>عن بعد</v>
          </cell>
          <cell r="J384" t="str">
            <v>أخصائي تسويق</v>
          </cell>
          <cell r="K384" t="str">
            <v>الرياض</v>
          </cell>
          <cell r="L384" t="str">
            <v>الإدارة</v>
          </cell>
          <cell r="O384" t="str">
            <v>0539018884</v>
          </cell>
        </row>
        <row r="385">
          <cell r="B385">
            <v>1377</v>
          </cell>
          <cell r="C385" t="str">
            <v>نوره مرشد عبد الله ال خرعان</v>
          </cell>
          <cell r="D385">
            <v>1074403583</v>
          </cell>
          <cell r="E385" t="str">
            <v>سعودي</v>
          </cell>
          <cell r="F385" t="str">
            <v>أنثي</v>
          </cell>
          <cell r="G385">
            <v>44976</v>
          </cell>
          <cell r="I385" t="str">
            <v>عن بعد</v>
          </cell>
          <cell r="J385" t="str">
            <v>أخصائي تسويق</v>
          </cell>
          <cell r="K385" t="str">
            <v>الرياض</v>
          </cell>
          <cell r="L385" t="str">
            <v>الإدارة</v>
          </cell>
          <cell r="O385" t="str">
            <v/>
          </cell>
        </row>
        <row r="386">
          <cell r="B386">
            <v>1378</v>
          </cell>
          <cell r="C386" t="str">
            <v>سلمى مرسال سعيد الفواز</v>
          </cell>
          <cell r="D386">
            <v>1067616571</v>
          </cell>
          <cell r="E386" t="str">
            <v>سعودي</v>
          </cell>
          <cell r="F386" t="str">
            <v>أنثي</v>
          </cell>
          <cell r="G386">
            <v>44964</v>
          </cell>
          <cell r="I386" t="str">
            <v>تحت التجربة</v>
          </cell>
          <cell r="J386" t="str">
            <v>أمين صندوق</v>
          </cell>
          <cell r="K386" t="str">
            <v>الرياض</v>
          </cell>
          <cell r="L386" t="str">
            <v>الدائري الغربي</v>
          </cell>
          <cell r="M386" t="str">
            <v>إستقالة</v>
          </cell>
          <cell r="N386" t="str">
            <v>07/02/2023</v>
          </cell>
          <cell r="O386" t="e">
            <v>#N/A</v>
          </cell>
        </row>
        <row r="387">
          <cell r="B387">
            <v>1379</v>
          </cell>
          <cell r="C387" t="str">
            <v>موضي راشد حمد بن دهيش</v>
          </cell>
          <cell r="D387">
            <v>1032324368</v>
          </cell>
          <cell r="E387" t="str">
            <v>سعودي</v>
          </cell>
          <cell r="F387" t="str">
            <v>أنثي</v>
          </cell>
          <cell r="G387">
            <v>44976</v>
          </cell>
          <cell r="I387" t="str">
            <v>عن بعد</v>
          </cell>
          <cell r="J387" t="str">
            <v>أخصائي تسويق</v>
          </cell>
          <cell r="K387" t="str">
            <v>الرياض</v>
          </cell>
          <cell r="L387" t="str">
            <v>الإدارة</v>
          </cell>
          <cell r="O387" t="str">
            <v>0552995850</v>
          </cell>
        </row>
        <row r="388">
          <cell r="B388">
            <v>1380</v>
          </cell>
          <cell r="C388" t="str">
            <v>روابي راشد حمد بن دهيش</v>
          </cell>
          <cell r="D388">
            <v>1092354776</v>
          </cell>
          <cell r="E388" t="str">
            <v>سعودي</v>
          </cell>
          <cell r="F388" t="str">
            <v>أنثي</v>
          </cell>
          <cell r="G388">
            <v>44976</v>
          </cell>
          <cell r="I388" t="str">
            <v>عن بعد</v>
          </cell>
          <cell r="J388" t="str">
            <v>أخصائي تسويق</v>
          </cell>
          <cell r="K388" t="str">
            <v>الرياض</v>
          </cell>
          <cell r="L388" t="str">
            <v>الإدارة</v>
          </cell>
          <cell r="O388" t="str">
            <v>0534892735</v>
          </cell>
        </row>
        <row r="389">
          <cell r="B389">
            <v>1381</v>
          </cell>
          <cell r="C389" t="str">
            <v>يحي احمد مامون مسلماني</v>
          </cell>
          <cell r="D389">
            <v>2130131069</v>
          </cell>
          <cell r="E389" t="str">
            <v>اليمن</v>
          </cell>
          <cell r="F389" t="str">
            <v>ذكر</v>
          </cell>
          <cell r="G389">
            <v>44976</v>
          </cell>
          <cell r="I389" t="str">
            <v>دوام جزئي</v>
          </cell>
          <cell r="J389" t="str">
            <v>إداري</v>
          </cell>
          <cell r="K389" t="str">
            <v>الرياض</v>
          </cell>
          <cell r="L389" t="str">
            <v>وكالة ممكن</v>
          </cell>
          <cell r="O389" t="str">
            <v>0544457604</v>
          </cell>
        </row>
        <row r="390">
          <cell r="B390">
            <v>1382</v>
          </cell>
          <cell r="C390" t="str">
            <v>تهاني ناصر فهاد الدوسري</v>
          </cell>
          <cell r="D390">
            <v>10356344722</v>
          </cell>
          <cell r="E390" t="str">
            <v>سعودي</v>
          </cell>
          <cell r="F390" t="str">
            <v>أنثي</v>
          </cell>
          <cell r="G390">
            <v>44963</v>
          </cell>
          <cell r="I390" t="str">
            <v>تحت التجربة</v>
          </cell>
          <cell r="J390" t="str">
            <v>أمين صندوق</v>
          </cell>
          <cell r="K390" t="str">
            <v>الرياض</v>
          </cell>
          <cell r="L390" t="str">
            <v>الدائري الغربي</v>
          </cell>
          <cell r="M390" t="str">
            <v>إستقالة</v>
          </cell>
          <cell r="N390" t="str">
            <v>07/02/2023</v>
          </cell>
          <cell r="O390" t="e">
            <v>#N/A</v>
          </cell>
        </row>
        <row r="391">
          <cell r="B391">
            <v>1383</v>
          </cell>
          <cell r="C391" t="str">
            <v>ياسر شباب خالد العصيمي العتيبي</v>
          </cell>
          <cell r="D391">
            <v>1126507092</v>
          </cell>
          <cell r="E391" t="str">
            <v>سعودي</v>
          </cell>
          <cell r="F391" t="str">
            <v>ذكر</v>
          </cell>
          <cell r="G391">
            <v>44967</v>
          </cell>
          <cell r="I391" t="str">
            <v>تحت التجربة</v>
          </cell>
          <cell r="J391" t="str">
            <v>أمين صندوق</v>
          </cell>
          <cell r="K391" t="str">
            <v>الرياض</v>
          </cell>
          <cell r="L391" t="str">
            <v>المصيف</v>
          </cell>
          <cell r="M391" t="str">
            <v>إستقالة</v>
          </cell>
          <cell r="N391" t="str">
            <v>11/02/2023</v>
          </cell>
          <cell r="O391" t="e">
            <v>#N/A</v>
          </cell>
        </row>
        <row r="392">
          <cell r="B392">
            <v>1384</v>
          </cell>
          <cell r="C392" t="str">
            <v>ساره عبدالمحسن عبدالله البجادي</v>
          </cell>
          <cell r="D392">
            <v>1025757327</v>
          </cell>
          <cell r="E392" t="str">
            <v>سعودي</v>
          </cell>
          <cell r="F392" t="str">
            <v>أنثي</v>
          </cell>
          <cell r="G392">
            <v>44978</v>
          </cell>
          <cell r="I392" t="str">
            <v>عن بعد</v>
          </cell>
          <cell r="J392" t="str">
            <v>أخصائي تسويق</v>
          </cell>
          <cell r="K392" t="str">
            <v>الرياض</v>
          </cell>
          <cell r="L392" t="str">
            <v>الإدارة</v>
          </cell>
          <cell r="O392" t="str">
            <v/>
          </cell>
        </row>
        <row r="393">
          <cell r="B393">
            <v>1385</v>
          </cell>
          <cell r="C393" t="str">
            <v>فاطمه ابراهيم محمد السريبي</v>
          </cell>
          <cell r="D393">
            <v>1093230496</v>
          </cell>
          <cell r="E393" t="str">
            <v>سعودي</v>
          </cell>
          <cell r="F393" t="str">
            <v>أنثي</v>
          </cell>
          <cell r="G393">
            <v>44978</v>
          </cell>
          <cell r="I393" t="str">
            <v>عن بعد</v>
          </cell>
          <cell r="J393" t="str">
            <v>أخصائي تسويق</v>
          </cell>
          <cell r="K393" t="str">
            <v>الرياض</v>
          </cell>
          <cell r="L393" t="str">
            <v>الإدارة</v>
          </cell>
          <cell r="O393" t="str">
            <v>0553722792</v>
          </cell>
        </row>
        <row r="394">
          <cell r="B394">
            <v>1386</v>
          </cell>
          <cell r="C394" t="str">
            <v>مي ابراهيم محمد السريبي</v>
          </cell>
          <cell r="D394">
            <v>1110671128</v>
          </cell>
          <cell r="E394" t="str">
            <v>سعودي</v>
          </cell>
          <cell r="F394" t="str">
            <v>أنثي</v>
          </cell>
          <cell r="G394">
            <v>44978</v>
          </cell>
          <cell r="I394" t="str">
            <v>عن بعد</v>
          </cell>
          <cell r="J394" t="str">
            <v>أخصائي تسويق</v>
          </cell>
          <cell r="K394" t="str">
            <v>الرياض</v>
          </cell>
          <cell r="L394" t="str">
            <v>الإدارة</v>
          </cell>
          <cell r="O394" t="str">
            <v>0591493263</v>
          </cell>
        </row>
        <row r="395">
          <cell r="B395">
            <v>1387</v>
          </cell>
          <cell r="C395" t="str">
            <v>شيخه حسن بن عبيد الدوسري</v>
          </cell>
          <cell r="D395">
            <v>1097398216</v>
          </cell>
          <cell r="E395" t="str">
            <v>سعودي</v>
          </cell>
          <cell r="F395" t="str">
            <v>أنثي</v>
          </cell>
          <cell r="G395">
            <v>44976</v>
          </cell>
          <cell r="I395" t="str">
            <v>دوام كامل</v>
          </cell>
          <cell r="J395" t="str">
            <v>أمين صندوق</v>
          </cell>
          <cell r="K395" t="str">
            <v>الرياض</v>
          </cell>
          <cell r="L395" t="str">
            <v>الشفا</v>
          </cell>
          <cell r="O395" t="str">
            <v>0508099645</v>
          </cell>
        </row>
        <row r="396">
          <cell r="B396">
            <v>1388</v>
          </cell>
          <cell r="C396" t="str">
            <v>خديجة مطاعن محمد شيخين</v>
          </cell>
          <cell r="D396">
            <v>1087777494</v>
          </cell>
          <cell r="E396" t="str">
            <v>سعودي</v>
          </cell>
          <cell r="F396" t="str">
            <v>أنثي</v>
          </cell>
          <cell r="G396">
            <v>44978</v>
          </cell>
          <cell r="I396" t="str">
            <v>عن بعد</v>
          </cell>
          <cell r="J396" t="str">
            <v>أخصائي تسويق</v>
          </cell>
          <cell r="K396" t="str">
            <v>الرياض</v>
          </cell>
          <cell r="L396" t="str">
            <v>الإدارة</v>
          </cell>
          <cell r="O396" t="str">
            <v>0558696393</v>
          </cell>
        </row>
        <row r="397">
          <cell r="B397">
            <v>1389</v>
          </cell>
          <cell r="C397" t="str">
            <v>افنان صالح بن محمد الحمدي</v>
          </cell>
          <cell r="D397">
            <v>1091129393</v>
          </cell>
          <cell r="E397" t="str">
            <v>سعودي</v>
          </cell>
          <cell r="F397" t="str">
            <v>أنثي</v>
          </cell>
          <cell r="G397">
            <v>44979</v>
          </cell>
          <cell r="I397" t="str">
            <v>عن بعد</v>
          </cell>
          <cell r="J397" t="str">
            <v>مندوب مبيعات</v>
          </cell>
          <cell r="K397" t="str">
            <v>الرياض</v>
          </cell>
          <cell r="L397" t="str">
            <v>الإدارة</v>
          </cell>
          <cell r="O397" t="str">
            <v/>
          </cell>
        </row>
        <row r="398">
          <cell r="B398">
            <v>1390</v>
          </cell>
          <cell r="C398" t="str">
            <v>صيته فهد بن مرشد الهزاني</v>
          </cell>
          <cell r="D398">
            <v>1048357428</v>
          </cell>
          <cell r="E398" t="str">
            <v>سعودي</v>
          </cell>
          <cell r="F398" t="str">
            <v>أنثي</v>
          </cell>
          <cell r="G398">
            <v>44979</v>
          </cell>
          <cell r="I398" t="str">
            <v>عن بعد</v>
          </cell>
          <cell r="J398" t="str">
            <v>أخصائي تسويق</v>
          </cell>
          <cell r="K398" t="str">
            <v>الرياض</v>
          </cell>
          <cell r="L398" t="str">
            <v>الإدارة</v>
          </cell>
          <cell r="M398" t="str">
            <v>انهاء فترة التجربة</v>
          </cell>
          <cell r="N398" t="str">
            <v>27/02/2023</v>
          </cell>
          <cell r="O398" t="e">
            <v>#N/A</v>
          </cell>
        </row>
        <row r="399">
          <cell r="B399">
            <v>1391</v>
          </cell>
          <cell r="C399" t="str">
            <v>عيسى مسعد دبوان حمزة</v>
          </cell>
          <cell r="D399">
            <v>2528176643</v>
          </cell>
          <cell r="E399" t="str">
            <v>اليمن</v>
          </cell>
          <cell r="F399" t="str">
            <v>ذكر</v>
          </cell>
          <cell r="G399">
            <v>44977</v>
          </cell>
          <cell r="I399" t="str">
            <v>تحت التجربة</v>
          </cell>
          <cell r="J399" t="str">
            <v>عامل</v>
          </cell>
          <cell r="K399" t="str">
            <v>الرياض</v>
          </cell>
          <cell r="L399" t="str">
            <v>اليرموك</v>
          </cell>
          <cell r="M399" t="str">
            <v>إستقالة</v>
          </cell>
          <cell r="N399" t="str">
            <v>12/03/2023</v>
          </cell>
          <cell r="O399" t="str">
            <v/>
          </cell>
        </row>
        <row r="400">
          <cell r="B400">
            <v>1392</v>
          </cell>
          <cell r="C400" t="str">
            <v>زينب محمد مغيض الحايطي</v>
          </cell>
          <cell r="D400">
            <v>1104987712</v>
          </cell>
          <cell r="E400" t="str">
            <v>سعودي</v>
          </cell>
          <cell r="F400" t="str">
            <v>أنثي</v>
          </cell>
          <cell r="G400">
            <v>44979</v>
          </cell>
          <cell r="I400" t="str">
            <v>عن بعد</v>
          </cell>
          <cell r="J400" t="str">
            <v>مندوب مبيعات</v>
          </cell>
          <cell r="K400" t="str">
            <v>الرياض</v>
          </cell>
          <cell r="L400" t="str">
            <v>الإدارة</v>
          </cell>
          <cell r="O400" t="str">
            <v>0567320488</v>
          </cell>
        </row>
        <row r="401">
          <cell r="B401">
            <v>1393</v>
          </cell>
          <cell r="C401" t="str">
            <v>ناصر سماري سعد السمارى</v>
          </cell>
          <cell r="D401">
            <v>1132122902</v>
          </cell>
          <cell r="E401" t="str">
            <v>سعودي</v>
          </cell>
          <cell r="F401" t="str">
            <v>ذكر</v>
          </cell>
          <cell r="G401">
            <v>44979</v>
          </cell>
          <cell r="I401" t="str">
            <v>دوام كامل</v>
          </cell>
          <cell r="J401" t="str">
            <v>أمين صندوق</v>
          </cell>
          <cell r="K401" t="str">
            <v>الرياض</v>
          </cell>
          <cell r="L401" t="str">
            <v>هاينس</v>
          </cell>
          <cell r="O401" t="str">
            <v>0504857045</v>
          </cell>
        </row>
        <row r="402">
          <cell r="B402">
            <v>1394</v>
          </cell>
          <cell r="C402" t="str">
            <v>سامي قنديل محمد المكاوي</v>
          </cell>
          <cell r="D402">
            <v>2491117681</v>
          </cell>
          <cell r="E402" t="str">
            <v>مصر</v>
          </cell>
          <cell r="F402" t="str">
            <v>ذكر</v>
          </cell>
          <cell r="G402">
            <v>44982</v>
          </cell>
          <cell r="I402" t="str">
            <v>دوام كامل</v>
          </cell>
          <cell r="J402" t="str">
            <v>محاسب عام</v>
          </cell>
          <cell r="K402" t="str">
            <v>الرياض</v>
          </cell>
          <cell r="L402" t="str">
            <v>جملة ريال البركة</v>
          </cell>
          <cell r="O402" t="str">
            <v>0562986714</v>
          </cell>
        </row>
        <row r="403">
          <cell r="B403">
            <v>1395</v>
          </cell>
          <cell r="C403" t="str">
            <v>سنان محمد</v>
          </cell>
          <cell r="D403">
            <v>2222439271</v>
          </cell>
          <cell r="E403" t="str">
            <v>اليمن</v>
          </cell>
          <cell r="F403" t="str">
            <v>ذكر</v>
          </cell>
          <cell r="G403">
            <v>44936</v>
          </cell>
          <cell r="I403" t="str">
            <v>تحت التجربة</v>
          </cell>
          <cell r="J403" t="str">
            <v>عامل</v>
          </cell>
          <cell r="K403" t="str">
            <v>الخرج</v>
          </cell>
          <cell r="L403" t="str">
            <v>المصنع</v>
          </cell>
          <cell r="O403" t="str">
            <v>0551133231</v>
          </cell>
        </row>
        <row r="404">
          <cell r="B404">
            <v>1396</v>
          </cell>
          <cell r="C404" t="str">
            <v xml:space="preserve">جاسم كاجم الدين  </v>
          </cell>
          <cell r="D404">
            <v>4809456934</v>
          </cell>
          <cell r="E404" t="str">
            <v>بنجلاديش</v>
          </cell>
          <cell r="F404" t="str">
            <v>ذكر</v>
          </cell>
          <cell r="G404">
            <v>44977</v>
          </cell>
          <cell r="I404" t="str">
            <v>تحت التجربة</v>
          </cell>
          <cell r="J404" t="str">
            <v>عامل</v>
          </cell>
          <cell r="K404" t="str">
            <v>الرياض</v>
          </cell>
          <cell r="L404" t="str">
            <v>الشفا</v>
          </cell>
          <cell r="O404" t="str">
            <v/>
          </cell>
        </row>
        <row r="405">
          <cell r="B405">
            <v>1397</v>
          </cell>
          <cell r="C405" t="str">
            <v>شذى خالد بن محمد سويد</v>
          </cell>
          <cell r="D405">
            <v>1114028358</v>
          </cell>
          <cell r="E405" t="str">
            <v>سعودي</v>
          </cell>
          <cell r="F405" t="str">
            <v>أنثي</v>
          </cell>
          <cell r="G405">
            <v>44983</v>
          </cell>
          <cell r="I405" t="str">
            <v>دوام كامل</v>
          </cell>
          <cell r="J405" t="str">
            <v>مصمم جرافيك</v>
          </cell>
          <cell r="K405" t="str">
            <v>الرياض</v>
          </cell>
          <cell r="L405" t="str">
            <v>وكالة ممكن</v>
          </cell>
          <cell r="O405" t="str">
            <v>0535939636</v>
          </cell>
        </row>
        <row r="406">
          <cell r="B406">
            <v>1398</v>
          </cell>
          <cell r="C406" t="str">
            <v>نظم ال اسلام</v>
          </cell>
          <cell r="D406">
            <v>2535122911</v>
          </cell>
          <cell r="E406" t="str">
            <v>بنجلاديش</v>
          </cell>
          <cell r="F406" t="str">
            <v>ذكر</v>
          </cell>
          <cell r="G406">
            <v>44977</v>
          </cell>
          <cell r="I406" t="str">
            <v>تحت التجربة</v>
          </cell>
          <cell r="J406" t="str">
            <v>عامل</v>
          </cell>
          <cell r="K406" t="str">
            <v>الخرج</v>
          </cell>
          <cell r="L406" t="str">
            <v>المصنع</v>
          </cell>
          <cell r="O406" t="str">
            <v>0531595345</v>
          </cell>
        </row>
        <row r="407">
          <cell r="B407">
            <v>1399</v>
          </cell>
          <cell r="C407" t="str">
            <v xml:space="preserve">عمر خالد منصر شمسان </v>
          </cell>
          <cell r="D407">
            <v>2521281132</v>
          </cell>
          <cell r="E407" t="str">
            <v>اليمن</v>
          </cell>
          <cell r="F407" t="str">
            <v>ذكر</v>
          </cell>
          <cell r="G407">
            <v>44962</v>
          </cell>
          <cell r="I407" t="str">
            <v>تحت التجربة</v>
          </cell>
          <cell r="J407" t="str">
            <v>عامل</v>
          </cell>
          <cell r="K407" t="str">
            <v>الخرج</v>
          </cell>
          <cell r="L407" t="str">
            <v>المصنع</v>
          </cell>
          <cell r="M407" t="str">
            <v>إستقالة</v>
          </cell>
          <cell r="N407" t="str">
            <v>16/03/2023</v>
          </cell>
          <cell r="O407" t="e">
            <v>#N/A</v>
          </cell>
        </row>
        <row r="408">
          <cell r="B408">
            <v>1400</v>
          </cell>
          <cell r="C408" t="str">
            <v>مد رابي حسين</v>
          </cell>
          <cell r="E408" t="str">
            <v>بنجلاديش</v>
          </cell>
          <cell r="F408" t="str">
            <v>ذكر</v>
          </cell>
          <cell r="G408">
            <v>44977</v>
          </cell>
          <cell r="I408" t="str">
            <v>تحت التجربة</v>
          </cell>
          <cell r="J408" t="str">
            <v>عامل</v>
          </cell>
          <cell r="K408" t="str">
            <v>الخرج</v>
          </cell>
          <cell r="L408" t="str">
            <v>المصنع</v>
          </cell>
          <cell r="M408" t="str">
            <v>إستقالة</v>
          </cell>
          <cell r="N408" t="str">
            <v>25/02/2023</v>
          </cell>
          <cell r="O408" t="e">
            <v>#N/A</v>
          </cell>
        </row>
        <row r="409">
          <cell r="B409">
            <v>1401</v>
          </cell>
          <cell r="C409" t="str">
            <v>سوهيل رانا</v>
          </cell>
          <cell r="E409" t="str">
            <v>بنجلاديش</v>
          </cell>
          <cell r="F409" t="str">
            <v>ذكر</v>
          </cell>
          <cell r="G409">
            <v>44977</v>
          </cell>
          <cell r="I409" t="str">
            <v>تحت التجربة</v>
          </cell>
          <cell r="J409" t="str">
            <v>عامل</v>
          </cell>
          <cell r="K409" t="str">
            <v>الخرج</v>
          </cell>
          <cell r="L409" t="str">
            <v>المصنع</v>
          </cell>
          <cell r="M409" t="str">
            <v>إستقالة</v>
          </cell>
          <cell r="N409" t="str">
            <v>25/02/2023</v>
          </cell>
          <cell r="O409" t="str">
            <v/>
          </cell>
        </row>
        <row r="410">
          <cell r="B410">
            <v>1402</v>
          </cell>
          <cell r="C410" t="str">
            <v>مد هومين كوبير</v>
          </cell>
          <cell r="E410" t="str">
            <v>بنجلاديش</v>
          </cell>
          <cell r="F410" t="str">
            <v>ذكر</v>
          </cell>
          <cell r="G410">
            <v>44977</v>
          </cell>
          <cell r="I410" t="str">
            <v>تحت التجربة</v>
          </cell>
          <cell r="J410" t="str">
            <v>عامل</v>
          </cell>
          <cell r="K410" t="str">
            <v>الخرج</v>
          </cell>
          <cell r="L410" t="str">
            <v>المصنع</v>
          </cell>
          <cell r="O410" t="str">
            <v/>
          </cell>
        </row>
        <row r="411">
          <cell r="B411">
            <v>1403</v>
          </cell>
          <cell r="C411" t="str">
            <v>مد ميدي حسن</v>
          </cell>
          <cell r="D411">
            <v>2530871322</v>
          </cell>
          <cell r="E411" t="str">
            <v>بنجلاديش</v>
          </cell>
          <cell r="F411" t="str">
            <v>ذكر</v>
          </cell>
          <cell r="G411">
            <v>44973</v>
          </cell>
          <cell r="I411" t="str">
            <v>تحت التجربة</v>
          </cell>
          <cell r="J411" t="str">
            <v>عامل</v>
          </cell>
          <cell r="K411" t="str">
            <v>الرياض</v>
          </cell>
          <cell r="L411" t="str">
            <v>الدائري الغربي</v>
          </cell>
          <cell r="O411" t="str">
            <v/>
          </cell>
        </row>
        <row r="412">
          <cell r="B412">
            <v>1404</v>
          </cell>
          <cell r="C412" t="str">
            <v>ريان بكيل علي محمد محفوظ</v>
          </cell>
          <cell r="D412">
            <v>2504125499</v>
          </cell>
          <cell r="E412" t="str">
            <v>اليمن</v>
          </cell>
          <cell r="F412" t="str">
            <v>ذكر</v>
          </cell>
          <cell r="G412">
            <v>44984</v>
          </cell>
          <cell r="I412" t="str">
            <v>تحت التجربة</v>
          </cell>
          <cell r="J412" t="str">
            <v>عامل</v>
          </cell>
          <cell r="K412" t="str">
            <v>الخرج</v>
          </cell>
          <cell r="L412" t="str">
            <v>المصنع</v>
          </cell>
          <cell r="O412" t="str">
            <v>0506724143</v>
          </cell>
        </row>
        <row r="413">
          <cell r="B413">
            <v>1405</v>
          </cell>
          <cell r="C413" t="str">
            <v>ابراهيم زياد ابراهيم الزيد</v>
          </cell>
          <cell r="D413">
            <v>1129835540</v>
          </cell>
          <cell r="E413" t="str">
            <v>سعودي</v>
          </cell>
          <cell r="F413" t="str">
            <v>ذكر</v>
          </cell>
          <cell r="G413">
            <v>44985</v>
          </cell>
          <cell r="I413" t="str">
            <v>دوام كامل</v>
          </cell>
          <cell r="J413" t="str">
            <v>أمين صندوق</v>
          </cell>
          <cell r="K413" t="str">
            <v>الرياض</v>
          </cell>
          <cell r="L413" t="str">
            <v>النسيم 2</v>
          </cell>
          <cell r="O413" t="str">
            <v>0554218299</v>
          </cell>
        </row>
        <row r="414">
          <cell r="B414">
            <v>1406</v>
          </cell>
          <cell r="C414" t="str">
            <v>مها ناصر سعد المهيدي</v>
          </cell>
          <cell r="D414">
            <v>1074144369</v>
          </cell>
          <cell r="E414" t="str">
            <v>سعودي</v>
          </cell>
          <cell r="F414" t="str">
            <v>ذكر</v>
          </cell>
          <cell r="G414">
            <v>44986</v>
          </cell>
          <cell r="I414" t="str">
            <v>عن بعد</v>
          </cell>
          <cell r="J414" t="str">
            <v>أخصائي تسويق</v>
          </cell>
          <cell r="K414" t="str">
            <v>الرياض</v>
          </cell>
          <cell r="L414" t="str">
            <v>الإدارة</v>
          </cell>
          <cell r="O414" t="str">
            <v>0559267775</v>
          </cell>
        </row>
        <row r="415">
          <cell r="B415">
            <v>1407</v>
          </cell>
          <cell r="C415" t="str">
            <v>اسماعيل قحطان محمد صالح الضلعي</v>
          </cell>
          <cell r="F415" t="str">
            <v>ذكر</v>
          </cell>
          <cell r="G415">
            <v>44990</v>
          </cell>
          <cell r="I415" t="str">
            <v>تحت التجربة</v>
          </cell>
          <cell r="J415" t="str">
            <v>عامل</v>
          </cell>
          <cell r="K415" t="str">
            <v>الرياض</v>
          </cell>
          <cell r="L415" t="str">
            <v>النسيم 2</v>
          </cell>
          <cell r="O415" t="str">
            <v/>
          </cell>
        </row>
        <row r="416">
          <cell r="B416">
            <v>1408</v>
          </cell>
          <cell r="C416" t="str">
            <v>خالد علي حسين محسن الشرفي</v>
          </cell>
          <cell r="D416">
            <v>2453345130</v>
          </cell>
          <cell r="F416" t="str">
            <v>ذكر</v>
          </cell>
          <cell r="G416">
            <v>44986</v>
          </cell>
          <cell r="I416" t="str">
            <v>تحت التجربة</v>
          </cell>
          <cell r="J416" t="str">
            <v>عامل</v>
          </cell>
          <cell r="K416" t="str">
            <v>الخرج</v>
          </cell>
          <cell r="L416" t="str">
            <v>المصنع</v>
          </cell>
          <cell r="O416" t="str">
            <v>0563100508</v>
          </cell>
        </row>
        <row r="417">
          <cell r="B417">
            <v>1409</v>
          </cell>
          <cell r="C417" t="str">
            <v>محمد رحمات نواز</v>
          </cell>
          <cell r="E417" t="str">
            <v>باكستان</v>
          </cell>
          <cell r="F417" t="str">
            <v>ذكر</v>
          </cell>
          <cell r="I417" t="str">
            <v>دوام كامل</v>
          </cell>
          <cell r="J417" t="str">
            <v>عامل تصنيع</v>
          </cell>
          <cell r="K417" t="str">
            <v>الخرج</v>
          </cell>
          <cell r="L417" t="str">
            <v>المصنع</v>
          </cell>
          <cell r="O417" t="str">
            <v/>
          </cell>
        </row>
        <row r="418">
          <cell r="B418">
            <v>1410</v>
          </cell>
          <cell r="C418" t="str">
            <v>هشام قاف</v>
          </cell>
          <cell r="D418">
            <v>3130142478</v>
          </cell>
          <cell r="E418" t="str">
            <v>المغرب</v>
          </cell>
          <cell r="F418" t="str">
            <v>ذكر</v>
          </cell>
          <cell r="G418">
            <v>45030</v>
          </cell>
          <cell r="I418" t="str">
            <v>دوام كامل</v>
          </cell>
          <cell r="J418" t="str">
            <v>صانع حلويات</v>
          </cell>
          <cell r="K418" t="str">
            <v>الرياض</v>
          </cell>
          <cell r="L418" t="str">
            <v>هاينس</v>
          </cell>
          <cell r="O418" t="str">
            <v/>
          </cell>
        </row>
        <row r="419">
          <cell r="B419">
            <v>1411</v>
          </cell>
          <cell r="C419" t="str">
            <v>عبدالكريم مامون</v>
          </cell>
          <cell r="D419">
            <v>2544512938</v>
          </cell>
          <cell r="E419" t="str">
            <v>المغرب</v>
          </cell>
          <cell r="F419" t="str">
            <v>ذكر</v>
          </cell>
          <cell r="G419">
            <v>45030</v>
          </cell>
          <cell r="I419" t="str">
            <v>دوام كامل</v>
          </cell>
          <cell r="J419" t="str">
            <v>صانع حلويات</v>
          </cell>
          <cell r="K419" t="str">
            <v>الرياض</v>
          </cell>
          <cell r="L419" t="str">
            <v>هاينس</v>
          </cell>
          <cell r="O419" t="str">
            <v/>
          </cell>
        </row>
        <row r="420">
          <cell r="B420">
            <v>1412</v>
          </cell>
          <cell r="C420" t="str">
            <v>حسن فرخ</v>
          </cell>
          <cell r="D420">
            <v>2544512805</v>
          </cell>
          <cell r="E420" t="str">
            <v>المغرب</v>
          </cell>
          <cell r="F420" t="str">
            <v>ذكر</v>
          </cell>
          <cell r="G420">
            <v>45030</v>
          </cell>
          <cell r="I420" t="str">
            <v>دوام كامل</v>
          </cell>
          <cell r="J420" t="str">
            <v>صانع حلويات</v>
          </cell>
          <cell r="K420" t="str">
            <v>الرياض</v>
          </cell>
          <cell r="L420" t="str">
            <v>هاينس</v>
          </cell>
          <cell r="O420" t="str">
            <v/>
          </cell>
        </row>
        <row r="421">
          <cell r="B421">
            <v>1413</v>
          </cell>
          <cell r="C421" t="str">
            <v>عبدالعزيز محمد علي عسيري</v>
          </cell>
          <cell r="D421">
            <v>1109344919</v>
          </cell>
          <cell r="E421" t="str">
            <v>سعودي</v>
          </cell>
          <cell r="F421" t="str">
            <v>ذكر</v>
          </cell>
          <cell r="G421">
            <v>44994</v>
          </cell>
          <cell r="I421" t="str">
            <v>دوام كامل</v>
          </cell>
          <cell r="J421" t="str">
            <v>أمين صندوق</v>
          </cell>
          <cell r="K421" t="str">
            <v>الرياض</v>
          </cell>
          <cell r="L421" t="str">
            <v>لبن</v>
          </cell>
          <cell r="O421" t="str">
            <v>0557100942</v>
          </cell>
        </row>
        <row r="422">
          <cell r="B422">
            <v>1414</v>
          </cell>
          <cell r="C422" t="str">
            <v>عزام صادق محمد محمد ناجي</v>
          </cell>
          <cell r="D422">
            <v>2519444547</v>
          </cell>
          <cell r="E422" t="str">
            <v>اليمن</v>
          </cell>
          <cell r="F422" t="str">
            <v>ذكر</v>
          </cell>
          <cell r="G422">
            <v>45011</v>
          </cell>
          <cell r="I422" t="str">
            <v>دوام كامل</v>
          </cell>
          <cell r="J422" t="str">
            <v>عامل</v>
          </cell>
          <cell r="K422" t="str">
            <v>الرياض</v>
          </cell>
          <cell r="L422" t="str">
            <v>النسيم 2</v>
          </cell>
          <cell r="O422" t="str">
            <v>0540656503</v>
          </cell>
        </row>
        <row r="423">
          <cell r="B423">
            <v>1415</v>
          </cell>
          <cell r="C423" t="str">
            <v>طيف عائل محمد سفياني</v>
          </cell>
          <cell r="D423">
            <v>1127584397</v>
          </cell>
          <cell r="E423" t="str">
            <v>سعودي</v>
          </cell>
          <cell r="F423" t="str">
            <v>أنثي</v>
          </cell>
          <cell r="G423">
            <v>45003</v>
          </cell>
          <cell r="I423" t="str">
            <v>دوام كامل</v>
          </cell>
          <cell r="J423" t="str">
            <v>أمين صندوق</v>
          </cell>
          <cell r="K423" t="str">
            <v>الرياض</v>
          </cell>
          <cell r="L423" t="str">
            <v>لبن</v>
          </cell>
          <cell r="O423" t="str">
            <v>0558375692</v>
          </cell>
        </row>
        <row r="424">
          <cell r="B424">
            <v>1416</v>
          </cell>
          <cell r="C424" t="str">
            <v>رهف خالد راشد الدوسري</v>
          </cell>
          <cell r="D424">
            <v>1102135611</v>
          </cell>
          <cell r="E424" t="str">
            <v>سعودي</v>
          </cell>
          <cell r="F424" t="str">
            <v>أنثي</v>
          </cell>
          <cell r="G424">
            <v>45004</v>
          </cell>
          <cell r="I424" t="str">
            <v>دوام كامل</v>
          </cell>
          <cell r="J424" t="str">
            <v>أمين صندوق</v>
          </cell>
          <cell r="K424" t="str">
            <v>الخرج</v>
          </cell>
          <cell r="L424" t="str">
            <v>غرناطة</v>
          </cell>
          <cell r="O424" t="str">
            <v>0508659787</v>
          </cell>
        </row>
        <row r="425">
          <cell r="B425">
            <v>1417</v>
          </cell>
          <cell r="C425" t="str">
            <v>مد تنزيل اسلام</v>
          </cell>
          <cell r="E425" t="str">
            <v>بنجلاديش</v>
          </cell>
          <cell r="F425" t="str">
            <v>ذكر</v>
          </cell>
          <cell r="G425">
            <v>44977</v>
          </cell>
          <cell r="I425" t="str">
            <v>تحت التجربة</v>
          </cell>
          <cell r="J425" t="str">
            <v>عامل</v>
          </cell>
          <cell r="K425" t="str">
            <v>الخرج</v>
          </cell>
          <cell r="L425" t="str">
            <v>المصنع</v>
          </cell>
          <cell r="O425" t="str">
            <v/>
          </cell>
        </row>
        <row r="426">
          <cell r="B426">
            <v>1418</v>
          </cell>
          <cell r="C426" t="str">
            <v>يونس امين اصحيح</v>
          </cell>
          <cell r="D426">
            <v>2530688148</v>
          </cell>
          <cell r="E426" t="str">
            <v>المغرب</v>
          </cell>
          <cell r="F426" t="str">
            <v>ذكر</v>
          </cell>
          <cell r="G426">
            <v>44996</v>
          </cell>
          <cell r="I426" t="str">
            <v>دوام كامل</v>
          </cell>
          <cell r="J426" t="str">
            <v>شيف مخبوزات</v>
          </cell>
          <cell r="K426" t="str">
            <v>الرياض</v>
          </cell>
          <cell r="L426" t="str">
            <v>هاينس</v>
          </cell>
          <cell r="O426" t="str">
            <v>0560593114</v>
          </cell>
        </row>
        <row r="427">
          <cell r="B427">
            <v>1419</v>
          </cell>
          <cell r="C427" t="str">
            <v>عبد الاله تركي محمد الجديعي</v>
          </cell>
          <cell r="D427">
            <v>1098639220</v>
          </cell>
          <cell r="E427" t="str">
            <v>سعودي</v>
          </cell>
          <cell r="F427" t="str">
            <v>ذكر</v>
          </cell>
          <cell r="G427">
            <v>45007</v>
          </cell>
          <cell r="I427" t="str">
            <v>دوام كامل</v>
          </cell>
          <cell r="J427" t="str">
            <v>مشرف فروع</v>
          </cell>
          <cell r="K427" t="str">
            <v>الرياض</v>
          </cell>
          <cell r="L427" t="str">
            <v>وكالة ممكن</v>
          </cell>
          <cell r="O427" t="str">
            <v>0502157722</v>
          </cell>
        </row>
        <row r="428">
          <cell r="B428">
            <v>1420</v>
          </cell>
          <cell r="C428" t="str">
            <v>منيره سعد ناصر اليحي</v>
          </cell>
          <cell r="D428">
            <v>10601049258</v>
          </cell>
          <cell r="E428" t="str">
            <v>سعودي</v>
          </cell>
          <cell r="F428" t="str">
            <v>أنثي</v>
          </cell>
          <cell r="G428">
            <v>45008</v>
          </cell>
          <cell r="I428" t="str">
            <v>دوام كامل</v>
          </cell>
          <cell r="J428" t="str">
            <v>أمين صندوق</v>
          </cell>
          <cell r="K428" t="str">
            <v>الخرج</v>
          </cell>
          <cell r="L428" t="str">
            <v>غرناطة</v>
          </cell>
          <cell r="O428" t="str">
            <v>0556227931</v>
          </cell>
        </row>
        <row r="429">
          <cell r="B429">
            <v>1421</v>
          </cell>
          <cell r="C429" t="str">
            <v>ثامر  عبدالعزيز محمد الادريس</v>
          </cell>
          <cell r="D429">
            <v>1073640193</v>
          </cell>
          <cell r="E429" t="str">
            <v>سعودي</v>
          </cell>
          <cell r="F429" t="str">
            <v>ذكر</v>
          </cell>
          <cell r="G429">
            <v>45011</v>
          </cell>
          <cell r="I429" t="str">
            <v>دوام كامل</v>
          </cell>
          <cell r="J429" t="str">
            <v>أمين صندوق</v>
          </cell>
          <cell r="K429" t="str">
            <v>الرياض</v>
          </cell>
          <cell r="L429" t="str">
            <v>النسيم</v>
          </cell>
          <cell r="M429" t="str">
            <v>إستقالة</v>
          </cell>
          <cell r="N429" t="str">
            <v>29/04/2023</v>
          </cell>
          <cell r="O429" t="str">
            <v>0553996605</v>
          </cell>
        </row>
        <row r="430">
          <cell r="B430">
            <v>1422</v>
          </cell>
          <cell r="C430" t="str">
            <v>عبدالملك عبدالمجيد بن عبدالله الدرويش</v>
          </cell>
          <cell r="D430">
            <v>1119150652</v>
          </cell>
          <cell r="E430" t="str">
            <v>سعودي</v>
          </cell>
          <cell r="F430" t="str">
            <v>ذكر</v>
          </cell>
          <cell r="G430">
            <v>44982</v>
          </cell>
          <cell r="I430" t="str">
            <v>دوام كامل</v>
          </cell>
          <cell r="J430" t="str">
            <v>أمين صندوق</v>
          </cell>
          <cell r="K430" t="str">
            <v>الرياض</v>
          </cell>
          <cell r="L430" t="str">
            <v>هاينس</v>
          </cell>
          <cell r="O430" t="str">
            <v>0554740532</v>
          </cell>
        </row>
        <row r="431">
          <cell r="B431">
            <v>1423</v>
          </cell>
          <cell r="C431" t="str">
            <v>ربيع رشاد عبدالرقيب حسان السروري</v>
          </cell>
          <cell r="D431">
            <v>3110071895</v>
          </cell>
          <cell r="E431" t="str">
            <v>اليمن</v>
          </cell>
          <cell r="F431" t="str">
            <v>ذكر</v>
          </cell>
          <cell r="G431">
            <v>44996</v>
          </cell>
          <cell r="I431" t="str">
            <v>تحت التجربة</v>
          </cell>
          <cell r="J431" t="str">
            <v>عامل</v>
          </cell>
          <cell r="K431" t="str">
            <v>الرياض</v>
          </cell>
          <cell r="L431" t="str">
            <v>ورشة أثاث</v>
          </cell>
          <cell r="M431" t="str">
            <v>انهاء فترة التجربة</v>
          </cell>
          <cell r="N431" t="str">
            <v>25/04/2023</v>
          </cell>
          <cell r="O431" t="str">
            <v/>
          </cell>
        </row>
        <row r="432">
          <cell r="B432">
            <v>1424</v>
          </cell>
          <cell r="C432" t="str">
            <v>محمد ناجي غانم سعيد غالب</v>
          </cell>
          <cell r="D432">
            <v>3109945109</v>
          </cell>
          <cell r="E432" t="str">
            <v>اليمن</v>
          </cell>
          <cell r="F432" t="str">
            <v>ذكر</v>
          </cell>
          <cell r="G432">
            <v>44998</v>
          </cell>
          <cell r="I432" t="str">
            <v>تحت التجربة</v>
          </cell>
          <cell r="J432" t="str">
            <v>عامل</v>
          </cell>
          <cell r="K432" t="str">
            <v>الرياض</v>
          </cell>
          <cell r="L432" t="str">
            <v>ورشة أثاث</v>
          </cell>
          <cell r="O432" t="str">
            <v/>
          </cell>
        </row>
        <row r="433">
          <cell r="B433">
            <v>1425</v>
          </cell>
          <cell r="C433" t="str">
            <v>خلود صلاح صلبي العريفي العنزي</v>
          </cell>
          <cell r="D433">
            <v>1065338657</v>
          </cell>
          <cell r="E433" t="str">
            <v>سعودي</v>
          </cell>
          <cell r="F433" t="str">
            <v>أنثي</v>
          </cell>
          <cell r="G433">
            <v>45014</v>
          </cell>
          <cell r="I433" t="str">
            <v>دوام كامل</v>
          </cell>
          <cell r="J433" t="str">
            <v>أمين صندوق</v>
          </cell>
          <cell r="K433" t="str">
            <v>الرياض</v>
          </cell>
          <cell r="L433" t="str">
            <v>النسيم 2</v>
          </cell>
          <cell r="O433" t="str">
            <v>0550269376</v>
          </cell>
        </row>
        <row r="434">
          <cell r="B434">
            <v>1426</v>
          </cell>
          <cell r="C434" t="str">
            <v>وسايم هادي موسى المسرحي</v>
          </cell>
          <cell r="D434">
            <v>1116713775</v>
          </cell>
          <cell r="E434" t="str">
            <v>سعودي</v>
          </cell>
          <cell r="F434" t="str">
            <v>أنثي</v>
          </cell>
          <cell r="G434">
            <v>45011</v>
          </cell>
          <cell r="I434" t="str">
            <v>دوام كامل</v>
          </cell>
          <cell r="J434" t="str">
            <v>أمين صندوق</v>
          </cell>
          <cell r="K434" t="str">
            <v>الدمام</v>
          </cell>
          <cell r="L434" t="str">
            <v>العنود</v>
          </cell>
          <cell r="O434" t="str">
            <v>0509925276</v>
          </cell>
        </row>
        <row r="435">
          <cell r="B435">
            <v>1427</v>
          </cell>
          <cell r="C435" t="str">
            <v>مدعث عوينان الرحمناني  البقمي</v>
          </cell>
          <cell r="D435">
            <v>1121290744</v>
          </cell>
          <cell r="E435" t="str">
            <v>سعودي</v>
          </cell>
          <cell r="F435" t="str">
            <v>ذكر</v>
          </cell>
          <cell r="G435">
            <v>45025</v>
          </cell>
          <cell r="I435" t="str">
            <v>دوام كامل</v>
          </cell>
          <cell r="J435" t="str">
            <v>أمين صندوق</v>
          </cell>
          <cell r="K435" t="str">
            <v>الرياض</v>
          </cell>
          <cell r="L435" t="str">
            <v>النسيم 2</v>
          </cell>
          <cell r="O435" t="str">
            <v>0550246311</v>
          </cell>
        </row>
        <row r="436">
          <cell r="B436">
            <v>1428</v>
          </cell>
          <cell r="C436" t="str">
            <v>عبد الحميد عبدالحميد محمد عجلان</v>
          </cell>
          <cell r="D436">
            <v>2204619312</v>
          </cell>
          <cell r="E436" t="str">
            <v>مصر</v>
          </cell>
          <cell r="F436" t="str">
            <v>ذكر</v>
          </cell>
          <cell r="I436" t="str">
            <v>دوام كامل</v>
          </cell>
          <cell r="J436" t="str">
            <v>مدير المبيعات</v>
          </cell>
          <cell r="K436" t="str">
            <v>الخرج</v>
          </cell>
          <cell r="L436" t="str">
            <v>المصنع</v>
          </cell>
          <cell r="O436" t="str">
            <v/>
          </cell>
        </row>
        <row r="437">
          <cell r="B437">
            <v>1429</v>
          </cell>
          <cell r="C437" t="str">
            <v>محمد السيد محمود مصطفى</v>
          </cell>
          <cell r="D437">
            <v>2506264965</v>
          </cell>
          <cell r="E437" t="str">
            <v>مصر</v>
          </cell>
          <cell r="F437" t="str">
            <v>ذكر</v>
          </cell>
          <cell r="G437">
            <v>45031</v>
          </cell>
          <cell r="I437" t="str">
            <v>دوام كامل</v>
          </cell>
          <cell r="K437" t="str">
            <v>الرياض</v>
          </cell>
          <cell r="L437" t="str">
            <v>ورشة أثاث</v>
          </cell>
          <cell r="O437" t="str">
            <v>0546277499</v>
          </cell>
        </row>
        <row r="438">
          <cell r="B438">
            <v>1430</v>
          </cell>
          <cell r="C438" t="str">
            <v>مجاهد علي عبد الله بن مرضاح</v>
          </cell>
          <cell r="D438">
            <v>2532326614</v>
          </cell>
          <cell r="E438" t="str">
            <v>اليمن</v>
          </cell>
          <cell r="F438" t="str">
            <v>ذكر</v>
          </cell>
          <cell r="I438" t="str">
            <v>تحت التجربة</v>
          </cell>
          <cell r="O438" t="str">
            <v/>
          </cell>
        </row>
        <row r="439">
          <cell r="B439">
            <v>1431</v>
          </cell>
          <cell r="C439" t="str">
            <v>محمد يحيى صالح احمد الورد</v>
          </cell>
          <cell r="D439">
            <v>3107900692</v>
          </cell>
          <cell r="E439" t="str">
            <v>اليمن</v>
          </cell>
          <cell r="F439" t="str">
            <v>ذكر</v>
          </cell>
          <cell r="G439">
            <v>45048</v>
          </cell>
          <cell r="I439" t="str">
            <v>تحت التجربة</v>
          </cell>
          <cell r="J439" t="str">
            <v>مصمم جرافيك</v>
          </cell>
          <cell r="K439" t="str">
            <v>الرياض</v>
          </cell>
          <cell r="L439" t="str">
            <v>وكالة ممكن</v>
          </cell>
          <cell r="O439" t="str">
            <v/>
          </cell>
        </row>
        <row r="440">
          <cell r="B440">
            <v>1432</v>
          </cell>
          <cell r="C440" t="str">
            <v>فيصل راكان نزال القعيقعي الرويلي</v>
          </cell>
          <cell r="D440">
            <v>1125576569</v>
          </cell>
          <cell r="E440" t="str">
            <v>سعودي</v>
          </cell>
          <cell r="F440" t="str">
            <v>ذكر</v>
          </cell>
          <cell r="G440">
            <v>45054</v>
          </cell>
          <cell r="I440" t="str">
            <v>دوام كامل</v>
          </cell>
          <cell r="J440" t="str">
            <v>أمين صندوق</v>
          </cell>
          <cell r="K440" t="str">
            <v>الرياض</v>
          </cell>
          <cell r="L440" t="str">
            <v>النسيم</v>
          </cell>
          <cell r="O440" t="e">
            <v>#N/A</v>
          </cell>
        </row>
        <row r="441">
          <cell r="B441">
            <v>1433</v>
          </cell>
          <cell r="C441" t="str">
            <v>عمر علي رمضان علي</v>
          </cell>
          <cell r="D441">
            <v>2506045810</v>
          </cell>
          <cell r="E441" t="str">
            <v>مصر</v>
          </cell>
          <cell r="F441" t="str">
            <v>ذكر</v>
          </cell>
          <cell r="G441">
            <v>45055</v>
          </cell>
          <cell r="I441" t="str">
            <v>دوام كامل</v>
          </cell>
          <cell r="J441" t="str">
            <v>مندوب مبيعات</v>
          </cell>
          <cell r="K441" t="str">
            <v>الخرج</v>
          </cell>
          <cell r="L441" t="str">
            <v>المصنع</v>
          </cell>
          <cell r="O441" t="e">
            <v>#N/A</v>
          </cell>
        </row>
        <row r="442">
          <cell r="B442">
            <v>1434</v>
          </cell>
          <cell r="C442" t="str">
            <v>محمد جمال الدين أبو المجد احمد</v>
          </cell>
          <cell r="D442">
            <v>3142422868</v>
          </cell>
          <cell r="E442" t="str">
            <v>مصر</v>
          </cell>
          <cell r="F442" t="str">
            <v>ذكر</v>
          </cell>
          <cell r="G442">
            <v>45089</v>
          </cell>
          <cell r="I442" t="str">
            <v>دوام كامل</v>
          </cell>
          <cell r="J442" t="str">
            <v>محاسب</v>
          </cell>
          <cell r="K442" t="str">
            <v>الرياض</v>
          </cell>
          <cell r="L442" t="str">
            <v>وكالة ممكن</v>
          </cell>
        </row>
        <row r="443">
          <cell r="B443">
            <v>1435</v>
          </cell>
          <cell r="C443" t="str">
            <v>شما عبدالعزيز عبدالرحمن آل عتيق</v>
          </cell>
          <cell r="D443">
            <v>1041307826</v>
          </cell>
          <cell r="E443" t="str">
            <v>سعودي</v>
          </cell>
          <cell r="F443" t="str">
            <v>أنثي</v>
          </cell>
          <cell r="G443">
            <v>45069</v>
          </cell>
          <cell r="I443" t="str">
            <v>دوام كامل</v>
          </cell>
          <cell r="J443" t="str">
            <v>أخصائي تسويق</v>
          </cell>
          <cell r="K443" t="str">
            <v>الرياض</v>
          </cell>
          <cell r="L443" t="str">
            <v>ورشة أثاث</v>
          </cell>
        </row>
        <row r="444">
          <cell r="B444">
            <v>1436</v>
          </cell>
          <cell r="C444" t="str">
            <v>اسامه اديب يحيى</v>
          </cell>
          <cell r="F444" t="str">
            <v>ذكر</v>
          </cell>
          <cell r="G444">
            <v>45064</v>
          </cell>
          <cell r="I444" t="str">
            <v>تحت التجربة</v>
          </cell>
          <cell r="K444" t="str">
            <v>الرياض</v>
          </cell>
          <cell r="L444" t="str">
            <v>الشفا</v>
          </cell>
        </row>
        <row r="445">
          <cell r="B445">
            <v>1437</v>
          </cell>
          <cell r="C445" t="str">
            <v>عبدالحميد محمد</v>
          </cell>
          <cell r="D445">
            <v>2194874737</v>
          </cell>
          <cell r="E445" t="str">
            <v>مصر</v>
          </cell>
          <cell r="F445" t="str">
            <v>ذكر</v>
          </cell>
          <cell r="G445">
            <v>45073</v>
          </cell>
          <cell r="I445" t="str">
            <v>تحت التجربة</v>
          </cell>
          <cell r="K445" t="str">
            <v>الرياض</v>
          </cell>
          <cell r="L445" t="str">
            <v>هاينس</v>
          </cell>
        </row>
        <row r="446">
          <cell r="B446">
            <v>1438</v>
          </cell>
          <cell r="C446" t="str">
            <v>ذكرى علي صالح البعداني</v>
          </cell>
          <cell r="D446">
            <v>2373237334</v>
          </cell>
          <cell r="E446" t="str">
            <v>اليمن</v>
          </cell>
          <cell r="F446" t="str">
            <v>أنثي</v>
          </cell>
          <cell r="G446">
            <v>45074</v>
          </cell>
          <cell r="I446" t="str">
            <v>دوام كامل</v>
          </cell>
          <cell r="K446" t="str">
            <v>الرياض</v>
          </cell>
          <cell r="L446" t="str">
            <v>المدير العام</v>
          </cell>
        </row>
        <row r="447">
          <cell r="B447">
            <v>1439</v>
          </cell>
          <cell r="C447" t="str">
            <v>ربيع هائل سيف احمد</v>
          </cell>
          <cell r="D447">
            <v>2542185257</v>
          </cell>
          <cell r="E447" t="str">
            <v>اليمن</v>
          </cell>
          <cell r="F447" t="str">
            <v>ذكر</v>
          </cell>
          <cell r="G447">
            <v>45082</v>
          </cell>
          <cell r="I447" t="str">
            <v>تحت التجربة</v>
          </cell>
          <cell r="K447" t="str">
            <v>الرياض</v>
          </cell>
          <cell r="L447" t="str">
            <v>ورشة أثاث</v>
          </cell>
        </row>
        <row r="448">
          <cell r="B448">
            <v>1440</v>
          </cell>
          <cell r="C448" t="str">
            <v>نوره عبدالله إبراهيم الرشيد</v>
          </cell>
          <cell r="D448">
            <v>1116441054</v>
          </cell>
          <cell r="E448" t="str">
            <v>سعودي</v>
          </cell>
          <cell r="F448" t="str">
            <v>أنثي</v>
          </cell>
          <cell r="G448">
            <v>45084</v>
          </cell>
          <cell r="I448" t="str">
            <v>عن بعد</v>
          </cell>
          <cell r="J448" t="str">
            <v>خدمة عملاء</v>
          </cell>
          <cell r="K448" t="str">
            <v>الرياض</v>
          </cell>
          <cell r="L448" t="str">
            <v>الإدارة</v>
          </cell>
        </row>
        <row r="449">
          <cell r="B449">
            <v>1441</v>
          </cell>
          <cell r="C449" t="str">
            <v>عباس السيد ابو هاشم علي الطويل</v>
          </cell>
          <cell r="D449">
            <v>4786855421</v>
          </cell>
          <cell r="E449" t="str">
            <v>مصر</v>
          </cell>
          <cell r="F449" t="str">
            <v>ذكر</v>
          </cell>
          <cell r="J449" t="str">
            <v>نجار أثاث</v>
          </cell>
          <cell r="K449" t="str">
            <v>الرياض</v>
          </cell>
          <cell r="L449" t="str">
            <v>ورشة أثاث</v>
          </cell>
        </row>
        <row r="450">
          <cell r="B450">
            <v>1442</v>
          </cell>
          <cell r="C450" t="str">
            <v>ريوف صالح سليمان الجطيلي</v>
          </cell>
          <cell r="D450">
            <v>1056593864</v>
          </cell>
          <cell r="E450" t="str">
            <v>سعودي</v>
          </cell>
          <cell r="F450" t="str">
            <v>أنثي</v>
          </cell>
          <cell r="G450">
            <v>45084</v>
          </cell>
          <cell r="I450" t="str">
            <v>عن بعد</v>
          </cell>
          <cell r="J450" t="str">
            <v>خدمة عملاء</v>
          </cell>
          <cell r="K450" t="str">
            <v>الرياض</v>
          </cell>
          <cell r="L450" t="str">
            <v>الإدارة</v>
          </cell>
        </row>
        <row r="451">
          <cell r="B451">
            <v>1443</v>
          </cell>
          <cell r="C451" t="str">
            <v>صادق احمد احمد عبدالله قرانه</v>
          </cell>
          <cell r="D451">
            <v>2541385874</v>
          </cell>
          <cell r="E451" t="str">
            <v>اليمن</v>
          </cell>
          <cell r="F451" t="str">
            <v>ذكر</v>
          </cell>
          <cell r="G451">
            <v>45072</v>
          </cell>
          <cell r="I451" t="str">
            <v>دوام كامل</v>
          </cell>
          <cell r="K451" t="str">
            <v>القصيم</v>
          </cell>
          <cell r="L451" t="str">
            <v>بريدة</v>
          </cell>
        </row>
        <row r="452">
          <cell r="B452">
            <v>1444</v>
          </cell>
          <cell r="C452" t="str">
            <v>سايمون سايمون</v>
          </cell>
          <cell r="E452" t="str">
            <v>بنجلاديش</v>
          </cell>
          <cell r="F452" t="str">
            <v>ذكر</v>
          </cell>
          <cell r="I452" t="str">
            <v>تحت التجربة</v>
          </cell>
          <cell r="K452" t="str">
            <v>الرياض</v>
          </cell>
          <cell r="L452" t="str">
            <v>جملة ريال البركة</v>
          </cell>
        </row>
        <row r="453">
          <cell r="B453">
            <v>1445</v>
          </cell>
          <cell r="C453" t="str">
            <v>محمد عيسى احمد جعفري</v>
          </cell>
          <cell r="D453">
            <v>1129160790</v>
          </cell>
          <cell r="E453" t="str">
            <v>سعودي</v>
          </cell>
          <cell r="F453" t="str">
            <v>ذكر</v>
          </cell>
          <cell r="G453">
            <v>45085</v>
          </cell>
          <cell r="I453" t="str">
            <v>دوام كامل</v>
          </cell>
          <cell r="K453" t="str">
            <v>الرياض</v>
          </cell>
          <cell r="L453" t="str">
            <v>الشفا</v>
          </cell>
        </row>
        <row r="454">
          <cell r="B454">
            <v>1446</v>
          </cell>
          <cell r="C454" t="str">
            <v>فارس علي عبدالحميد المجيدي</v>
          </cell>
          <cell r="D454">
            <v>2526330135</v>
          </cell>
          <cell r="E454" t="str">
            <v>اليمن</v>
          </cell>
          <cell r="F454" t="str">
            <v>ذكر</v>
          </cell>
          <cell r="I454" t="str">
            <v>دوام كامل</v>
          </cell>
          <cell r="K454" t="str">
            <v>الخرج</v>
          </cell>
          <cell r="L454" t="str">
            <v>المصنع</v>
          </cell>
        </row>
        <row r="455">
          <cell r="B455">
            <v>1447</v>
          </cell>
          <cell r="C455" t="str">
            <v>مبروكة معيوف مرزوق احمد</v>
          </cell>
          <cell r="D455">
            <v>1068938453</v>
          </cell>
          <cell r="E455" t="str">
            <v>سعودي</v>
          </cell>
          <cell r="F455" t="str">
            <v>أنثي</v>
          </cell>
          <cell r="G455">
            <v>45120</v>
          </cell>
          <cell r="I455" t="str">
            <v>عن بعد</v>
          </cell>
          <cell r="K455" t="str">
            <v>الرياض</v>
          </cell>
          <cell r="L455" t="str">
            <v>الإدارة</v>
          </cell>
        </row>
        <row r="456">
          <cell r="B456">
            <v>1448</v>
          </cell>
          <cell r="C456" t="str">
            <v>محمد ناصر بن طميران البقمى</v>
          </cell>
          <cell r="D456">
            <v>1128268537</v>
          </cell>
          <cell r="E456" t="str">
            <v>سعودي</v>
          </cell>
          <cell r="F456" t="str">
            <v>ذكر</v>
          </cell>
          <cell r="G456">
            <v>45089</v>
          </cell>
          <cell r="I456" t="str">
            <v>دوام كامل</v>
          </cell>
          <cell r="K456" t="str">
            <v>الرياض</v>
          </cell>
          <cell r="L456" t="str">
            <v>النسيم 2</v>
          </cell>
        </row>
        <row r="457">
          <cell r="B457">
            <v>1449</v>
          </cell>
          <cell r="C457" t="str">
            <v>مالك علي فهد البديوي</v>
          </cell>
          <cell r="D457">
            <v>1117591378</v>
          </cell>
          <cell r="E457" t="str">
            <v>سعودي</v>
          </cell>
          <cell r="F457" t="str">
            <v>ذكر</v>
          </cell>
          <cell r="G457">
            <v>45091</v>
          </cell>
          <cell r="I457" t="str">
            <v>دوام كامل</v>
          </cell>
          <cell r="K457" t="str">
            <v>القصيم</v>
          </cell>
          <cell r="L457" t="str">
            <v>بريدة</v>
          </cell>
        </row>
        <row r="458">
          <cell r="B458">
            <v>1450</v>
          </cell>
          <cell r="C458" t="str">
            <v>محمد علي بن محمد ربيع</v>
          </cell>
          <cell r="D458">
            <v>1080517541</v>
          </cell>
          <cell r="E458" t="str">
            <v>سعودي</v>
          </cell>
          <cell r="F458" t="str">
            <v>ذكر</v>
          </cell>
          <cell r="G458">
            <v>45091</v>
          </cell>
          <cell r="I458" t="str">
            <v>دوام كامل</v>
          </cell>
          <cell r="K458" t="str">
            <v>القصيم</v>
          </cell>
          <cell r="L458" t="str">
            <v>بريدة</v>
          </cell>
        </row>
        <row r="459">
          <cell r="B459">
            <v>1451</v>
          </cell>
          <cell r="C459" t="str">
            <v>محمد كوثر شوجيب حسين</v>
          </cell>
          <cell r="D459">
            <v>2545416451</v>
          </cell>
          <cell r="E459" t="str">
            <v>بنجلاديش</v>
          </cell>
          <cell r="F459" t="str">
            <v>ذكر</v>
          </cell>
          <cell r="G459">
            <v>45072</v>
          </cell>
          <cell r="I459" t="str">
            <v>دوام كامل</v>
          </cell>
          <cell r="J459" t="str">
            <v>عامل تعبئة رفوف</v>
          </cell>
          <cell r="K459" t="str">
            <v>القصيم</v>
          </cell>
          <cell r="L459" t="str">
            <v>بريدة</v>
          </cell>
        </row>
        <row r="460">
          <cell r="B460">
            <v>1452</v>
          </cell>
          <cell r="C460" t="str">
            <v>محمد شحادة شحل حسين</v>
          </cell>
          <cell r="D460">
            <v>2545373306</v>
          </cell>
          <cell r="E460" t="str">
            <v>بنجلاديش</v>
          </cell>
          <cell r="F460" t="str">
            <v>ذكر</v>
          </cell>
          <cell r="G460">
            <v>45072</v>
          </cell>
          <cell r="I460" t="str">
            <v>دوام كامل</v>
          </cell>
          <cell r="J460" t="str">
            <v>عامل تعبئة رفوف</v>
          </cell>
          <cell r="K460" t="str">
            <v>القصيم</v>
          </cell>
          <cell r="L460" t="str">
            <v>بريدة</v>
          </cell>
        </row>
        <row r="461">
          <cell r="B461">
            <v>1453</v>
          </cell>
          <cell r="C461" t="str">
            <v>جبير اوسين</v>
          </cell>
          <cell r="D461">
            <v>2545942092</v>
          </cell>
          <cell r="E461" t="str">
            <v>بنجلاديش</v>
          </cell>
          <cell r="F461" t="str">
            <v>ذكر</v>
          </cell>
          <cell r="G461">
            <v>45092</v>
          </cell>
          <cell r="I461" t="str">
            <v>تحت التجربة</v>
          </cell>
          <cell r="J461" t="str">
            <v>عامل</v>
          </cell>
          <cell r="K461" t="str">
            <v>الرياض</v>
          </cell>
          <cell r="L461" t="str">
            <v>الدائري الغربي</v>
          </cell>
        </row>
        <row r="462">
          <cell r="B462">
            <v>1454</v>
          </cell>
          <cell r="C462" t="str">
            <v>اسامه اديب يحيى الشامي</v>
          </cell>
          <cell r="D462">
            <v>3104319029</v>
          </cell>
          <cell r="E462" t="str">
            <v>اليمن</v>
          </cell>
          <cell r="F462" t="str">
            <v>ذكر</v>
          </cell>
          <cell r="G462">
            <v>45072</v>
          </cell>
          <cell r="I462" t="str">
            <v>تحت التجربة</v>
          </cell>
          <cell r="K462" t="str">
            <v>القصيم</v>
          </cell>
          <cell r="L462" t="str">
            <v>بريدة</v>
          </cell>
        </row>
        <row r="463">
          <cell r="B463">
            <v>1455</v>
          </cell>
          <cell r="C463" t="str">
            <v>عبد الله ناجي حزام فازع</v>
          </cell>
          <cell r="D463">
            <v>2461580207</v>
          </cell>
          <cell r="E463" t="str">
            <v>اليمن</v>
          </cell>
          <cell r="F463" t="str">
            <v>ذكر</v>
          </cell>
          <cell r="G463">
            <v>45077</v>
          </cell>
          <cell r="I463" t="str">
            <v>تحت التجربة</v>
          </cell>
          <cell r="J463" t="str">
            <v>عامل</v>
          </cell>
          <cell r="K463" t="str">
            <v>القصيم</v>
          </cell>
          <cell r="L463" t="str">
            <v>بريدة</v>
          </cell>
        </row>
        <row r="464">
          <cell r="B464">
            <v>1456</v>
          </cell>
          <cell r="C464" t="str">
            <v>علي عبد الله علي علي الغابري</v>
          </cell>
          <cell r="D464">
            <v>3105384501</v>
          </cell>
          <cell r="E464" t="str">
            <v>اليمن</v>
          </cell>
          <cell r="F464" t="str">
            <v>ذكر</v>
          </cell>
          <cell r="G464">
            <v>45079</v>
          </cell>
          <cell r="I464" t="str">
            <v>تحت التجربة</v>
          </cell>
          <cell r="J464" t="str">
            <v>عامل تعبئة وتغليف</v>
          </cell>
          <cell r="K464" t="str">
            <v>القصيم</v>
          </cell>
          <cell r="L464" t="str">
            <v>بريدة</v>
          </cell>
        </row>
        <row r="465">
          <cell r="B465">
            <v>1457</v>
          </cell>
          <cell r="C465" t="str">
            <v>صابر محمد مثنى الخديري</v>
          </cell>
          <cell r="D465">
            <v>3115369684</v>
          </cell>
          <cell r="E465" t="str">
            <v>اليمن</v>
          </cell>
          <cell r="F465" t="str">
            <v>ذكر</v>
          </cell>
          <cell r="G465">
            <v>45072</v>
          </cell>
          <cell r="I465" t="str">
            <v>تحت التجربة</v>
          </cell>
          <cell r="J465" t="str">
            <v>عامل</v>
          </cell>
          <cell r="K465" t="str">
            <v>الرياض</v>
          </cell>
          <cell r="L465" t="str">
            <v>ورشة أثاث</v>
          </cell>
        </row>
        <row r="466">
          <cell r="B466">
            <v>1458</v>
          </cell>
          <cell r="C466" t="str">
            <v>محمد رضوان رمزان علي</v>
          </cell>
          <cell r="D466">
            <v>2240070868</v>
          </cell>
          <cell r="E466" t="str">
            <v>باكستان</v>
          </cell>
          <cell r="F466" t="str">
            <v>ذكر</v>
          </cell>
          <cell r="G466">
            <v>44996</v>
          </cell>
          <cell r="I466" t="str">
            <v>دوام جزئي</v>
          </cell>
          <cell r="J466" t="str">
            <v>مراقب جودة</v>
          </cell>
          <cell r="K466" t="str">
            <v>الخرج</v>
          </cell>
          <cell r="L466" t="str">
            <v>المصنع</v>
          </cell>
        </row>
        <row r="467">
          <cell r="B467">
            <v>1459</v>
          </cell>
          <cell r="C467" t="str">
            <v>عهود علي عبدالله هاشمي</v>
          </cell>
          <cell r="D467">
            <v>1096102098</v>
          </cell>
          <cell r="E467" t="str">
            <v>سعودي</v>
          </cell>
          <cell r="F467" t="str">
            <v>أنثي</v>
          </cell>
          <cell r="G467">
            <v>45099</v>
          </cell>
          <cell r="I467" t="str">
            <v>عن بعد</v>
          </cell>
          <cell r="K467" t="str">
            <v>الرياض</v>
          </cell>
          <cell r="L467" t="str">
            <v>الإدارة</v>
          </cell>
          <cell r="M467" t="str">
            <v>انهاء فترة التجربة</v>
          </cell>
          <cell r="N467" t="str">
            <v>22/06/2023</v>
          </cell>
        </row>
        <row r="468">
          <cell r="B468">
            <v>1460</v>
          </cell>
          <cell r="C468" t="str">
            <v>تهاني حمد محمد باجعفر</v>
          </cell>
          <cell r="D468">
            <v>1100868668</v>
          </cell>
          <cell r="E468" t="str">
            <v>سعودي</v>
          </cell>
          <cell r="F468" t="str">
            <v>أنثي</v>
          </cell>
          <cell r="G468">
            <v>45099</v>
          </cell>
          <cell r="I468" t="str">
            <v>عن بعد</v>
          </cell>
          <cell r="J468" t="str">
            <v>أخصائي خدمة عملاء</v>
          </cell>
          <cell r="K468" t="str">
            <v>الرياض</v>
          </cell>
          <cell r="L468" t="str">
            <v>الإدارة</v>
          </cell>
        </row>
        <row r="469">
          <cell r="B469">
            <v>1461</v>
          </cell>
          <cell r="C469" t="str">
            <v>شروق حسن محمد رفاعي</v>
          </cell>
          <cell r="D469">
            <v>1089159121</v>
          </cell>
          <cell r="E469" t="str">
            <v>سعودي</v>
          </cell>
          <cell r="F469" t="str">
            <v>أنثي</v>
          </cell>
          <cell r="G469">
            <v>45099</v>
          </cell>
          <cell r="I469" t="str">
            <v>عن بعد</v>
          </cell>
          <cell r="J469" t="str">
            <v>أخصائي خدمة عملاء</v>
          </cell>
          <cell r="K469" t="str">
            <v>الرياض</v>
          </cell>
          <cell r="L469" t="str">
            <v>الإدارة</v>
          </cell>
        </row>
        <row r="470">
          <cell r="B470">
            <v>1462</v>
          </cell>
          <cell r="C470" t="str">
            <v>إحساس إالياس احمد العزعزي</v>
          </cell>
          <cell r="E470" t="str">
            <v>اليمن</v>
          </cell>
          <cell r="F470" t="str">
            <v>أنثي</v>
          </cell>
        </row>
        <row r="471">
          <cell r="B471">
            <v>1463</v>
          </cell>
          <cell r="C471" t="str">
            <v>عبدالرحمن محمد عبده الحاتمي</v>
          </cell>
          <cell r="D471">
            <v>2446047033</v>
          </cell>
          <cell r="E471" t="str">
            <v>اليمن</v>
          </cell>
          <cell r="F471" t="str">
            <v>ذكر</v>
          </cell>
        </row>
        <row r="472">
          <cell r="B472">
            <v>1464</v>
          </cell>
          <cell r="C472" t="str">
            <v>فاطمه محمد محمد صندلي</v>
          </cell>
          <cell r="D472">
            <v>1022864241</v>
          </cell>
          <cell r="E472" t="str">
            <v>سعودي</v>
          </cell>
          <cell r="F472" t="str">
            <v>أنثي</v>
          </cell>
          <cell r="G472">
            <v>45110</v>
          </cell>
          <cell r="I472" t="str">
            <v>عن بعد</v>
          </cell>
          <cell r="J472" t="str">
            <v>أخصائي خدمة عملاء</v>
          </cell>
          <cell r="K472" t="str">
            <v>الرياض</v>
          </cell>
          <cell r="L472" t="str">
            <v>الإدارة</v>
          </cell>
        </row>
        <row r="473">
          <cell r="B473">
            <v>1465</v>
          </cell>
        </row>
        <row r="474">
          <cell r="B474">
            <v>1466</v>
          </cell>
        </row>
        <row r="475">
          <cell r="B475">
            <v>1467</v>
          </cell>
        </row>
        <row r="476">
          <cell r="B476">
            <v>1468</v>
          </cell>
        </row>
        <row r="477">
          <cell r="B477">
            <v>1469</v>
          </cell>
        </row>
        <row r="478">
          <cell r="B478">
            <v>1470</v>
          </cell>
        </row>
        <row r="479">
          <cell r="B479">
            <v>1471</v>
          </cell>
        </row>
        <row r="480">
          <cell r="B480">
            <v>1472</v>
          </cell>
        </row>
        <row r="481">
          <cell r="B481">
            <v>1473</v>
          </cell>
        </row>
        <row r="482">
          <cell r="B482">
            <v>1474</v>
          </cell>
          <cell r="C482" t="str">
            <v>شرفت علي شير محمد</v>
          </cell>
          <cell r="D482">
            <v>3130147097</v>
          </cell>
          <cell r="E482" t="str">
            <v>باكستان</v>
          </cell>
          <cell r="F482" t="str">
            <v>ذكر</v>
          </cell>
          <cell r="I482" t="str">
            <v>دوام كامل</v>
          </cell>
          <cell r="J482" t="str">
            <v>عامل تصنيع</v>
          </cell>
          <cell r="K482" t="str">
            <v>الخرج</v>
          </cell>
          <cell r="L482" t="str">
            <v>المصنع</v>
          </cell>
        </row>
        <row r="483">
          <cell r="B483">
            <v>1475</v>
          </cell>
        </row>
        <row r="484">
          <cell r="B484">
            <v>1476</v>
          </cell>
        </row>
        <row r="485">
          <cell r="B485">
            <v>1477</v>
          </cell>
        </row>
        <row r="486">
          <cell r="B486">
            <v>1478</v>
          </cell>
        </row>
        <row r="487">
          <cell r="B487">
            <v>1479</v>
          </cell>
        </row>
        <row r="488">
          <cell r="B488">
            <v>1480</v>
          </cell>
        </row>
        <row r="489">
          <cell r="B489">
            <v>1481</v>
          </cell>
        </row>
        <row r="490">
          <cell r="B490">
            <v>1482</v>
          </cell>
        </row>
        <row r="491">
          <cell r="B491">
            <v>1483</v>
          </cell>
        </row>
        <row r="492">
          <cell r="B492">
            <v>1484</v>
          </cell>
        </row>
        <row r="493">
          <cell r="B493">
            <v>1485</v>
          </cell>
        </row>
        <row r="494">
          <cell r="B494">
            <v>1486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قيمين النشطين"/>
    </sheetNames>
    <sheetDataSet>
      <sheetData sheetId="0">
        <row r="2">
          <cell r="B2">
            <v>1000</v>
          </cell>
          <cell r="C2">
            <v>1023619636</v>
          </cell>
          <cell r="D2" t="str">
            <v xml:space="preserve">سلطان عبدالرحمن صالح الرزيحي </v>
          </cell>
          <cell r="E2" t="str">
            <v>ذكر</v>
          </cell>
          <cell r="F2" t="str">
            <v>سعودي</v>
          </cell>
          <cell r="G2" t="str">
            <v>رئيس مجلس الإدارة</v>
          </cell>
          <cell r="H2"/>
          <cell r="I2"/>
          <cell r="J2"/>
          <cell r="K2"/>
          <cell r="L2"/>
          <cell r="M2"/>
          <cell r="N2"/>
          <cell r="O2"/>
          <cell r="P2" t="str">
            <v>المالك</v>
          </cell>
          <cell r="Q2" t="str">
            <v>الإدارة</v>
          </cell>
        </row>
        <row r="3">
          <cell r="B3">
            <v>1001</v>
          </cell>
          <cell r="C3">
            <v>2183771753</v>
          </cell>
          <cell r="D3" t="str">
            <v>SANOWAR - - ABDULMAJID</v>
          </cell>
          <cell r="E3" t="str">
            <v>ذكر</v>
          </cell>
          <cell r="F3" t="str">
            <v>بنجلاديش</v>
          </cell>
          <cell r="G3" t="str">
            <v>عامل تعبئة رفوف</v>
          </cell>
          <cell r="H3" t="str">
            <v>EJ0074623</v>
          </cell>
          <cell r="I3" t="str">
            <v>2026-05-22</v>
          </cell>
          <cell r="J3" t="str">
            <v>2002-07-15</v>
          </cell>
          <cell r="K3" t="str">
            <v>2022-12-14</v>
          </cell>
          <cell r="L3" t="str">
            <v>1966-01-01</v>
          </cell>
          <cell r="M3" t="str">
            <v>لا</v>
          </cell>
          <cell r="N3" t="str">
            <v>1444-05-20</v>
          </cell>
          <cell r="O3">
            <v>7014477116</v>
          </cell>
          <cell r="P3" t="str">
            <v>شركة ريال البركة للتجارة</v>
          </cell>
          <cell r="Q3" t="str">
            <v>النسيم</v>
          </cell>
        </row>
        <row r="4">
          <cell r="B4">
            <v>1002</v>
          </cell>
          <cell r="C4">
            <v>2278047721</v>
          </cell>
          <cell r="D4" t="str">
            <v>عبدالرحمن محمد عبده السلمي</v>
          </cell>
          <cell r="E4" t="str">
            <v>ذكر</v>
          </cell>
          <cell r="F4" t="str">
            <v>اليمن</v>
          </cell>
          <cell r="G4" t="str">
            <v>مندوب مشتريات</v>
          </cell>
          <cell r="H4" t="str">
            <v>07497058</v>
          </cell>
          <cell r="I4" t="str">
            <v>2023-04-13</v>
          </cell>
          <cell r="J4" t="str">
            <v>2009-10-18</v>
          </cell>
          <cell r="K4" t="str">
            <v>2022-09-23</v>
          </cell>
          <cell r="L4" t="str">
            <v>1985-05-22</v>
          </cell>
          <cell r="M4" t="str">
            <v>لا</v>
          </cell>
          <cell r="N4" t="str">
            <v>1444-02-27</v>
          </cell>
          <cell r="O4">
            <v>7014477116</v>
          </cell>
          <cell r="P4" t="str">
            <v>شركة ريال البركة للتجارة</v>
          </cell>
          <cell r="Q4" t="str">
            <v>جملة ريال البركة</v>
          </cell>
        </row>
        <row r="5">
          <cell r="B5">
            <v>1003</v>
          </cell>
          <cell r="C5">
            <v>2258083357</v>
          </cell>
          <cell r="D5" t="str">
            <v>سليم عبده علي الرعوي</v>
          </cell>
          <cell r="E5" t="str">
            <v>ذكر</v>
          </cell>
          <cell r="F5" t="str">
            <v>اليمن</v>
          </cell>
          <cell r="G5" t="str">
            <v>مندوب مبيعات</v>
          </cell>
          <cell r="H5" t="str">
            <v>07496936</v>
          </cell>
          <cell r="I5" t="str">
            <v>2023-04-13</v>
          </cell>
          <cell r="J5" t="str">
            <v>2008-08-17</v>
          </cell>
          <cell r="K5" t="str">
            <v>2022-11-23</v>
          </cell>
          <cell r="L5" t="str">
            <v>1981-01-01</v>
          </cell>
          <cell r="M5" t="str">
            <v>لا</v>
          </cell>
          <cell r="N5" t="str">
            <v>1444-04-29</v>
          </cell>
          <cell r="O5">
            <v>7014477116</v>
          </cell>
          <cell r="P5" t="str">
            <v>شركة ريال البركة للتجارة</v>
          </cell>
          <cell r="Q5" t="str">
            <v>الإدارة</v>
          </cell>
        </row>
        <row r="6">
          <cell r="B6">
            <v>1004</v>
          </cell>
          <cell r="C6">
            <v>2294076340</v>
          </cell>
          <cell r="D6" t="str">
            <v>مصطفى عبده علي صالح</v>
          </cell>
          <cell r="E6" t="str">
            <v>ذكر</v>
          </cell>
          <cell r="F6" t="str">
            <v>اليمن</v>
          </cell>
          <cell r="G6" t="str">
            <v>عامل مخزن</v>
          </cell>
          <cell r="H6">
            <v>3891773</v>
          </cell>
          <cell r="I6" t="str">
            <v>2022-09-08</v>
          </cell>
          <cell r="J6" t="str">
            <v>2010-10-04</v>
          </cell>
          <cell r="K6" t="str">
            <v>2022-09-06</v>
          </cell>
          <cell r="L6" t="str">
            <v>1981-01-01</v>
          </cell>
          <cell r="M6" t="str">
            <v>لا</v>
          </cell>
          <cell r="N6" t="str">
            <v>1444-02-10</v>
          </cell>
          <cell r="O6">
            <v>7014477116</v>
          </cell>
          <cell r="P6" t="str">
            <v>شركة ريال البركة للتجارة</v>
          </cell>
          <cell r="Q6" t="str">
            <v>جملة ريال البركة</v>
          </cell>
        </row>
        <row r="7">
          <cell r="B7">
            <v>1005</v>
          </cell>
          <cell r="C7">
            <v>2265219804</v>
          </cell>
          <cell r="D7" t="str">
            <v>عبدالسلام محمد سعيد ناجي</v>
          </cell>
          <cell r="E7" t="str">
            <v>ذكر</v>
          </cell>
          <cell r="F7" t="str">
            <v>اليمن</v>
          </cell>
          <cell r="G7" t="str">
            <v>عامل تعبئة رفوف</v>
          </cell>
          <cell r="H7" t="str">
            <v>06059233</v>
          </cell>
          <cell r="I7" t="str">
            <v>2022-10-05</v>
          </cell>
          <cell r="J7" t="str">
            <v>2009-01-26</v>
          </cell>
          <cell r="K7" t="str">
            <v>2022-09-25</v>
          </cell>
          <cell r="L7" t="str">
            <v>1986-01-01</v>
          </cell>
          <cell r="M7" t="str">
            <v>لا</v>
          </cell>
          <cell r="N7" t="str">
            <v>1444-02-29</v>
          </cell>
          <cell r="O7">
            <v>7009073037</v>
          </cell>
          <cell r="P7" t="str">
            <v>مؤسسة سلطان عبدالرحمن صالح الرزيحي للتجارة</v>
          </cell>
          <cell r="Q7" t="str">
            <v>جملة سلطان/السويلم</v>
          </cell>
        </row>
        <row r="8">
          <cell r="B8">
            <v>1006</v>
          </cell>
          <cell r="C8">
            <v>2259512115</v>
          </cell>
          <cell r="D8" t="str">
            <v>بلال صالح حمود الفهد</v>
          </cell>
          <cell r="E8" t="str">
            <v>ذكر</v>
          </cell>
          <cell r="F8" t="str">
            <v>اليمن</v>
          </cell>
          <cell r="G8" t="str">
            <v>عامل تعبئة رفوف</v>
          </cell>
          <cell r="H8" t="str">
            <v>11308838</v>
          </cell>
          <cell r="I8" t="str">
            <v>2028-06-06</v>
          </cell>
          <cell r="J8" t="str">
            <v>2008-09-14</v>
          </cell>
          <cell r="K8" t="str">
            <v>2023-02-22</v>
          </cell>
          <cell r="L8" t="str">
            <v>1984-01-01</v>
          </cell>
          <cell r="M8" t="str">
            <v>لا</v>
          </cell>
          <cell r="N8" t="str">
            <v>1444-08-02</v>
          </cell>
          <cell r="O8">
            <v>7014477116</v>
          </cell>
          <cell r="P8" t="str">
            <v>شركة ريال البركة للتجارة</v>
          </cell>
          <cell r="Q8" t="str">
            <v>غرناطة</v>
          </cell>
        </row>
        <row r="9">
          <cell r="B9">
            <v>1007</v>
          </cell>
          <cell r="C9">
            <v>2278571605</v>
          </cell>
          <cell r="D9" t="str">
            <v>محمد عبدالدائم محمد عبدالرحمن</v>
          </cell>
          <cell r="E9" t="str">
            <v>ذكر</v>
          </cell>
          <cell r="F9" t="str">
            <v>اليمن</v>
          </cell>
          <cell r="G9" t="str">
            <v>مندوب مبيعات</v>
          </cell>
          <cell r="H9" t="str">
            <v>09536880</v>
          </cell>
          <cell r="I9" t="str">
            <v>2026-07-23</v>
          </cell>
          <cell r="J9" t="str">
            <v>2009-10-26</v>
          </cell>
          <cell r="K9" t="str">
            <v>2022-10-14</v>
          </cell>
          <cell r="L9" t="str">
            <v>1984-11-15</v>
          </cell>
          <cell r="M9" t="str">
            <v>لا</v>
          </cell>
          <cell r="N9" t="str">
            <v>1444-03-18</v>
          </cell>
          <cell r="O9">
            <v>7014477116</v>
          </cell>
          <cell r="P9" t="str">
            <v>شركة ريال البركة للتجارة</v>
          </cell>
          <cell r="Q9" t="str">
            <v>مستودع عكاظ 23</v>
          </cell>
        </row>
        <row r="10">
          <cell r="B10">
            <v>1008</v>
          </cell>
          <cell r="C10">
            <v>1031868324</v>
          </cell>
          <cell r="D10" t="str">
            <v>فوزية هزال عيسي الهزال</v>
          </cell>
          <cell r="E10" t="str">
            <v>أنثى</v>
          </cell>
          <cell r="F10" t="str">
            <v>سعودي</v>
          </cell>
          <cell r="G10" t="str">
            <v>فني حسابات عام</v>
          </cell>
          <cell r="H10"/>
          <cell r="I10"/>
          <cell r="J10"/>
          <cell r="K10"/>
          <cell r="L10"/>
          <cell r="M10"/>
          <cell r="N10"/>
          <cell r="O10">
            <v>7014477116</v>
          </cell>
          <cell r="P10" t="str">
            <v>شركة ريال البركة للتجارة</v>
          </cell>
          <cell r="Q10" t="str">
            <v>الإدارة</v>
          </cell>
        </row>
        <row r="11">
          <cell r="B11">
            <v>1009</v>
          </cell>
          <cell r="C11">
            <v>2217477385</v>
          </cell>
          <cell r="D11" t="str">
            <v>ASADUZZAMAN - - ALI</v>
          </cell>
          <cell r="E11" t="str">
            <v>ذكر</v>
          </cell>
          <cell r="F11" t="str">
            <v>بنجلاديش</v>
          </cell>
          <cell r="G11" t="str">
            <v>عامل تحميل وتنزيل</v>
          </cell>
          <cell r="H11" t="str">
            <v>EA0954167</v>
          </cell>
          <cell r="I11" t="str">
            <v>2024-06-10</v>
          </cell>
          <cell r="J11" t="str">
            <v>2005-07-11</v>
          </cell>
          <cell r="K11" t="str">
            <v>2022-11-10</v>
          </cell>
          <cell r="L11" t="str">
            <v>1963-01-01</v>
          </cell>
          <cell r="M11" t="str">
            <v>نعم</v>
          </cell>
          <cell r="N11" t="str">
            <v>1444-04-16</v>
          </cell>
          <cell r="O11">
            <v>7014477116</v>
          </cell>
          <cell r="P11" t="str">
            <v>شركة ريال البركة للتجارة</v>
          </cell>
          <cell r="Q11" t="str">
            <v>أونلاين</v>
          </cell>
        </row>
        <row r="12">
          <cell r="B12">
            <v>1010</v>
          </cell>
          <cell r="C12">
            <v>2201478860</v>
          </cell>
          <cell r="D12" t="str">
            <v>TAFAZAL - - OLI</v>
          </cell>
          <cell r="E12" t="str">
            <v>ذكر</v>
          </cell>
          <cell r="F12" t="str">
            <v>بنجلاديش</v>
          </cell>
          <cell r="G12" t="str">
            <v>عامل تحميل وتنزيل</v>
          </cell>
          <cell r="H12" t="str">
            <v>EA0957049</v>
          </cell>
          <cell r="I12" t="str">
            <v>2024-07-10</v>
          </cell>
          <cell r="J12" t="str">
            <v>2003-12-27</v>
          </cell>
          <cell r="K12" t="str">
            <v>2023-01-19</v>
          </cell>
          <cell r="L12" t="str">
            <v>1968-01-01</v>
          </cell>
          <cell r="M12" t="str">
            <v>لا</v>
          </cell>
          <cell r="N12" t="str">
            <v>1444-06-26</v>
          </cell>
          <cell r="O12">
            <v>7009073037</v>
          </cell>
          <cell r="P12" t="str">
            <v>مؤسسة سلطان عبدالرحمن صالح الرزيحي للتجارة</v>
          </cell>
          <cell r="Q12" t="str">
            <v>جملة سلطان/السويلم</v>
          </cell>
        </row>
        <row r="13">
          <cell r="B13">
            <v>1011</v>
          </cell>
          <cell r="C13">
            <v>2368855538</v>
          </cell>
          <cell r="D13" t="str">
            <v>أيمن محمد فتحي خلف</v>
          </cell>
          <cell r="E13" t="str">
            <v>ذكر</v>
          </cell>
          <cell r="F13" t="str">
            <v>مصر</v>
          </cell>
          <cell r="G13"/>
          <cell r="H13"/>
          <cell r="I13"/>
          <cell r="J13"/>
          <cell r="K13"/>
          <cell r="L13"/>
          <cell r="M13"/>
          <cell r="N13"/>
          <cell r="O13"/>
          <cell r="P13" t="str">
            <v>دوام جزئي</v>
          </cell>
          <cell r="Q13" t="str">
            <v>الإدارة</v>
          </cell>
        </row>
        <row r="14">
          <cell r="B14">
            <v>1012</v>
          </cell>
          <cell r="C14">
            <v>2280543253</v>
          </cell>
          <cell r="D14" t="str">
            <v>NOBI AMIR CHAND SEKH</v>
          </cell>
          <cell r="E14" t="str">
            <v>ذكر</v>
          </cell>
          <cell r="F14" t="str">
            <v>الهند</v>
          </cell>
          <cell r="G14" t="str">
            <v>عامل تعبئة رفوف</v>
          </cell>
          <cell r="H14" t="str">
            <v>S1257358</v>
          </cell>
          <cell r="I14" t="str">
            <v>2028-01-01</v>
          </cell>
          <cell r="J14" t="str">
            <v>2009-12-13</v>
          </cell>
          <cell r="K14" t="str">
            <v>2022-11-29</v>
          </cell>
          <cell r="L14" t="str">
            <v>1980-11-25</v>
          </cell>
          <cell r="M14" t="str">
            <v>نعم</v>
          </cell>
          <cell r="N14" t="str">
            <v>1444-05-05</v>
          </cell>
          <cell r="O14">
            <v>7014477116</v>
          </cell>
          <cell r="P14" t="str">
            <v>شركة ريال البركة للتجارة</v>
          </cell>
          <cell r="Q14" t="str">
            <v>العنود</v>
          </cell>
        </row>
        <row r="15">
          <cell r="B15">
            <v>1013</v>
          </cell>
          <cell r="C15">
            <v>1092729258</v>
          </cell>
          <cell r="D15" t="str">
            <v>منال سلطان عبدالرحمن الرزيحي</v>
          </cell>
          <cell r="E15" t="str">
            <v>أنثى</v>
          </cell>
          <cell r="F15" t="str">
            <v>سعودي</v>
          </cell>
          <cell r="G15" t="str">
            <v>مندوب مبيعات</v>
          </cell>
          <cell r="H15"/>
          <cell r="I15"/>
          <cell r="J15"/>
          <cell r="K15"/>
          <cell r="L15"/>
          <cell r="M15"/>
          <cell r="N15"/>
          <cell r="O15">
            <v>7014477116</v>
          </cell>
          <cell r="P15" t="str">
            <v>شركة ريال البركة للتجارة</v>
          </cell>
          <cell r="Q15" t="str">
            <v>الإدارة</v>
          </cell>
        </row>
        <row r="16">
          <cell r="B16">
            <v>1014</v>
          </cell>
          <cell r="C16">
            <v>1092729241</v>
          </cell>
          <cell r="D16" t="str">
            <v>منيره سلطان عبدالرحمن الرزيحي</v>
          </cell>
          <cell r="E16" t="str">
            <v>أنثى</v>
          </cell>
          <cell r="F16" t="str">
            <v>سعودي</v>
          </cell>
          <cell r="G16" t="str">
            <v>مندوب مبيعات</v>
          </cell>
          <cell r="H16"/>
          <cell r="I16"/>
          <cell r="J16"/>
          <cell r="K16"/>
          <cell r="L16"/>
          <cell r="M16"/>
          <cell r="N16"/>
          <cell r="O16">
            <v>7014477116</v>
          </cell>
          <cell r="P16" t="str">
            <v>شركة ريال البركة للتجارة</v>
          </cell>
          <cell r="Q16" t="str">
            <v>وكالة ممكن</v>
          </cell>
        </row>
        <row r="17">
          <cell r="B17">
            <v>1015</v>
          </cell>
          <cell r="C17">
            <v>2489500492</v>
          </cell>
          <cell r="D17" t="str">
            <v>AJEEB MARIVANGANDI PILAVE</v>
          </cell>
          <cell r="E17" t="str">
            <v>ذكر</v>
          </cell>
          <cell r="F17" t="str">
            <v>الهند</v>
          </cell>
          <cell r="G17" t="str">
            <v>عامل تعبئة رفوف</v>
          </cell>
          <cell r="H17" t="str">
            <v>T8662223</v>
          </cell>
          <cell r="I17" t="str">
            <v>2029-10-29</v>
          </cell>
          <cell r="J17" t="str">
            <v>2020-06-03</v>
          </cell>
          <cell r="K17" t="str">
            <v>2022-10-05</v>
          </cell>
          <cell r="L17" t="str">
            <v>1993-12-07</v>
          </cell>
          <cell r="M17" t="str">
            <v>لا</v>
          </cell>
          <cell r="N17" t="str">
            <v>1444-03-09</v>
          </cell>
          <cell r="O17">
            <v>7014477116</v>
          </cell>
          <cell r="P17" t="str">
            <v>شركة ريال البركة للتجارة</v>
          </cell>
          <cell r="Q17" t="str">
            <v>جملة ريال البركة</v>
          </cell>
        </row>
        <row r="18">
          <cell r="B18">
            <v>1016</v>
          </cell>
          <cell r="C18">
            <v>2393348749</v>
          </cell>
          <cell r="D18" t="str">
            <v>معشوق أحمد أنصاري</v>
          </cell>
          <cell r="E18" t="str">
            <v>ذكر</v>
          </cell>
          <cell r="F18" t="str">
            <v>هندي</v>
          </cell>
          <cell r="G18"/>
          <cell r="H18"/>
          <cell r="I18"/>
          <cell r="J18"/>
          <cell r="K18"/>
          <cell r="L18"/>
          <cell r="M18"/>
          <cell r="N18"/>
          <cell r="O18"/>
          <cell r="P18" t="str">
            <v>سعد عبدالرحمن صالح الرزيحي</v>
          </cell>
          <cell r="Q18" t="str">
            <v>الإستراحة</v>
          </cell>
        </row>
        <row r="19">
          <cell r="B19">
            <v>1017</v>
          </cell>
          <cell r="C19">
            <v>2249559515</v>
          </cell>
          <cell r="D19" t="str">
            <v>JAHANGIR ABDUL RAZZAK PADA</v>
          </cell>
          <cell r="E19" t="str">
            <v>ذكر</v>
          </cell>
          <cell r="F19" t="str">
            <v>بنجلاديش</v>
          </cell>
          <cell r="G19" t="str">
            <v>عامل تعبئة رفوف</v>
          </cell>
          <cell r="H19" t="str">
            <v>EF0750070</v>
          </cell>
          <cell r="I19" t="str">
            <v>2025-03-10</v>
          </cell>
          <cell r="J19" t="str">
            <v>2008-02-25</v>
          </cell>
          <cell r="K19" t="str">
            <v>2022-10-01</v>
          </cell>
          <cell r="L19" t="str">
            <v>1982-08-03</v>
          </cell>
          <cell r="M19" t="str">
            <v>لا</v>
          </cell>
          <cell r="N19" t="str">
            <v>1444-03-05</v>
          </cell>
          <cell r="O19">
            <v>7014477116</v>
          </cell>
          <cell r="P19" t="str">
            <v>شركة ريال البركة للتجارة</v>
          </cell>
          <cell r="Q19" t="str">
            <v>الدائري الغربي</v>
          </cell>
        </row>
        <row r="20">
          <cell r="B20">
            <v>1018</v>
          </cell>
          <cell r="C20">
            <v>2465674733</v>
          </cell>
          <cell r="D20" t="str">
            <v>محمد عبدالله محمد الحبجي</v>
          </cell>
          <cell r="E20" t="str">
            <v>ذكر</v>
          </cell>
          <cell r="F20" t="str">
            <v>اليمن</v>
          </cell>
          <cell r="G20" t="str">
            <v>مندوب مبيعات</v>
          </cell>
          <cell r="H20" t="str">
            <v>10669885</v>
          </cell>
          <cell r="I20" t="str">
            <v>2027-07-13</v>
          </cell>
          <cell r="J20" t="str">
            <v>2019-03-20</v>
          </cell>
          <cell r="K20" t="str">
            <v>2023-01-29</v>
          </cell>
          <cell r="L20" t="str">
            <v>1989-01-01</v>
          </cell>
          <cell r="M20" t="str">
            <v>لا</v>
          </cell>
          <cell r="N20" t="str">
            <v>1444-07-07</v>
          </cell>
          <cell r="O20">
            <v>7014477116</v>
          </cell>
          <cell r="P20" t="str">
            <v>شركة ريال البركة للتجارة</v>
          </cell>
          <cell r="Q20" t="str">
            <v>الإدارة</v>
          </cell>
        </row>
        <row r="21">
          <cell r="B21">
            <v>1019</v>
          </cell>
          <cell r="C21">
            <v>2341519797</v>
          </cell>
          <cell r="D21" t="str">
            <v>RAUPH ANSARI SAFIDA</v>
          </cell>
          <cell r="E21" t="str">
            <v>ذكر</v>
          </cell>
          <cell r="F21" t="str">
            <v>نيبال</v>
          </cell>
          <cell r="G21" t="str">
            <v>عامل نظافة نوافذ</v>
          </cell>
          <cell r="H21">
            <v>12268346</v>
          </cell>
          <cell r="I21" t="str">
            <v>2031-07-02</v>
          </cell>
          <cell r="J21" t="str">
            <v>2013-03-27</v>
          </cell>
          <cell r="K21" t="str">
            <v>2022-11-15</v>
          </cell>
          <cell r="L21" t="str">
            <v>1979-03-28</v>
          </cell>
          <cell r="M21" t="str">
            <v>نعم</v>
          </cell>
          <cell r="N21" t="str">
            <v>1444-04-21</v>
          </cell>
          <cell r="O21">
            <v>7014477116</v>
          </cell>
          <cell r="P21" t="str">
            <v>شركة ريال البركة للتجارة</v>
          </cell>
          <cell r="Q21" t="str">
            <v>المصنع</v>
          </cell>
        </row>
        <row r="22">
          <cell r="B22">
            <v>1020</v>
          </cell>
          <cell r="C22">
            <v>2419016353</v>
          </cell>
          <cell r="D22" t="str">
            <v>محمد فاروق خليل</v>
          </cell>
          <cell r="E22" t="str">
            <v>ذكر</v>
          </cell>
          <cell r="F22" t="str">
            <v>الهند</v>
          </cell>
          <cell r="G22" t="str">
            <v>سائق خاص</v>
          </cell>
          <cell r="H22"/>
          <cell r="I22"/>
          <cell r="J22"/>
          <cell r="K22">
            <v>45140</v>
          </cell>
          <cell r="L22"/>
          <cell r="M22"/>
          <cell r="N22"/>
          <cell r="O22">
            <v>1061419220</v>
          </cell>
          <cell r="P22" t="str">
            <v>عبدالرحمن سلطان الرزيحي</v>
          </cell>
          <cell r="Q22" t="str">
            <v>المصنع</v>
          </cell>
        </row>
        <row r="23">
          <cell r="B23">
            <v>1021</v>
          </cell>
          <cell r="C23">
            <v>2466030422</v>
          </cell>
          <cell r="D23" t="str">
            <v>ياسر عبدالولي قايد الغابري</v>
          </cell>
          <cell r="E23" t="str">
            <v>ذكر</v>
          </cell>
          <cell r="F23" t="str">
            <v>اليمن</v>
          </cell>
          <cell r="G23" t="str">
            <v>مندوب مبيعات</v>
          </cell>
          <cell r="H23" t="str">
            <v>08001001</v>
          </cell>
          <cell r="I23" t="str">
            <v>2025-02-03</v>
          </cell>
          <cell r="J23" t="str">
            <v>2019-03-27</v>
          </cell>
          <cell r="K23" t="str">
            <v>2023-02-03</v>
          </cell>
          <cell r="L23" t="str">
            <v>1991-08-22</v>
          </cell>
          <cell r="M23" t="str">
            <v>لا</v>
          </cell>
          <cell r="N23" t="str">
            <v>1444-07-12</v>
          </cell>
          <cell r="O23">
            <v>7014477116</v>
          </cell>
          <cell r="P23" t="str">
            <v>شركة ريال البركة للتجارة</v>
          </cell>
          <cell r="Q23" t="str">
            <v>وكالة ممكن</v>
          </cell>
        </row>
        <row r="24">
          <cell r="B24">
            <v>1022</v>
          </cell>
          <cell r="C24">
            <v>2214431989</v>
          </cell>
          <cell r="D24" t="str">
            <v>عمر احمد علي الشامي</v>
          </cell>
          <cell r="E24" t="str">
            <v>ذكر</v>
          </cell>
          <cell r="F24" t="str">
            <v>اليمن</v>
          </cell>
          <cell r="G24" t="str">
            <v>سائق شاحنة صغيرة</v>
          </cell>
          <cell r="H24" t="str">
            <v>07289644</v>
          </cell>
          <cell r="I24" t="str">
            <v>2023-11-25</v>
          </cell>
          <cell r="J24" t="str">
            <v>2005-03-12</v>
          </cell>
          <cell r="K24" t="str">
            <v>2022-11-18</v>
          </cell>
          <cell r="L24" t="str">
            <v>1983-01-01</v>
          </cell>
          <cell r="M24" t="str">
            <v>لا</v>
          </cell>
          <cell r="N24" t="str">
            <v>1444-04-24</v>
          </cell>
          <cell r="O24">
            <v>7014477116</v>
          </cell>
          <cell r="P24" t="str">
            <v>شركة ريال البركة للتجارة</v>
          </cell>
          <cell r="Q24" t="str">
            <v>جملة ريال البركة</v>
          </cell>
        </row>
        <row r="25">
          <cell r="B25">
            <v>1023</v>
          </cell>
          <cell r="C25">
            <v>1061419220</v>
          </cell>
          <cell r="D25" t="str">
            <v>عبدالرحمن سلطان الرزيحي</v>
          </cell>
          <cell r="E25" t="str">
            <v>ذكر</v>
          </cell>
          <cell r="F25" t="str">
            <v>سعودي</v>
          </cell>
          <cell r="G25" t="str">
            <v>مدير عام</v>
          </cell>
          <cell r="H25"/>
          <cell r="I25"/>
          <cell r="J25"/>
          <cell r="K25"/>
          <cell r="L25"/>
          <cell r="M25"/>
          <cell r="N25"/>
          <cell r="O25">
            <v>7014477116</v>
          </cell>
          <cell r="P25" t="str">
            <v>شركة ريال البركة للتجارة</v>
          </cell>
          <cell r="Q25" t="str">
            <v>الإدارة</v>
          </cell>
        </row>
        <row r="26">
          <cell r="B26">
            <v>1024</v>
          </cell>
          <cell r="C26">
            <v>2184651574</v>
          </cell>
          <cell r="D26" t="str">
            <v>ISMAIL DHUDU MIAH</v>
          </cell>
          <cell r="E26" t="str">
            <v>ذكر</v>
          </cell>
          <cell r="F26" t="str">
            <v>بنجلاديش</v>
          </cell>
          <cell r="G26" t="str">
            <v>عامل تحميل وتنزيل</v>
          </cell>
          <cell r="H26" t="str">
            <v>BQ0875119</v>
          </cell>
          <cell r="I26" t="str">
            <v>2022-11-12</v>
          </cell>
          <cell r="J26" t="str">
            <v>2002-08-11</v>
          </cell>
          <cell r="K26" t="str">
            <v>2022-09-29</v>
          </cell>
          <cell r="L26" t="str">
            <v>1976-01-01</v>
          </cell>
          <cell r="M26" t="str">
            <v>لا</v>
          </cell>
          <cell r="N26" t="str">
            <v>1444-03-03</v>
          </cell>
          <cell r="O26">
            <v>7014477116</v>
          </cell>
          <cell r="P26" t="str">
            <v>شركة ريال البركة للتجارة</v>
          </cell>
          <cell r="Q26" t="str">
            <v>جملة ريال البركة</v>
          </cell>
        </row>
        <row r="27">
          <cell r="B27">
            <v>1025</v>
          </cell>
          <cell r="C27">
            <v>2426108722</v>
          </cell>
          <cell r="D27" t="str">
            <v>FARHAD HOSSAIN</v>
          </cell>
          <cell r="E27" t="str">
            <v>ذكر</v>
          </cell>
          <cell r="F27" t="str">
            <v>بنجلاديش</v>
          </cell>
          <cell r="G27" t="str">
            <v>عامل تعبئة رفوف</v>
          </cell>
          <cell r="H27" t="str">
            <v>EH0983921</v>
          </cell>
          <cell r="I27" t="str">
            <v>2026-05-05</v>
          </cell>
          <cell r="J27" t="str">
            <v>2016-12-18</v>
          </cell>
          <cell r="K27" t="str">
            <v>2022-10-01</v>
          </cell>
          <cell r="L27" t="str">
            <v>1993-02-25</v>
          </cell>
          <cell r="M27" t="str">
            <v>لا</v>
          </cell>
          <cell r="N27" t="str">
            <v>1444-03-05</v>
          </cell>
          <cell r="O27">
            <v>7014477116</v>
          </cell>
          <cell r="P27" t="str">
            <v>شركة ريال البركة للتجارة</v>
          </cell>
          <cell r="Q27" t="str">
            <v>الدائري الغربي</v>
          </cell>
        </row>
        <row r="28">
          <cell r="B28">
            <v>1026</v>
          </cell>
          <cell r="C28">
            <v>2425771561</v>
          </cell>
          <cell r="D28" t="str">
            <v>ANOWYER HOSSAIN</v>
          </cell>
          <cell r="E28" t="str">
            <v>ذكر</v>
          </cell>
          <cell r="F28" t="str">
            <v>بنجلاديش</v>
          </cell>
          <cell r="G28" t="str">
            <v>عامل تعبئة رفوف</v>
          </cell>
          <cell r="H28" t="str">
            <v>EJ0522123</v>
          </cell>
          <cell r="I28" t="str">
            <v>2026-09-04</v>
          </cell>
          <cell r="J28" t="str">
            <v>2016-12-12</v>
          </cell>
          <cell r="K28" t="str">
            <v>2022-10-06</v>
          </cell>
          <cell r="L28" t="str">
            <v>1991-02-01</v>
          </cell>
          <cell r="M28" t="str">
            <v>لا</v>
          </cell>
          <cell r="N28" t="str">
            <v>1444-03-10</v>
          </cell>
          <cell r="O28">
            <v>7014477116</v>
          </cell>
          <cell r="P28" t="str">
            <v>شركة ريال البركة للتجارة</v>
          </cell>
          <cell r="Q28" t="str">
            <v>النسيم</v>
          </cell>
        </row>
        <row r="29">
          <cell r="B29">
            <v>1027</v>
          </cell>
          <cell r="C29">
            <v>2426599862</v>
          </cell>
          <cell r="D29" t="str">
            <v>MOHAMMAD SUMON</v>
          </cell>
          <cell r="E29" t="str">
            <v>ذكر</v>
          </cell>
          <cell r="F29" t="str">
            <v>بنجلاديش</v>
          </cell>
          <cell r="G29" t="str">
            <v>عامل تحميل وتنزيل</v>
          </cell>
          <cell r="H29" t="str">
            <v>BR0508329</v>
          </cell>
          <cell r="I29" t="str">
            <v>2023-01-14</v>
          </cell>
          <cell r="J29" t="str">
            <v>2016-12-26</v>
          </cell>
          <cell r="K29" t="str">
            <v>2022-10-18</v>
          </cell>
          <cell r="L29" t="str">
            <v>1994-04-05</v>
          </cell>
          <cell r="M29" t="str">
            <v>لا</v>
          </cell>
          <cell r="N29" t="str">
            <v>1444-03-22</v>
          </cell>
          <cell r="O29">
            <v>7014477116</v>
          </cell>
          <cell r="P29" t="str">
            <v>شركة ريال البركة للتجارة</v>
          </cell>
          <cell r="Q29" t="str">
            <v>الدائري الغربي</v>
          </cell>
        </row>
        <row r="30">
          <cell r="B30">
            <v>1028</v>
          </cell>
          <cell r="C30">
            <v>2379964170</v>
          </cell>
          <cell r="D30" t="str">
            <v>VAKEEL AHMAD BHURE KHAN</v>
          </cell>
          <cell r="E30" t="str">
            <v>ذكر</v>
          </cell>
          <cell r="F30" t="str">
            <v>الهند</v>
          </cell>
          <cell r="G30" t="str">
            <v>عامل تحميل وتنزيل</v>
          </cell>
          <cell r="H30" t="str">
            <v>P1748466</v>
          </cell>
          <cell r="I30" t="str">
            <v>2026-11-22</v>
          </cell>
          <cell r="J30" t="str">
            <v>2015-02-01</v>
          </cell>
          <cell r="K30" t="str">
            <v>2022-11-19</v>
          </cell>
          <cell r="L30" t="str">
            <v>1984-10-10</v>
          </cell>
          <cell r="M30" t="str">
            <v>لا</v>
          </cell>
          <cell r="N30" t="str">
            <v>1444-04-25</v>
          </cell>
          <cell r="O30">
            <v>7014477116</v>
          </cell>
          <cell r="P30" t="str">
            <v>شركة ريال البركة للتجارة</v>
          </cell>
          <cell r="Q30" t="str">
            <v>الدائري الغربي</v>
          </cell>
        </row>
        <row r="31">
          <cell r="B31">
            <v>1029</v>
          </cell>
          <cell r="C31">
            <v>2427581463</v>
          </cell>
          <cell r="D31" t="str">
            <v>MD RAFIQUL ISLAM</v>
          </cell>
          <cell r="E31" t="str">
            <v>ذكر</v>
          </cell>
          <cell r="F31" t="str">
            <v>بنجلاديش</v>
          </cell>
          <cell r="G31" t="str">
            <v>عامل تعبئة رفوف</v>
          </cell>
          <cell r="H31" t="str">
            <v>EH0105815</v>
          </cell>
          <cell r="I31" t="str">
            <v>2025-10-28</v>
          </cell>
          <cell r="J31" t="str">
            <v>2017-01-12</v>
          </cell>
          <cell r="K31" t="str">
            <v>2022-12-21</v>
          </cell>
          <cell r="L31" t="str">
            <v>1989-11-08</v>
          </cell>
          <cell r="M31" t="str">
            <v>لا</v>
          </cell>
          <cell r="N31" t="str">
            <v>1444-05-27</v>
          </cell>
          <cell r="O31">
            <v>7014477116</v>
          </cell>
          <cell r="P31" t="str">
            <v>شركة ريال البركة للتجارة</v>
          </cell>
          <cell r="Q31" t="str">
            <v>غرناطة</v>
          </cell>
        </row>
        <row r="32">
          <cell r="B32">
            <v>1030</v>
          </cell>
          <cell r="C32">
            <v>2429930478</v>
          </cell>
          <cell r="D32" t="str">
            <v>MEHEDI HASAN</v>
          </cell>
          <cell r="E32" t="str">
            <v>ذكر</v>
          </cell>
          <cell r="F32" t="str">
            <v>بنجلاديش</v>
          </cell>
          <cell r="G32" t="str">
            <v>عامل تعبئة رفوف</v>
          </cell>
          <cell r="H32" t="str">
            <v>EH0846338</v>
          </cell>
          <cell r="I32" t="str">
            <v>2026-04-06</v>
          </cell>
          <cell r="J32" t="str">
            <v>2017-03-01</v>
          </cell>
          <cell r="K32" t="str">
            <v>2022-09-13</v>
          </cell>
          <cell r="L32" t="str">
            <v>1991-02-21</v>
          </cell>
          <cell r="M32" t="str">
            <v>لا</v>
          </cell>
          <cell r="N32" t="str">
            <v>1444-02-17</v>
          </cell>
          <cell r="O32">
            <v>7014477116</v>
          </cell>
          <cell r="P32" t="str">
            <v>شركة ريال البركة للتجارة</v>
          </cell>
          <cell r="Q32" t="str">
            <v>جملة ريال البركة</v>
          </cell>
        </row>
        <row r="33">
          <cell r="B33">
            <v>1031</v>
          </cell>
          <cell r="C33">
            <v>2434409518</v>
          </cell>
          <cell r="D33" t="str">
            <v>ابو بكر عبد اللطيف</v>
          </cell>
          <cell r="E33" t="str">
            <v>ذكر</v>
          </cell>
          <cell r="F33" t="str">
            <v>بنجلاديش</v>
          </cell>
          <cell r="G33" t="str">
            <v>عامل تعبئة رفوف</v>
          </cell>
          <cell r="H33" t="str">
            <v>EA0948816</v>
          </cell>
          <cell r="I33">
            <v>45483</v>
          </cell>
          <cell r="J33" t="str">
            <v>1438/08/20</v>
          </cell>
          <cell r="K33">
            <v>44912</v>
          </cell>
          <cell r="L33">
            <v>32599</v>
          </cell>
          <cell r="M33"/>
          <cell r="N33" t="str">
            <v>1444/05/23</v>
          </cell>
          <cell r="O33">
            <v>7015572543</v>
          </cell>
          <cell r="P33" t="str">
            <v>مؤسسة عبدالرحمن سلطان عبدالرحمن الرزيحي للتجارة</v>
          </cell>
          <cell r="Q33" t="str">
            <v>الشفا</v>
          </cell>
        </row>
        <row r="34">
          <cell r="B34">
            <v>1032</v>
          </cell>
          <cell r="C34">
            <v>2088386467</v>
          </cell>
          <cell r="D34" t="str">
            <v>حمزه - - الاحمر</v>
          </cell>
          <cell r="E34" t="str">
            <v>ذكر</v>
          </cell>
          <cell r="F34" t="str">
            <v>سوريا</v>
          </cell>
          <cell r="G34" t="str">
            <v>مندوب مبيعات</v>
          </cell>
          <cell r="H34" t="str">
            <v>N013347938</v>
          </cell>
          <cell r="I34" t="str">
            <v>2025-05-05</v>
          </cell>
          <cell r="J34" t="str">
            <v>2011-09-28</v>
          </cell>
          <cell r="K34" t="str">
            <v>2022-09-21</v>
          </cell>
          <cell r="L34" t="str">
            <v>1981-01-01</v>
          </cell>
          <cell r="M34" t="str">
            <v>لا</v>
          </cell>
          <cell r="N34" t="str">
            <v>1444-02-25</v>
          </cell>
          <cell r="O34">
            <v>7014477116</v>
          </cell>
          <cell r="P34" t="str">
            <v>شركة ريال البركة للتجارة</v>
          </cell>
          <cell r="Q34" t="str">
            <v>مستودع جملة سلطان</v>
          </cell>
        </row>
        <row r="35">
          <cell r="B35">
            <v>1033</v>
          </cell>
          <cell r="C35">
            <v>2442201907</v>
          </cell>
          <cell r="D35" t="str">
            <v>محمد بدرفيج محمد أكتير</v>
          </cell>
          <cell r="E35" t="str">
            <v>ذكر</v>
          </cell>
          <cell r="F35" t="str">
            <v>بنجلاديش</v>
          </cell>
          <cell r="G35" t="str">
            <v>سائق خاص</v>
          </cell>
          <cell r="H35"/>
          <cell r="I35"/>
          <cell r="J35"/>
          <cell r="K35"/>
          <cell r="L35" t="str">
            <v>1415/12/04</v>
          </cell>
          <cell r="M35"/>
          <cell r="N35">
            <v>44805</v>
          </cell>
          <cell r="O35">
            <v>1061419220</v>
          </cell>
          <cell r="P35" t="str">
            <v>عبدالرحمن سلطان الرزيحي</v>
          </cell>
          <cell r="Q35" t="str">
            <v>جملة ريال البركة</v>
          </cell>
        </row>
        <row r="36">
          <cell r="B36">
            <v>1034</v>
          </cell>
          <cell r="C36">
            <v>2439079886</v>
          </cell>
          <cell r="D36" t="str">
            <v>MD MILON PATWARY</v>
          </cell>
          <cell r="E36" t="str">
            <v>ذكر</v>
          </cell>
          <cell r="F36" t="str">
            <v>بنجلاديش</v>
          </cell>
          <cell r="G36" t="str">
            <v>عامل تحميل وتنزيل</v>
          </cell>
          <cell r="H36" t="str">
            <v>A01780927</v>
          </cell>
          <cell r="I36" t="str">
            <v>2031-09-05</v>
          </cell>
          <cell r="J36" t="str">
            <v>2017-08-08</v>
          </cell>
          <cell r="K36" t="str">
            <v>2022-10-12</v>
          </cell>
          <cell r="L36" t="str">
            <v>1994-12-31</v>
          </cell>
          <cell r="M36" t="str">
            <v>لا</v>
          </cell>
          <cell r="N36" t="str">
            <v>1444-03-16</v>
          </cell>
          <cell r="O36">
            <v>7014477116</v>
          </cell>
          <cell r="P36" t="str">
            <v>شركة ريال البركة للتجارة</v>
          </cell>
          <cell r="Q36" t="str">
            <v>أونلاين</v>
          </cell>
        </row>
        <row r="37">
          <cell r="B37">
            <v>1035</v>
          </cell>
          <cell r="C37">
            <v>2348234200</v>
          </cell>
          <cell r="D37" t="str">
            <v>SAHEN HOWLADER RAB HOWLADER</v>
          </cell>
          <cell r="E37" t="str">
            <v>ذكر</v>
          </cell>
          <cell r="F37" t="str">
            <v>بنجلاديش</v>
          </cell>
          <cell r="G37" t="str">
            <v>عامل تعبئة رفوف</v>
          </cell>
          <cell r="H37" t="str">
            <v>EG0940110</v>
          </cell>
          <cell r="I37" t="str">
            <v>2025-09-29</v>
          </cell>
          <cell r="J37" t="str">
            <v>2013-07-14</v>
          </cell>
          <cell r="K37" t="str">
            <v>2022-09-02</v>
          </cell>
          <cell r="L37" t="str">
            <v>1988-02-05</v>
          </cell>
          <cell r="M37" t="str">
            <v>لا</v>
          </cell>
          <cell r="N37" t="str">
            <v>1444-02-06</v>
          </cell>
          <cell r="O37">
            <v>7014477116</v>
          </cell>
          <cell r="P37" t="str">
            <v>شركة ريال البركة للتجارة</v>
          </cell>
          <cell r="Q37" t="str">
            <v>العنود</v>
          </cell>
        </row>
        <row r="38">
          <cell r="B38">
            <v>1036</v>
          </cell>
          <cell r="C38">
            <v>2436104687</v>
          </cell>
          <cell r="D38" t="str">
            <v>ARIF NURUL ISLAM</v>
          </cell>
          <cell r="E38" t="str">
            <v>ذكر</v>
          </cell>
          <cell r="F38" t="str">
            <v>بنجلاديش</v>
          </cell>
          <cell r="G38" t="str">
            <v>عامل تحميل وتنزيل</v>
          </cell>
          <cell r="H38" t="str">
            <v>EH0001454</v>
          </cell>
          <cell r="I38" t="str">
            <v>2025-10-06</v>
          </cell>
          <cell r="J38" t="str">
            <v>2017-06-11</v>
          </cell>
          <cell r="K38" t="str">
            <v>2022-10-07</v>
          </cell>
          <cell r="L38" t="str">
            <v>1991-01-01</v>
          </cell>
          <cell r="M38" t="str">
            <v>لا</v>
          </cell>
          <cell r="N38" t="str">
            <v>1444-03-11</v>
          </cell>
          <cell r="O38">
            <v>7014477116</v>
          </cell>
          <cell r="P38" t="str">
            <v>شركة ريال البركة للتجارة</v>
          </cell>
          <cell r="Q38" t="str">
            <v>العنود</v>
          </cell>
        </row>
        <row r="39">
          <cell r="B39">
            <v>1037</v>
          </cell>
          <cell r="C39">
            <v>1060845557</v>
          </cell>
          <cell r="D39" t="str">
            <v>نوف عبدالرحمن صالح الرزيحي</v>
          </cell>
          <cell r="E39" t="str">
            <v>أنثى</v>
          </cell>
          <cell r="F39" t="str">
            <v>سعودي</v>
          </cell>
          <cell r="G39" t="str">
            <v>مندوب مبيعات</v>
          </cell>
          <cell r="H39"/>
          <cell r="I39"/>
          <cell r="J39"/>
          <cell r="K39"/>
          <cell r="L39"/>
          <cell r="M39"/>
          <cell r="N39"/>
          <cell r="O39">
            <v>7014477116</v>
          </cell>
          <cell r="P39" t="str">
            <v>شركة ريال البركة للتجارة</v>
          </cell>
          <cell r="Q39" t="str">
            <v>الإدارة</v>
          </cell>
        </row>
        <row r="40">
          <cell r="B40">
            <v>1038</v>
          </cell>
          <cell r="C40">
            <v>2439069309</v>
          </cell>
          <cell r="D40" t="str">
            <v>MOHAMMAD ARIF HOSSAIN</v>
          </cell>
          <cell r="E40" t="str">
            <v>ذكر</v>
          </cell>
          <cell r="F40" t="str">
            <v>بنجلاديش</v>
          </cell>
          <cell r="G40" t="str">
            <v>عامل تعبئة رفوف</v>
          </cell>
          <cell r="H40" t="str">
            <v>EJ0408183</v>
          </cell>
          <cell r="I40" t="str">
            <v>2026-08-16</v>
          </cell>
          <cell r="J40" t="str">
            <v>2017-08-08</v>
          </cell>
          <cell r="K40" t="str">
            <v>2023-02-14</v>
          </cell>
          <cell r="L40" t="str">
            <v>1985-10-09</v>
          </cell>
          <cell r="M40" t="str">
            <v>نعم</v>
          </cell>
          <cell r="N40" t="str">
            <v>1444-07-23</v>
          </cell>
          <cell r="O40">
            <v>7010149149</v>
          </cell>
          <cell r="P40" t="str">
            <v>شركة ريال البركة للتجارة</v>
          </cell>
          <cell r="Q40" t="str">
            <v>الدائري الغربي</v>
          </cell>
        </row>
        <row r="41">
          <cell r="B41">
            <v>1039</v>
          </cell>
          <cell r="C41">
            <v>2178279747</v>
          </cell>
          <cell r="D41" t="str">
            <v>يحي صالح سالم شامس</v>
          </cell>
          <cell r="E41" t="str">
            <v>ذكر</v>
          </cell>
          <cell r="F41" t="str">
            <v>اليمن</v>
          </cell>
          <cell r="G41" t="str">
            <v>سائق شاحنة صغيرة</v>
          </cell>
          <cell r="H41" t="str">
            <v>09923857</v>
          </cell>
          <cell r="I41" t="str">
            <v>2027-06-30</v>
          </cell>
          <cell r="J41" t="str">
            <v>2002-01-22</v>
          </cell>
          <cell r="K41" t="str">
            <v>2023-01-18</v>
          </cell>
          <cell r="L41" t="str">
            <v>1966-04-02</v>
          </cell>
          <cell r="M41" t="str">
            <v>لا</v>
          </cell>
          <cell r="N41" t="str">
            <v>1444-06-25</v>
          </cell>
          <cell r="O41">
            <v>7010149149</v>
          </cell>
          <cell r="P41" t="str">
            <v>شركة ريال البركة للتجارة</v>
          </cell>
          <cell r="Q41" t="str">
            <v>جملة ريال البركة</v>
          </cell>
        </row>
        <row r="42">
          <cell r="B42">
            <v>1040</v>
          </cell>
          <cell r="C42">
            <v>1085931283</v>
          </cell>
          <cell r="D42" t="str">
            <v>فاطمه محمد عبدالعزيز الشليل</v>
          </cell>
          <cell r="E42" t="str">
            <v>أنثى</v>
          </cell>
          <cell r="F42" t="str">
            <v>سعودي</v>
          </cell>
          <cell r="G42" t="str">
            <v>مندوب مبيعات</v>
          </cell>
          <cell r="H42"/>
          <cell r="I42"/>
          <cell r="J42"/>
          <cell r="K42"/>
          <cell r="L42"/>
          <cell r="M42"/>
          <cell r="N42"/>
          <cell r="O42">
            <v>7014477116</v>
          </cell>
          <cell r="P42" t="str">
            <v>شركة ريال البركة للتجارة</v>
          </cell>
          <cell r="Q42" t="str">
            <v>الإدارة</v>
          </cell>
        </row>
        <row r="43">
          <cell r="B43">
            <v>1041</v>
          </cell>
          <cell r="C43">
            <v>2415090105</v>
          </cell>
          <cell r="D43" t="str">
            <v>MOHAMMED ARIFUL ISLAM</v>
          </cell>
          <cell r="E43" t="str">
            <v>ذكر</v>
          </cell>
          <cell r="F43" t="str">
            <v>بنجلاديش</v>
          </cell>
          <cell r="G43" t="str">
            <v>سائق شاحنة صغيرة</v>
          </cell>
          <cell r="H43" t="str">
            <v>EH0143474</v>
          </cell>
          <cell r="I43" t="str">
            <v>2025-11-04</v>
          </cell>
          <cell r="J43" t="str">
            <v>2016-06-22</v>
          </cell>
          <cell r="K43" t="str">
            <v>2022-11-30</v>
          </cell>
          <cell r="L43" t="str">
            <v>1993-07-28</v>
          </cell>
          <cell r="M43" t="str">
            <v>نعم</v>
          </cell>
          <cell r="N43" t="str">
            <v>1444-05-06</v>
          </cell>
          <cell r="O43">
            <v>7014477116</v>
          </cell>
          <cell r="P43" t="str">
            <v>شركة ريال البركة للتجارة</v>
          </cell>
          <cell r="Q43" t="str">
            <v>مستودع جملة سلطان</v>
          </cell>
        </row>
        <row r="44">
          <cell r="B44">
            <v>1042</v>
          </cell>
          <cell r="C44">
            <v>1072033960</v>
          </cell>
          <cell r="D44" t="str">
            <v>هياء سليمان صالح المريشد</v>
          </cell>
          <cell r="E44" t="str">
            <v>أنثى</v>
          </cell>
          <cell r="F44" t="str">
            <v>سعودي</v>
          </cell>
          <cell r="G44" t="str">
            <v>مندوب مبيعات</v>
          </cell>
          <cell r="H44"/>
          <cell r="I44"/>
          <cell r="J44"/>
          <cell r="K44"/>
          <cell r="L44"/>
          <cell r="M44"/>
          <cell r="N44"/>
          <cell r="O44">
            <v>7014477116</v>
          </cell>
          <cell r="P44" t="str">
            <v>شركة ريال البركة للتجارة</v>
          </cell>
          <cell r="Q44" t="str">
            <v>الإدارة</v>
          </cell>
        </row>
        <row r="45">
          <cell r="B45">
            <v>1043</v>
          </cell>
          <cell r="C45">
            <v>1043624756</v>
          </cell>
          <cell r="D45" t="str">
            <v>عهود سعد محمد دهمش</v>
          </cell>
          <cell r="E45" t="str">
            <v>أنثى</v>
          </cell>
          <cell r="F45" t="str">
            <v>سعودي</v>
          </cell>
          <cell r="G45" t="str">
            <v>مندوب مبيعات</v>
          </cell>
          <cell r="H45"/>
          <cell r="I45"/>
          <cell r="J45"/>
          <cell r="K45"/>
          <cell r="L45"/>
          <cell r="M45"/>
          <cell r="N45"/>
          <cell r="O45">
            <v>7014477116</v>
          </cell>
          <cell r="P45" t="str">
            <v>شركة ريال البركة للتجارة</v>
          </cell>
          <cell r="Q45" t="str">
            <v>الإدارة</v>
          </cell>
        </row>
        <row r="46">
          <cell r="B46">
            <v>1044</v>
          </cell>
          <cell r="C46">
            <v>2429704196</v>
          </cell>
          <cell r="D46" t="str">
            <v>MOHAMMAD ALI FORAZI</v>
          </cell>
          <cell r="E46" t="str">
            <v>ذكر</v>
          </cell>
          <cell r="F46" t="str">
            <v>بنجلاديش</v>
          </cell>
          <cell r="G46" t="str">
            <v>عامل تحميل وتنزيل</v>
          </cell>
          <cell r="H46" t="str">
            <v>BY0960320</v>
          </cell>
          <cell r="I46" t="str">
            <v>2024-02-26</v>
          </cell>
          <cell r="J46" t="str">
            <v>2017-02-26</v>
          </cell>
          <cell r="K46" t="str">
            <v>2022-12-15</v>
          </cell>
          <cell r="L46" t="str">
            <v>1990-02-01</v>
          </cell>
          <cell r="M46" t="str">
            <v>لا</v>
          </cell>
          <cell r="N46" t="str">
            <v>1444-05-21</v>
          </cell>
          <cell r="O46">
            <v>7014477116</v>
          </cell>
          <cell r="P46" t="str">
            <v>شركة ريال البركة للتجارة</v>
          </cell>
          <cell r="Q46" t="str">
            <v>الدائري الغربي</v>
          </cell>
        </row>
        <row r="47">
          <cell r="B47">
            <v>1045</v>
          </cell>
          <cell r="C47">
            <v>1088719834</v>
          </cell>
          <cell r="D47" t="str">
            <v>لمياء سليمان صالح المريشد</v>
          </cell>
          <cell r="E47" t="str">
            <v>أنثى</v>
          </cell>
          <cell r="F47" t="str">
            <v>سعودي</v>
          </cell>
          <cell r="G47" t="str">
            <v>مندوب مبيعات</v>
          </cell>
          <cell r="H47"/>
          <cell r="I47"/>
          <cell r="J47"/>
          <cell r="K47"/>
          <cell r="L47"/>
          <cell r="M47"/>
          <cell r="N47"/>
          <cell r="O47">
            <v>7031648533</v>
          </cell>
          <cell r="P47" t="str">
            <v>مؤسسة ممكن حلول لخدمات الأعمال</v>
          </cell>
          <cell r="Q47" t="str">
            <v>وكالة ممكن</v>
          </cell>
        </row>
        <row r="48">
          <cell r="B48">
            <v>1046</v>
          </cell>
          <cell r="C48">
            <v>1005114796</v>
          </cell>
          <cell r="D48" t="str">
            <v>سليمان صالح سليمان المريشد</v>
          </cell>
          <cell r="E48" t="str">
            <v>ذكر</v>
          </cell>
          <cell r="F48" t="str">
            <v>سعودي</v>
          </cell>
          <cell r="G48" t="str">
            <v>مدير علاقات عامة</v>
          </cell>
          <cell r="H48"/>
          <cell r="I48"/>
          <cell r="J48"/>
          <cell r="K48"/>
          <cell r="L48"/>
          <cell r="M48"/>
          <cell r="N48"/>
          <cell r="O48">
            <v>7014477116</v>
          </cell>
          <cell r="P48" t="str">
            <v>شركة ريال البركة للتجارة</v>
          </cell>
          <cell r="Q48" t="str">
            <v>الإدارة</v>
          </cell>
        </row>
        <row r="49">
          <cell r="B49">
            <v>1047</v>
          </cell>
          <cell r="C49">
            <v>2435149386</v>
          </cell>
          <cell r="D49" t="str">
            <v>هشام عثمان موسى احمد</v>
          </cell>
          <cell r="E49" t="str">
            <v>ذكر</v>
          </cell>
          <cell r="F49" t="str">
            <v>السودان</v>
          </cell>
          <cell r="G49" t="str">
            <v>عامل مخزن</v>
          </cell>
          <cell r="H49" t="str">
            <v>P08720886</v>
          </cell>
          <cell r="I49" t="str">
            <v>2031-12-21</v>
          </cell>
          <cell r="J49" t="str">
            <v>2017-05-27</v>
          </cell>
          <cell r="K49" t="str">
            <v>2023-01-13</v>
          </cell>
          <cell r="L49" t="str">
            <v>1996-01-01</v>
          </cell>
          <cell r="M49" t="str">
            <v>لا</v>
          </cell>
          <cell r="N49" t="str">
            <v>1444-06-20</v>
          </cell>
          <cell r="O49">
            <v>7014477116</v>
          </cell>
          <cell r="P49" t="str">
            <v>شركة ريال البركة للتجارة</v>
          </cell>
          <cell r="Q49" t="str">
            <v>جملة ريال البركة</v>
          </cell>
        </row>
        <row r="50">
          <cell r="B50">
            <v>1048</v>
          </cell>
          <cell r="C50">
            <v>2440102875</v>
          </cell>
          <cell r="D50" t="str">
            <v>MOHAMMAD SORIF HOSSAIN</v>
          </cell>
          <cell r="E50" t="str">
            <v>ذكر</v>
          </cell>
          <cell r="F50" t="str">
            <v>بنجلاديش</v>
          </cell>
          <cell r="G50" t="str">
            <v>عامل تعبئة رفوف</v>
          </cell>
          <cell r="H50" t="str">
            <v>EH0264506</v>
          </cell>
          <cell r="I50" t="str">
            <v>2025-11-30</v>
          </cell>
          <cell r="J50" t="str">
            <v>2017-08-24</v>
          </cell>
          <cell r="K50" t="str">
            <v>2023-01-11</v>
          </cell>
          <cell r="L50" t="str">
            <v>1996-04-01</v>
          </cell>
          <cell r="M50" t="str">
            <v>لا</v>
          </cell>
          <cell r="N50" t="str">
            <v>1444-06-18</v>
          </cell>
          <cell r="O50">
            <v>7014477116</v>
          </cell>
          <cell r="P50" t="str">
            <v>شركة ريال البركة للتجارة</v>
          </cell>
          <cell r="Q50" t="str">
            <v>العنود</v>
          </cell>
        </row>
        <row r="51">
          <cell r="B51">
            <v>1049</v>
          </cell>
          <cell r="C51">
            <v>2443897380</v>
          </cell>
          <cell r="D51" t="str">
            <v>MOHAMMAD SUJON</v>
          </cell>
          <cell r="E51" t="str">
            <v>ذكر</v>
          </cell>
          <cell r="F51" t="str">
            <v>بنجلاديش</v>
          </cell>
          <cell r="G51" t="str">
            <v>عامل تعبئة رفوف</v>
          </cell>
          <cell r="H51" t="str">
            <v>EJ0951406</v>
          </cell>
          <cell r="I51" t="str">
            <v>2026-11-27</v>
          </cell>
          <cell r="J51" t="str">
            <v>2017-11-12</v>
          </cell>
          <cell r="K51" t="str">
            <v>2022-12-19</v>
          </cell>
          <cell r="L51" t="str">
            <v>1992-03-03</v>
          </cell>
          <cell r="M51" t="str">
            <v>لا</v>
          </cell>
          <cell r="N51" t="str">
            <v>1444-05-25</v>
          </cell>
          <cell r="O51">
            <v>7014477116</v>
          </cell>
          <cell r="P51" t="str">
            <v>شركة ريال البركة للتجارة</v>
          </cell>
          <cell r="Q51" t="str">
            <v>هاينس</v>
          </cell>
        </row>
        <row r="52">
          <cell r="B52">
            <v>1050</v>
          </cell>
          <cell r="C52">
            <v>2227227549</v>
          </cell>
          <cell r="D52" t="str">
            <v>محمد عطية سعد</v>
          </cell>
          <cell r="E52" t="str">
            <v>ذكر</v>
          </cell>
          <cell r="F52" t="str">
            <v>مصر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 t="str">
            <v>دوام جزئي</v>
          </cell>
          <cell r="Q52" t="str">
            <v>الإدارة</v>
          </cell>
        </row>
        <row r="53">
          <cell r="B53">
            <v>1051</v>
          </cell>
          <cell r="C53">
            <v>1123517557</v>
          </cell>
          <cell r="D53" t="str">
            <v>مشعل حسن صالح القحطاني</v>
          </cell>
          <cell r="E53" t="str">
            <v>ذكر</v>
          </cell>
          <cell r="F53" t="str">
            <v>سعودي</v>
          </cell>
          <cell r="G53" t="str">
            <v>مالك الزاوية</v>
          </cell>
          <cell r="H53"/>
          <cell r="I53"/>
          <cell r="J53"/>
          <cell r="K53"/>
          <cell r="L53"/>
          <cell r="M53"/>
          <cell r="N53"/>
          <cell r="O53"/>
          <cell r="P53" t="str">
            <v>مالك زاوية ريال البركة</v>
          </cell>
          <cell r="Q53" t="str">
            <v>المصيف</v>
          </cell>
        </row>
        <row r="54">
          <cell r="B54">
            <v>1052</v>
          </cell>
          <cell r="C54">
            <v>2213474048</v>
          </cell>
          <cell r="D54" t="str">
            <v>محمد يحي محسن عميسان</v>
          </cell>
          <cell r="E54" t="str">
            <v>ذكر</v>
          </cell>
          <cell r="F54" t="str">
            <v>اليمن</v>
          </cell>
          <cell r="G54"/>
          <cell r="H54"/>
          <cell r="I54"/>
          <cell r="J54"/>
          <cell r="K54"/>
          <cell r="L54"/>
          <cell r="M54"/>
          <cell r="N54"/>
          <cell r="O54"/>
          <cell r="P54" t="str">
            <v>تحت التجربة</v>
          </cell>
          <cell r="Q54" t="str">
            <v>اليرموك</v>
          </cell>
        </row>
        <row r="55">
          <cell r="B55">
            <v>1053</v>
          </cell>
          <cell r="C55">
            <v>1086719836</v>
          </cell>
          <cell r="D55" t="str">
            <v>بشاير خليل أحمد العنزي</v>
          </cell>
          <cell r="E55" t="str">
            <v>أنثى</v>
          </cell>
          <cell r="F55" t="str">
            <v>سعودي</v>
          </cell>
          <cell r="G55" t="str">
            <v>أمين صندوق</v>
          </cell>
          <cell r="H55"/>
          <cell r="I55"/>
          <cell r="J55"/>
          <cell r="K55"/>
          <cell r="L55"/>
          <cell r="M55"/>
          <cell r="N55"/>
          <cell r="O55">
            <v>7014477116</v>
          </cell>
          <cell r="P55" t="str">
            <v>شركة ريال البركة للتجارة</v>
          </cell>
          <cell r="Q55" t="str">
            <v>الدائري الغربي</v>
          </cell>
        </row>
        <row r="56">
          <cell r="B56">
            <v>1054</v>
          </cell>
          <cell r="C56">
            <v>2381616388</v>
          </cell>
          <cell r="D56" t="str">
            <v>نبيل محمد علي السلمي</v>
          </cell>
          <cell r="E56" t="str">
            <v>ذكر</v>
          </cell>
          <cell r="F56" t="str">
            <v>اليمن</v>
          </cell>
          <cell r="G56" t="str">
            <v>عامل تعبئة رفوف</v>
          </cell>
          <cell r="H56" t="str">
            <v>11563751</v>
          </cell>
          <cell r="I56" t="str">
            <v>2028-07-03</v>
          </cell>
          <cell r="J56" t="str">
            <v>2015-03-01</v>
          </cell>
          <cell r="K56" t="str">
            <v>2022-10-04</v>
          </cell>
          <cell r="L56" t="str">
            <v>1982-01-04</v>
          </cell>
          <cell r="M56" t="str">
            <v>لا</v>
          </cell>
          <cell r="N56" t="str">
            <v>1444-03-08</v>
          </cell>
          <cell r="O56">
            <v>7014477116</v>
          </cell>
          <cell r="P56" t="str">
            <v>شركة ريال البركة للتجارة</v>
          </cell>
          <cell r="Q56" t="str">
            <v>العنود</v>
          </cell>
        </row>
        <row r="57">
          <cell r="B57">
            <v>1055</v>
          </cell>
          <cell r="C57">
            <v>2271066652</v>
          </cell>
          <cell r="D57" t="str">
            <v>محضار عبدالله حسين السيد</v>
          </cell>
          <cell r="E57" t="str">
            <v>ذكر</v>
          </cell>
          <cell r="F57" t="str">
            <v>اليمن</v>
          </cell>
          <cell r="G57" t="str">
            <v>مندوب مبيعات</v>
          </cell>
          <cell r="H57" t="str">
            <v>10644758</v>
          </cell>
          <cell r="I57" t="str">
            <v>2027-05-03</v>
          </cell>
          <cell r="J57" t="str">
            <v>2009-05-25</v>
          </cell>
          <cell r="K57" t="str">
            <v>2022-09-16</v>
          </cell>
          <cell r="L57" t="str">
            <v>1988-01-01</v>
          </cell>
          <cell r="M57" t="str">
            <v>لا</v>
          </cell>
          <cell r="N57" t="str">
            <v>1444-02-20</v>
          </cell>
          <cell r="O57">
            <v>7014477116</v>
          </cell>
          <cell r="P57" t="str">
            <v>شركة ريال البركة للتجارة</v>
          </cell>
          <cell r="Q57" t="str">
            <v>جملة ريال البركة</v>
          </cell>
        </row>
        <row r="58">
          <cell r="B58">
            <v>1056</v>
          </cell>
          <cell r="C58">
            <v>2233369574</v>
          </cell>
          <cell r="D58" t="str">
            <v>جمال علي فرحان الفنيني</v>
          </cell>
          <cell r="E58" t="str">
            <v>ذكر</v>
          </cell>
          <cell r="F58" t="str">
            <v>اليمن</v>
          </cell>
          <cell r="G58" t="str">
            <v>سائق شاحنة صغيرة</v>
          </cell>
          <cell r="H58" t="str">
            <v>10088103</v>
          </cell>
          <cell r="I58" t="str">
            <v>2026-12-22</v>
          </cell>
          <cell r="J58" t="str">
            <v>2007-01-23</v>
          </cell>
          <cell r="K58" t="str">
            <v>2023-02-05</v>
          </cell>
          <cell r="L58" t="str">
            <v>1977-01-01</v>
          </cell>
          <cell r="M58" t="str">
            <v>لا</v>
          </cell>
          <cell r="N58" t="str">
            <v>1444-07-14</v>
          </cell>
          <cell r="O58">
            <v>7014477116</v>
          </cell>
          <cell r="P58" t="str">
            <v>شركة ريال البركة للتجارة</v>
          </cell>
          <cell r="Q58" t="str">
            <v>جملة ريال البركة</v>
          </cell>
        </row>
        <row r="59">
          <cell r="B59">
            <v>1057</v>
          </cell>
          <cell r="C59">
            <v>2415874664</v>
          </cell>
          <cell r="D59" t="str">
            <v xml:space="preserve">أكرم ال حقي </v>
          </cell>
          <cell r="E59" t="str">
            <v>ذكر</v>
          </cell>
          <cell r="F59" t="str">
            <v>بنجلاديش</v>
          </cell>
          <cell r="G59" t="str">
            <v>عامل</v>
          </cell>
          <cell r="H59" t="str">
            <v>EH0077915</v>
          </cell>
          <cell r="I59" t="str">
            <v>1447/04/27</v>
          </cell>
          <cell r="J59"/>
          <cell r="K59"/>
          <cell r="L59" t="str">
            <v>1413/09/21</v>
          </cell>
          <cell r="M59"/>
          <cell r="N59" t="str">
            <v>1444/03/29</v>
          </cell>
          <cell r="O59">
            <v>7004853987</v>
          </cell>
          <cell r="P59" t="str">
            <v>مؤسسة زاوية ريال بركة للكماليات</v>
          </cell>
          <cell r="Q59" t="str">
            <v>المصيف</v>
          </cell>
        </row>
        <row r="60">
          <cell r="B60">
            <v>1058</v>
          </cell>
          <cell r="C60">
            <v>2428739169</v>
          </cell>
          <cell r="D60" t="str">
            <v xml:space="preserve">ألمغير حسين </v>
          </cell>
          <cell r="E60" t="str">
            <v>ذكر</v>
          </cell>
          <cell r="F60" t="str">
            <v>بنجلاديش</v>
          </cell>
          <cell r="G60" t="str">
            <v>عامل</v>
          </cell>
          <cell r="H60" t="str">
            <v>BT0137955</v>
          </cell>
          <cell r="I60" t="str">
            <v>1444/08/27</v>
          </cell>
          <cell r="J60"/>
          <cell r="K60"/>
          <cell r="L60" t="str">
            <v xml:space="preserve"> 1400/03/19</v>
          </cell>
          <cell r="M60"/>
          <cell r="N60" t="str">
            <v>1444/04/09</v>
          </cell>
          <cell r="O60">
            <v>7004853987</v>
          </cell>
          <cell r="P60" t="str">
            <v>مؤسسة زاوية ريال بركة للكماليات</v>
          </cell>
          <cell r="Q60" t="str">
            <v>اليرموك</v>
          </cell>
        </row>
        <row r="61">
          <cell r="B61">
            <v>1059</v>
          </cell>
          <cell r="C61">
            <v>2431488325</v>
          </cell>
          <cell r="D61" t="str">
            <v xml:space="preserve">رامجان علي صديقي </v>
          </cell>
          <cell r="E61" t="str">
            <v>ذكر</v>
          </cell>
          <cell r="F61" t="str">
            <v>بنجلاديش</v>
          </cell>
          <cell r="G61" t="str">
            <v>عامل عادي</v>
          </cell>
          <cell r="H61" t="str">
            <v>07588811</v>
          </cell>
          <cell r="I61" t="str">
            <v>1445/03/25</v>
          </cell>
          <cell r="J61"/>
          <cell r="K61"/>
          <cell r="L61" t="str">
            <v>1397/04/14</v>
          </cell>
          <cell r="M61"/>
          <cell r="N61" t="str">
            <v>1444/06/06</v>
          </cell>
          <cell r="O61">
            <v>7004853987</v>
          </cell>
          <cell r="P61" t="str">
            <v>مؤسسة زاوية ريال بركة للكماليات</v>
          </cell>
          <cell r="Q61" t="str">
            <v>المصيف</v>
          </cell>
        </row>
        <row r="62">
          <cell r="B62">
            <v>1060</v>
          </cell>
          <cell r="C62">
            <v>2448299566</v>
          </cell>
          <cell r="D62" t="str">
            <v xml:space="preserve">عبدالرحمن علي حسين قرانه </v>
          </cell>
          <cell r="E62" t="str">
            <v>ذكر</v>
          </cell>
          <cell r="F62" t="str">
            <v>اليمن</v>
          </cell>
          <cell r="G62" t="str">
            <v>عامل عادي</v>
          </cell>
          <cell r="H62">
            <v>7588814</v>
          </cell>
          <cell r="I62" t="str">
            <v>1445/03/25</v>
          </cell>
          <cell r="J62"/>
          <cell r="K62"/>
          <cell r="L62" t="str">
            <v>1416/06/12</v>
          </cell>
          <cell r="M62"/>
          <cell r="N62" t="str">
            <v>1444/05/19</v>
          </cell>
          <cell r="O62">
            <v>7004853987</v>
          </cell>
          <cell r="P62" t="str">
            <v>مؤسسة زاوية ريال بركة للكماليات</v>
          </cell>
          <cell r="Q62" t="str">
            <v>المصيف</v>
          </cell>
        </row>
        <row r="63">
          <cell r="B63">
            <v>1061</v>
          </cell>
          <cell r="C63">
            <v>2351495946</v>
          </cell>
          <cell r="D63" t="str">
            <v xml:space="preserve">ماجد محمد يحيى السودي </v>
          </cell>
          <cell r="E63" t="str">
            <v>ذكر</v>
          </cell>
          <cell r="F63" t="str">
            <v>اليمن</v>
          </cell>
          <cell r="G63" t="str">
            <v>عامل</v>
          </cell>
          <cell r="H63">
            <v>10658796</v>
          </cell>
          <cell r="I63" t="str">
            <v>1449/01/14</v>
          </cell>
          <cell r="J63"/>
          <cell r="K63"/>
          <cell r="L63" t="str">
            <v>1403/03/17</v>
          </cell>
          <cell r="M63"/>
          <cell r="N63" t="str">
            <v>1444/07/04</v>
          </cell>
          <cell r="O63">
            <v>7004853987</v>
          </cell>
          <cell r="P63" t="str">
            <v>مؤسسة زاوية ريال بركة للكماليات</v>
          </cell>
          <cell r="Q63" t="str">
            <v>اليرموك</v>
          </cell>
        </row>
        <row r="64">
          <cell r="B64">
            <v>1062</v>
          </cell>
          <cell r="C64">
            <v>2444716852</v>
          </cell>
          <cell r="D64" t="str">
            <v xml:space="preserve">مراد علي حسين قرانه </v>
          </cell>
          <cell r="E64" t="str">
            <v>ذكر</v>
          </cell>
          <cell r="F64" t="str">
            <v>اليمن</v>
          </cell>
          <cell r="G64" t="str">
            <v>عامل عادي</v>
          </cell>
          <cell r="H64" t="str">
            <v>06860118</v>
          </cell>
          <cell r="I64" t="str">
            <v>1444/01/10</v>
          </cell>
          <cell r="J64"/>
          <cell r="K64"/>
          <cell r="L64" t="str">
            <v>1412/06/26</v>
          </cell>
          <cell r="M64"/>
          <cell r="N64" t="str">
            <v>1444/06/21</v>
          </cell>
          <cell r="O64">
            <v>7004853987</v>
          </cell>
          <cell r="P64" t="str">
            <v>مؤسسة زاوية ريال بركة للكماليات</v>
          </cell>
          <cell r="Q64" t="str">
            <v>المصيف</v>
          </cell>
        </row>
        <row r="65">
          <cell r="B65">
            <v>1063</v>
          </cell>
          <cell r="C65">
            <v>2177037914</v>
          </cell>
          <cell r="D65" t="str">
            <v>جميل علي حسن عبدالله</v>
          </cell>
          <cell r="E65" t="str">
            <v>ذكر</v>
          </cell>
          <cell r="F65" t="str">
            <v>اليمن</v>
          </cell>
          <cell r="G65" t="str">
            <v>سائق شاحنة صغيرة</v>
          </cell>
          <cell r="H65" t="str">
            <v>11309039</v>
          </cell>
          <cell r="I65" t="str">
            <v>2028-06-06</v>
          </cell>
          <cell r="J65" t="str">
            <v>2001-12-08</v>
          </cell>
          <cell r="K65" t="str">
            <v>2023-02-09</v>
          </cell>
          <cell r="L65" t="str">
            <v>1972-01-25</v>
          </cell>
          <cell r="M65" t="str">
            <v>لا</v>
          </cell>
          <cell r="N65" t="str">
            <v>1444-07-18</v>
          </cell>
          <cell r="O65">
            <v>7014477116</v>
          </cell>
          <cell r="P65" t="str">
            <v>شركة ريال البركة للتجارة</v>
          </cell>
          <cell r="Q65" t="str">
            <v>جملة ريال البركة</v>
          </cell>
        </row>
        <row r="66">
          <cell r="B66">
            <v>1064</v>
          </cell>
          <cell r="C66">
            <v>2445662816</v>
          </cell>
          <cell r="D66" t="str">
            <v>MAINUDDIN OHID ULLAH</v>
          </cell>
          <cell r="E66" t="str">
            <v>ذكر</v>
          </cell>
          <cell r="F66" t="str">
            <v>بنجلاديش</v>
          </cell>
          <cell r="G66" t="str">
            <v>عامل نظافة نوافذ</v>
          </cell>
          <cell r="H66" t="str">
            <v>EJ0757957</v>
          </cell>
          <cell r="I66" t="str">
            <v>2026-10-13</v>
          </cell>
          <cell r="J66" t="str">
            <v>2017-12-10</v>
          </cell>
          <cell r="K66" t="str">
            <v>2022-12-10</v>
          </cell>
          <cell r="L66" t="str">
            <v>1989-06-11</v>
          </cell>
          <cell r="M66" t="str">
            <v>لا</v>
          </cell>
          <cell r="N66" t="str">
            <v>1444-05-16</v>
          </cell>
          <cell r="O66">
            <v>7010149149</v>
          </cell>
          <cell r="P66" t="str">
            <v>مؤسسة سلطان عبدالرحمن صالح الرزيحي للتجارة</v>
          </cell>
          <cell r="Q66" t="str">
            <v>هاينس</v>
          </cell>
        </row>
        <row r="67">
          <cell r="B67">
            <v>1065</v>
          </cell>
          <cell r="C67">
            <v>2464009899</v>
          </cell>
          <cell r="D67" t="str">
            <v>عمر محمد عبده علي السلمي</v>
          </cell>
          <cell r="E67" t="str">
            <v>ذكر</v>
          </cell>
          <cell r="F67" t="str">
            <v>اليمن</v>
          </cell>
          <cell r="G67" t="str">
            <v>عامل تعبئة رفوف</v>
          </cell>
          <cell r="H67">
            <v>8061756</v>
          </cell>
          <cell r="I67">
            <v>45391</v>
          </cell>
          <cell r="J67" t="str">
            <v>1440/06/09</v>
          </cell>
          <cell r="K67">
            <v>44909</v>
          </cell>
          <cell r="L67">
            <v>34559</v>
          </cell>
          <cell r="M67" t="str">
            <v>نعم</v>
          </cell>
          <cell r="N67" t="str">
            <v>1444/05/20</v>
          </cell>
          <cell r="O67">
            <v>7015572543</v>
          </cell>
          <cell r="P67" t="str">
            <v>مؤسسة عبدالرحمن سلطان عبدالرحمن الرزيحي للتجارة</v>
          </cell>
          <cell r="Q67" t="str">
            <v>الشفا</v>
          </cell>
        </row>
        <row r="68">
          <cell r="B68">
            <v>1066</v>
          </cell>
          <cell r="C68">
            <v>2469385732</v>
          </cell>
          <cell r="D68" t="str">
            <v>محمد عبدالله حسين محمد السيد</v>
          </cell>
          <cell r="E68" t="str">
            <v>ذكر</v>
          </cell>
          <cell r="F68" t="str">
            <v>اليمن</v>
          </cell>
          <cell r="G68" t="str">
            <v>عامل تحميل وتنزيل</v>
          </cell>
          <cell r="H68">
            <v>7868180</v>
          </cell>
          <cell r="I68">
            <v>45600</v>
          </cell>
          <cell r="J68" t="str">
            <v>1440/10/07</v>
          </cell>
          <cell r="K68">
            <v>44903</v>
          </cell>
          <cell r="L68">
            <v>34101</v>
          </cell>
          <cell r="M68" t="str">
            <v>لا</v>
          </cell>
          <cell r="N68" t="str">
            <v>1444/05/14</v>
          </cell>
          <cell r="O68">
            <v>7015572543</v>
          </cell>
          <cell r="P68" t="str">
            <v>مؤسسة عبدالرحمن سلطان عبدالرحمن الرزيحي للتجارة</v>
          </cell>
          <cell r="Q68" t="str">
            <v>جملة ريال البركة</v>
          </cell>
        </row>
        <row r="69">
          <cell r="B69">
            <v>1067</v>
          </cell>
          <cell r="C69">
            <v>2463326849</v>
          </cell>
          <cell r="D69" t="str">
            <v>شوقي النور مصطفي أحمد</v>
          </cell>
          <cell r="E69" t="str">
            <v>ذكر</v>
          </cell>
          <cell r="F69" t="str">
            <v>السودان</v>
          </cell>
          <cell r="G69" t="str">
            <v>سائق خاص</v>
          </cell>
          <cell r="H69"/>
          <cell r="I69"/>
          <cell r="J69"/>
          <cell r="K69"/>
          <cell r="L69"/>
          <cell r="M69"/>
          <cell r="N69"/>
          <cell r="O69"/>
          <cell r="P69" t="str">
            <v>مؤسسة سلطان عبدالرحمن صالح الرزيحي للتجارة</v>
          </cell>
          <cell r="Q69" t="str">
            <v>مستودع جملة سلطان</v>
          </cell>
        </row>
        <row r="70">
          <cell r="B70">
            <v>1068</v>
          </cell>
          <cell r="C70">
            <v>1068412897</v>
          </cell>
          <cell r="D70" t="str">
            <v>تهاني محمد محسن السهلي</v>
          </cell>
          <cell r="E70" t="str">
            <v>أنثى</v>
          </cell>
          <cell r="F70" t="str">
            <v>سعودي</v>
          </cell>
          <cell r="G70" t="str">
            <v>أمين صندوق</v>
          </cell>
          <cell r="H70"/>
          <cell r="I70"/>
          <cell r="J70"/>
          <cell r="K70"/>
          <cell r="L70"/>
          <cell r="M70"/>
          <cell r="N70"/>
          <cell r="O70">
            <v>7014477116</v>
          </cell>
          <cell r="P70" t="str">
            <v>شركة ريال البركة للتجارة</v>
          </cell>
          <cell r="Q70" t="str">
            <v>الدائري الغربي</v>
          </cell>
        </row>
        <row r="71">
          <cell r="B71">
            <v>1069</v>
          </cell>
          <cell r="C71">
            <v>2315332334</v>
          </cell>
          <cell r="D71" t="str">
            <v>هشام مقبل عبده علي السلمي</v>
          </cell>
          <cell r="E71" t="str">
            <v>ذكر</v>
          </cell>
          <cell r="F71" t="str">
            <v>اليمن</v>
          </cell>
          <cell r="G71" t="str">
            <v>بائع</v>
          </cell>
          <cell r="H71">
            <v>7610150</v>
          </cell>
          <cell r="I71">
            <v>45245</v>
          </cell>
          <cell r="J71" t="str">
            <v>1433/01/25</v>
          </cell>
          <cell r="K71"/>
          <cell r="L71">
            <v>32674</v>
          </cell>
          <cell r="M71" t="str">
            <v>لا</v>
          </cell>
          <cell r="N71" t="str">
            <v>1444/03/01</v>
          </cell>
          <cell r="O71">
            <v>7015572543</v>
          </cell>
          <cell r="P71" t="str">
            <v>مؤسسة عبدالرحمن سلطان عبدالرحمن الرزيحي للتجارة</v>
          </cell>
          <cell r="Q71" t="str">
            <v>الأندلس</v>
          </cell>
        </row>
        <row r="72">
          <cell r="B72">
            <v>1070</v>
          </cell>
          <cell r="C72">
            <v>2297145332</v>
          </cell>
          <cell r="D72" t="str">
            <v>مطيع صالح حمود قايد الفهد</v>
          </cell>
          <cell r="E72" t="str">
            <v>ذكر</v>
          </cell>
          <cell r="F72" t="str">
            <v>اليمن</v>
          </cell>
          <cell r="G72" t="str">
            <v>مساعد بائع</v>
          </cell>
          <cell r="H72" t="str">
            <v>11308836</v>
          </cell>
          <cell r="I72" t="str">
            <v>2028-06-06</v>
          </cell>
          <cell r="J72" t="str">
            <v>2010-12-04</v>
          </cell>
          <cell r="K72" t="str">
            <v>2023-02-19</v>
          </cell>
          <cell r="L72" t="str">
            <v>1988-01-01</v>
          </cell>
          <cell r="M72" t="str">
            <v>لا</v>
          </cell>
          <cell r="N72" t="str">
            <v>1444-07-28</v>
          </cell>
          <cell r="O72">
            <v>7010149149</v>
          </cell>
          <cell r="P72" t="str">
            <v>مصنع سلطان عبدالرحمن صالح الرزيحي للمنتجات الورقية</v>
          </cell>
          <cell r="Q72" t="str">
            <v>المصنع</v>
          </cell>
        </row>
        <row r="73">
          <cell r="B73">
            <v>1071</v>
          </cell>
          <cell r="C73">
            <v>2444717033</v>
          </cell>
          <cell r="D73" t="str">
            <v xml:space="preserve">احمد احمد عبدالله احمد </v>
          </cell>
          <cell r="E73" t="str">
            <v>ذكر</v>
          </cell>
          <cell r="F73" t="str">
            <v>اليمن</v>
          </cell>
          <cell r="G73" t="str">
            <v>عامل عادي</v>
          </cell>
          <cell r="H73" t="str">
            <v>06859984</v>
          </cell>
          <cell r="I73" t="str">
            <v>1443/12/08</v>
          </cell>
          <cell r="J73"/>
          <cell r="K73"/>
          <cell r="L73" t="str">
            <v>1410/06/04</v>
          </cell>
          <cell r="M73"/>
          <cell r="N73" t="str">
            <v>1444/03/20</v>
          </cell>
          <cell r="O73">
            <v>7004853987</v>
          </cell>
          <cell r="P73" t="str">
            <v>مؤسسة زاوية ريال بركة للكماليات</v>
          </cell>
          <cell r="Q73" t="str">
            <v>اليرموك</v>
          </cell>
        </row>
        <row r="74">
          <cell r="B74">
            <v>1072</v>
          </cell>
          <cell r="C74">
            <v>2294959602</v>
          </cell>
          <cell r="D74" t="str">
            <v>محمد احمد محمد عبدالقوي الزيادي</v>
          </cell>
          <cell r="E74" t="str">
            <v>ذكر</v>
          </cell>
          <cell r="F74" t="str">
            <v>اليمن</v>
          </cell>
          <cell r="G74" t="str">
            <v>عامل</v>
          </cell>
          <cell r="H74">
            <v>3909039</v>
          </cell>
          <cell r="I74" t="str">
            <v xml:space="preserve"> 1443/10/02</v>
          </cell>
          <cell r="J74"/>
          <cell r="K74"/>
          <cell r="L74" t="str">
            <v>1408/05/12</v>
          </cell>
          <cell r="M74"/>
          <cell r="N74" t="str">
            <v>1444/02/10</v>
          </cell>
          <cell r="O74">
            <v>7004853987</v>
          </cell>
          <cell r="P74" t="str">
            <v>مؤسسة زاوية ريال بركة للكماليات</v>
          </cell>
          <cell r="Q74" t="str">
            <v>اليرموك</v>
          </cell>
        </row>
        <row r="75">
          <cell r="B75">
            <v>1073</v>
          </cell>
          <cell r="C75">
            <v>2434158859</v>
          </cell>
          <cell r="D75" t="str">
            <v>MOHAMMED ABBAS ALI</v>
          </cell>
          <cell r="E75" t="str">
            <v>ذكر</v>
          </cell>
          <cell r="F75" t="str">
            <v>بنجلاديش</v>
          </cell>
          <cell r="G75" t="str">
            <v>عامل تعبئة رفوف</v>
          </cell>
          <cell r="H75" t="str">
            <v>BX0987961</v>
          </cell>
          <cell r="I75" t="str">
            <v>2023-11-21</v>
          </cell>
          <cell r="J75" t="str">
            <v>2017-05-11</v>
          </cell>
          <cell r="K75" t="str">
            <v>2022-09-04</v>
          </cell>
          <cell r="L75" t="str">
            <v>1987-10-06</v>
          </cell>
          <cell r="M75" t="str">
            <v>لا</v>
          </cell>
          <cell r="N75" t="str">
            <v>1444-02-08</v>
          </cell>
          <cell r="O75">
            <v>7010149149</v>
          </cell>
          <cell r="P75" t="str">
            <v>شركة ريال البركة للتجارة</v>
          </cell>
          <cell r="Q75" t="str">
            <v>غرناطة</v>
          </cell>
        </row>
        <row r="76">
          <cell r="B76">
            <v>1074</v>
          </cell>
          <cell r="C76">
            <v>2287699033</v>
          </cell>
          <cell r="D76" t="str">
            <v>زكريا علي صالح احمد</v>
          </cell>
          <cell r="E76" t="str">
            <v>ذكر</v>
          </cell>
          <cell r="F76" t="str">
            <v>اليمن</v>
          </cell>
          <cell r="G76" t="str">
            <v>مندوب مبيعات</v>
          </cell>
          <cell r="H76">
            <v>8486609</v>
          </cell>
          <cell r="I76" t="str">
            <v>2024-10-16</v>
          </cell>
          <cell r="J76" t="str">
            <v>2010-05-15</v>
          </cell>
          <cell r="K76" t="str">
            <v>2022-12-28</v>
          </cell>
          <cell r="L76" t="str">
            <v>1987-10-07</v>
          </cell>
          <cell r="M76" t="str">
            <v>لا</v>
          </cell>
          <cell r="N76" t="str">
            <v>1444-06-04</v>
          </cell>
          <cell r="O76">
            <v>7014477116</v>
          </cell>
          <cell r="P76" t="str">
            <v>شركة ريال البركة للتجارة</v>
          </cell>
          <cell r="Q76" t="str">
            <v>الإدارة</v>
          </cell>
        </row>
        <row r="77">
          <cell r="B77">
            <v>1075</v>
          </cell>
          <cell r="C77">
            <v>1081089128</v>
          </cell>
          <cell r="D77" t="str">
            <v>اريج مرداس عبدالله ال مسفوه اليامي</v>
          </cell>
          <cell r="E77" t="str">
            <v>أنثى</v>
          </cell>
          <cell r="F77" t="str">
            <v>سعودي</v>
          </cell>
          <cell r="G77" t="str">
            <v>محاسب زبائن</v>
          </cell>
          <cell r="H77"/>
          <cell r="I77"/>
          <cell r="J77"/>
          <cell r="K77"/>
          <cell r="L77"/>
          <cell r="M77"/>
          <cell r="N77"/>
          <cell r="O77">
            <v>7014477116</v>
          </cell>
          <cell r="P77" t="str">
            <v>شركة ريال البركة للتجارة</v>
          </cell>
          <cell r="Q77" t="str">
            <v>الدائري الغربي</v>
          </cell>
        </row>
        <row r="78">
          <cell r="B78">
            <v>1076</v>
          </cell>
          <cell r="C78">
            <v>2477303503</v>
          </cell>
          <cell r="D78" t="str">
            <v>IMAN HOSSEN</v>
          </cell>
          <cell r="E78" t="str">
            <v>ذكر</v>
          </cell>
          <cell r="F78" t="str">
            <v>بنجلاديش</v>
          </cell>
          <cell r="G78" t="str">
            <v>عامل تحميل وتنزيل</v>
          </cell>
          <cell r="H78" t="str">
            <v>BY0623243</v>
          </cell>
          <cell r="I78" t="str">
            <v>2024-01-20</v>
          </cell>
          <cell r="J78" t="str">
            <v>2019-10-22</v>
          </cell>
          <cell r="K78" t="str">
            <v>2022-12-16</v>
          </cell>
          <cell r="L78" t="str">
            <v>1982-03-17</v>
          </cell>
          <cell r="M78" t="str">
            <v>لا</v>
          </cell>
          <cell r="N78" t="str">
            <v>1444-05-22</v>
          </cell>
          <cell r="O78">
            <v>7014477116</v>
          </cell>
          <cell r="P78" t="str">
            <v>شركة ريال البركة للتجارة</v>
          </cell>
          <cell r="Q78" t="str">
            <v>مستودع جملة سلطان</v>
          </cell>
        </row>
        <row r="79">
          <cell r="B79">
            <v>1077</v>
          </cell>
          <cell r="C79">
            <v>2475243123</v>
          </cell>
          <cell r="D79" t="str">
            <v>RABBI HOSSAIN</v>
          </cell>
          <cell r="E79" t="str">
            <v>ذكر</v>
          </cell>
          <cell r="F79" t="str">
            <v>بنجلاديش</v>
          </cell>
          <cell r="G79" t="str">
            <v>عامل تعبئة رفوف</v>
          </cell>
          <cell r="H79" t="str">
            <v>EJ0778075</v>
          </cell>
          <cell r="I79" t="str">
            <v>2026-10-17</v>
          </cell>
          <cell r="J79" t="str">
            <v>2019-09-19</v>
          </cell>
          <cell r="K79" t="str">
            <v>2022-11-12</v>
          </cell>
          <cell r="L79" t="str">
            <v>1994-01-02</v>
          </cell>
          <cell r="M79" t="str">
            <v>لا</v>
          </cell>
          <cell r="N79" t="str">
            <v>1444-04-18</v>
          </cell>
          <cell r="O79">
            <v>7014477116</v>
          </cell>
          <cell r="P79" t="str">
            <v>مؤسسة سلطان عبدالرحمن صالح الرزيحي للتجارة</v>
          </cell>
          <cell r="Q79" t="str">
            <v>هاينس</v>
          </cell>
        </row>
        <row r="80">
          <cell r="B80">
            <v>1078</v>
          </cell>
          <cell r="C80">
            <v>2302314501</v>
          </cell>
          <cell r="D80" t="str">
            <v>فكري عبدالدائم محمد عبدالرحمن</v>
          </cell>
          <cell r="E80" t="str">
            <v>ذكر</v>
          </cell>
          <cell r="F80" t="str">
            <v>اليمن</v>
          </cell>
          <cell r="G80" t="str">
            <v>عامل مخزن</v>
          </cell>
          <cell r="H80" t="str">
            <v>07225165</v>
          </cell>
          <cell r="I80" t="str">
            <v>2023-03-27</v>
          </cell>
          <cell r="J80" t="str">
            <v>2011-03-26</v>
          </cell>
          <cell r="K80" t="str">
            <v>2022-10-09</v>
          </cell>
          <cell r="L80" t="str">
            <v>1981-03-05</v>
          </cell>
          <cell r="M80" t="str">
            <v>لا</v>
          </cell>
          <cell r="N80" t="str">
            <v>1444-03-13</v>
          </cell>
          <cell r="O80">
            <v>7014477116</v>
          </cell>
          <cell r="P80" t="str">
            <v>شركة ريال البركة للتجارة</v>
          </cell>
          <cell r="Q80" t="str">
            <v>مستودع عكاظ 23</v>
          </cell>
        </row>
        <row r="81">
          <cell r="B81">
            <v>1079</v>
          </cell>
          <cell r="C81">
            <v>2477303669</v>
          </cell>
          <cell r="D81" t="str">
            <v>خالق عبد الرشيد</v>
          </cell>
          <cell r="E81" t="str">
            <v>ذكر</v>
          </cell>
          <cell r="F81" t="str">
            <v>بنجلاديش</v>
          </cell>
          <cell r="G81" t="str">
            <v>عامل تعبئة رفوف</v>
          </cell>
          <cell r="H81" t="str">
            <v>BY0918943</v>
          </cell>
          <cell r="I81">
            <v>45345</v>
          </cell>
          <cell r="J81" t="str">
            <v>1441/02/23</v>
          </cell>
          <cell r="K81">
            <v>44908</v>
          </cell>
          <cell r="L81">
            <v>30081</v>
          </cell>
          <cell r="M81"/>
          <cell r="N81" t="str">
            <v>1444/05/19</v>
          </cell>
          <cell r="O81">
            <v>7015572543</v>
          </cell>
          <cell r="P81" t="str">
            <v>مؤسسة عبدالرحمن سلطان عبدالرحمن الرزيحي للتجارة</v>
          </cell>
          <cell r="Q81" t="str">
            <v>الشفا</v>
          </cell>
        </row>
        <row r="82">
          <cell r="B82">
            <v>1080</v>
          </cell>
          <cell r="C82">
            <v>2469710228</v>
          </cell>
          <cell r="D82" t="str">
            <v>محمد السر على الخليفه</v>
          </cell>
          <cell r="E82" t="str">
            <v>ذكر</v>
          </cell>
          <cell r="F82" t="str">
            <v>السودان</v>
          </cell>
          <cell r="G82" t="str">
            <v>عامل تعبئه باليد</v>
          </cell>
          <cell r="H82" t="str">
            <v>P05702024</v>
          </cell>
          <cell r="I82">
            <v>45404</v>
          </cell>
          <cell r="J82" t="str">
            <v>1440/10/13</v>
          </cell>
          <cell r="K82">
            <v>44930</v>
          </cell>
          <cell r="L82">
            <v>27030</v>
          </cell>
          <cell r="M82" t="str">
            <v>لا</v>
          </cell>
          <cell r="N82" t="str">
            <v>1444/06/11</v>
          </cell>
          <cell r="O82">
            <v>7015572543</v>
          </cell>
          <cell r="P82" t="str">
            <v>مؤسسة عبدالرحمن سلطان عبدالرحمن الرزيحي للتجارة</v>
          </cell>
          <cell r="Q82" t="str">
            <v>المصنع</v>
          </cell>
        </row>
        <row r="83">
          <cell r="B83">
            <v>1081</v>
          </cell>
          <cell r="C83">
            <v>2484398744</v>
          </cell>
          <cell r="D83" t="str">
            <v>حسام حسن عبده الحاج حزام</v>
          </cell>
          <cell r="E83" t="str">
            <v>ذكر</v>
          </cell>
          <cell r="F83" t="str">
            <v>اليمن</v>
          </cell>
          <cell r="G83" t="str">
            <v>عامل تعبئة رفوف</v>
          </cell>
          <cell r="H83">
            <v>8672278</v>
          </cell>
          <cell r="I83">
            <v>45853</v>
          </cell>
          <cell r="J83" t="str">
            <v>1441/06/09</v>
          </cell>
          <cell r="K83">
            <v>44893</v>
          </cell>
          <cell r="L83">
            <v>35188</v>
          </cell>
          <cell r="M83" t="str">
            <v>لا</v>
          </cell>
          <cell r="N83" t="str">
            <v>1444/05/04</v>
          </cell>
          <cell r="O83">
            <v>7015572543</v>
          </cell>
          <cell r="P83" t="str">
            <v>مؤسسة عبدالرحمن سلطان عبدالرحمن الرزيحي للتجارة</v>
          </cell>
          <cell r="Q83" t="str">
            <v>النسيم 2</v>
          </cell>
        </row>
        <row r="84">
          <cell r="B84">
            <v>1082</v>
          </cell>
          <cell r="C84">
            <v>2489500203</v>
          </cell>
          <cell r="D84" t="str">
            <v>AMJAD HUSAIN SIDDIKI</v>
          </cell>
          <cell r="E84" t="str">
            <v>ذكر</v>
          </cell>
          <cell r="F84" t="str">
            <v>نيبال</v>
          </cell>
          <cell r="G84" t="str">
            <v>عامل تحميل وتنزيل</v>
          </cell>
          <cell r="H84" t="str">
            <v>11017478</v>
          </cell>
          <cell r="I84" t="str">
            <v>2028-07-25</v>
          </cell>
          <cell r="J84" t="str">
            <v>2020-06-03</v>
          </cell>
          <cell r="K84" t="str">
            <v>2022-10-23</v>
          </cell>
          <cell r="L84" t="str">
            <v>1996-09-21</v>
          </cell>
          <cell r="M84" t="str">
            <v>لا</v>
          </cell>
          <cell r="N84" t="str">
            <v>1444-03-27</v>
          </cell>
          <cell r="O84">
            <v>7014477116</v>
          </cell>
          <cell r="P84" t="str">
            <v>شركة ريال البركة للتجارة</v>
          </cell>
          <cell r="Q84" t="str">
            <v>مستودع جملة سلطان</v>
          </cell>
        </row>
        <row r="85">
          <cell r="B85">
            <v>1083</v>
          </cell>
          <cell r="C85">
            <v>2489563854</v>
          </cell>
          <cell r="D85" t="str">
            <v>KHUDADIN MANSUR</v>
          </cell>
          <cell r="E85" t="str">
            <v>ذكر</v>
          </cell>
          <cell r="F85" t="str">
            <v>نيبال</v>
          </cell>
          <cell r="G85" t="str">
            <v>عامل تعبئة رفوف</v>
          </cell>
          <cell r="H85" t="str">
            <v>09614966</v>
          </cell>
          <cell r="I85" t="str">
            <v>2026-02-27</v>
          </cell>
          <cell r="J85" t="str">
            <v>2020-06-06</v>
          </cell>
          <cell r="K85" t="str">
            <v>2023-01-21</v>
          </cell>
          <cell r="L85" t="str">
            <v>1996-10-10</v>
          </cell>
          <cell r="M85" t="str">
            <v>لا</v>
          </cell>
          <cell r="N85" t="str">
            <v>1444-06-28</v>
          </cell>
          <cell r="O85">
            <v>7014477116</v>
          </cell>
          <cell r="P85" t="str">
            <v>شركة ريال البركة للتجارة</v>
          </cell>
          <cell r="Q85" t="str">
            <v>جملة ريال البركة</v>
          </cell>
        </row>
        <row r="86">
          <cell r="B86">
            <v>1084</v>
          </cell>
          <cell r="C86">
            <v>2489484002</v>
          </cell>
          <cell r="D86" t="str">
            <v>RANJEV SHEKH</v>
          </cell>
          <cell r="E86" t="str">
            <v>ذكر</v>
          </cell>
          <cell r="F86" t="str">
            <v>نيبال</v>
          </cell>
          <cell r="G86" t="str">
            <v>عامل تحميل وتنزيل</v>
          </cell>
          <cell r="H86" t="str">
            <v>06263403</v>
          </cell>
          <cell r="I86" t="str">
            <v>2023-01-08</v>
          </cell>
          <cell r="J86" t="str">
            <v>2020-06-03</v>
          </cell>
          <cell r="K86" t="str">
            <v>2022-10-23</v>
          </cell>
          <cell r="L86" t="str">
            <v>1993-07-31</v>
          </cell>
          <cell r="M86" t="str">
            <v>لا</v>
          </cell>
          <cell r="N86" t="str">
            <v>1444-03-27</v>
          </cell>
          <cell r="O86">
            <v>7021202564</v>
          </cell>
          <cell r="P86" t="str">
            <v>مصنع سلطان عبدالرحمن صالح الرزيحي للمنتجات الورقية</v>
          </cell>
          <cell r="Q86" t="str">
            <v>المصنع</v>
          </cell>
        </row>
        <row r="87">
          <cell r="B87">
            <v>1085</v>
          </cell>
          <cell r="C87">
            <v>2489500641</v>
          </cell>
          <cell r="D87" t="str">
            <v>SHEKH AHMAD ALAM</v>
          </cell>
          <cell r="E87" t="str">
            <v>ذكر</v>
          </cell>
          <cell r="F87" t="str">
            <v>نيبال</v>
          </cell>
          <cell r="G87" t="str">
            <v>عامل تحميل وتنزيل</v>
          </cell>
          <cell r="H87" t="str">
            <v>10999940</v>
          </cell>
          <cell r="I87" t="str">
            <v>2028-07-10</v>
          </cell>
          <cell r="J87" t="str">
            <v>2020-06-03</v>
          </cell>
          <cell r="K87" t="str">
            <v>2022-10-23</v>
          </cell>
          <cell r="L87" t="str">
            <v>1996-01-21</v>
          </cell>
          <cell r="M87" t="str">
            <v>لا</v>
          </cell>
          <cell r="N87" t="str">
            <v>1444-03-27</v>
          </cell>
          <cell r="O87">
            <v>7014477116</v>
          </cell>
          <cell r="P87" t="str">
            <v>شركة ريال البركة للتجارة</v>
          </cell>
          <cell r="Q87" t="str">
            <v>مستودع جملة سلطان</v>
          </cell>
        </row>
        <row r="88">
          <cell r="B88">
            <v>1086</v>
          </cell>
          <cell r="C88">
            <v>2489500682</v>
          </cell>
          <cell r="D88" t="str">
            <v>SHEKH AASIK</v>
          </cell>
          <cell r="E88" t="str">
            <v>ذكر</v>
          </cell>
          <cell r="F88" t="str">
            <v>نيبال</v>
          </cell>
          <cell r="G88" t="str">
            <v>عامل مهن فريدة</v>
          </cell>
          <cell r="H88">
            <v>9829949</v>
          </cell>
          <cell r="I88" t="str">
            <v>2026-06-13</v>
          </cell>
          <cell r="J88" t="str">
            <v>2020-06-03</v>
          </cell>
          <cell r="K88" t="str">
            <v>2022-10-23</v>
          </cell>
          <cell r="L88" t="str">
            <v>1997-02-17</v>
          </cell>
          <cell r="M88" t="str">
            <v>لا</v>
          </cell>
          <cell r="N88" t="str">
            <v>1444-03-27</v>
          </cell>
          <cell r="O88">
            <v>7014477116</v>
          </cell>
          <cell r="P88" t="str">
            <v>شركة ريال البركة للتجارة</v>
          </cell>
          <cell r="Q88" t="str">
            <v>أونلاين</v>
          </cell>
        </row>
        <row r="89">
          <cell r="B89">
            <v>1087</v>
          </cell>
          <cell r="C89">
            <v>2489490876</v>
          </cell>
          <cell r="D89" t="str">
            <v>ZIAULA ANSARI</v>
          </cell>
          <cell r="E89" t="str">
            <v>ذكر</v>
          </cell>
          <cell r="F89" t="str">
            <v>نيبال</v>
          </cell>
          <cell r="G89" t="str">
            <v>عامل تحميل وتنزيل</v>
          </cell>
          <cell r="H89" t="str">
            <v>10777145</v>
          </cell>
          <cell r="I89" t="str">
            <v>2028-02-11</v>
          </cell>
          <cell r="J89" t="str">
            <v>2020-06-03</v>
          </cell>
          <cell r="K89" t="str">
            <v>2023-01-21</v>
          </cell>
          <cell r="L89" t="str">
            <v>1998-10-20</v>
          </cell>
          <cell r="M89" t="str">
            <v>نعم</v>
          </cell>
          <cell r="N89" t="str">
            <v>1444-06-28</v>
          </cell>
          <cell r="O89">
            <v>7014477116</v>
          </cell>
          <cell r="P89" t="str">
            <v>شركة ريال البركة للتجارة</v>
          </cell>
          <cell r="Q89" t="str">
            <v>مستودع جملة سلطان</v>
          </cell>
        </row>
        <row r="90">
          <cell r="B90">
            <v>1088</v>
          </cell>
          <cell r="C90">
            <v>2489500617</v>
          </cell>
          <cell r="D90" t="str">
            <v>ATABUL ANSARI</v>
          </cell>
          <cell r="E90" t="str">
            <v>ذكر</v>
          </cell>
          <cell r="F90" t="str">
            <v>نيبال</v>
          </cell>
          <cell r="G90" t="str">
            <v>عامل تحميل وتنزيل</v>
          </cell>
          <cell r="H90" t="str">
            <v>10164446</v>
          </cell>
          <cell r="I90" t="str">
            <v>2026-12-26</v>
          </cell>
          <cell r="J90" t="str">
            <v>2020-06-03</v>
          </cell>
          <cell r="K90" t="str">
            <v>2022-10-23</v>
          </cell>
          <cell r="L90" t="str">
            <v>1997-05-01</v>
          </cell>
          <cell r="M90" t="str">
            <v>لا</v>
          </cell>
          <cell r="N90" t="str">
            <v>1444-03-27</v>
          </cell>
          <cell r="O90">
            <v>7014477116</v>
          </cell>
          <cell r="P90" t="str">
            <v>شركة ريال البركة للتجارة</v>
          </cell>
          <cell r="Q90" t="str">
            <v>غرناطة</v>
          </cell>
        </row>
        <row r="91">
          <cell r="B91">
            <v>1089</v>
          </cell>
          <cell r="C91">
            <v>2489500120</v>
          </cell>
          <cell r="D91" t="str">
            <v>KANAIN SES</v>
          </cell>
          <cell r="E91" t="str">
            <v>ذكر</v>
          </cell>
          <cell r="F91" t="str">
            <v>نيبال</v>
          </cell>
          <cell r="G91" t="str">
            <v>عامل تحميل وتنزيل</v>
          </cell>
          <cell r="H91" t="str">
            <v>08969291</v>
          </cell>
          <cell r="I91" t="str">
            <v>2025-07-05</v>
          </cell>
          <cell r="J91" t="str">
            <v>2020-06-03</v>
          </cell>
          <cell r="K91" t="str">
            <v>2022-10-23</v>
          </cell>
          <cell r="L91" t="str">
            <v>1991-07-04</v>
          </cell>
          <cell r="M91" t="str">
            <v>لا</v>
          </cell>
          <cell r="N91" t="str">
            <v>1444-03-27</v>
          </cell>
          <cell r="O91">
            <v>7021202564</v>
          </cell>
          <cell r="P91" t="str">
            <v>مصنع سلطان عبدالرحمن صالح الرزيحي للمنتجات الورقية</v>
          </cell>
          <cell r="Q91" t="str">
            <v>المصنع</v>
          </cell>
        </row>
        <row r="92">
          <cell r="B92">
            <v>1090</v>
          </cell>
          <cell r="C92">
            <v>2485181958</v>
          </cell>
          <cell r="D92" t="str">
            <v>شا بران</v>
          </cell>
          <cell r="E92" t="str">
            <v>ذكر</v>
          </cell>
          <cell r="F92" t="str">
            <v>بنجلاديش</v>
          </cell>
          <cell r="G92" t="str">
            <v>عامل تعبئة رفوف</v>
          </cell>
          <cell r="H92" t="str">
            <v>EB0198495</v>
          </cell>
          <cell r="I92">
            <v>45474</v>
          </cell>
          <cell r="J92" t="str">
            <v>1441/06/19</v>
          </cell>
          <cell r="K92">
            <v>44861</v>
          </cell>
          <cell r="L92">
            <v>34459</v>
          </cell>
          <cell r="M92"/>
          <cell r="N92" t="str">
            <v>1444/04/01</v>
          </cell>
          <cell r="O92">
            <v>7015572543</v>
          </cell>
          <cell r="P92" t="str">
            <v>مؤسسة عبدالرحمن سلطان عبدالرحمن الرزيحي للتجارة</v>
          </cell>
          <cell r="Q92" t="str">
            <v>لبن</v>
          </cell>
        </row>
        <row r="93">
          <cell r="B93">
            <v>1091</v>
          </cell>
          <cell r="C93">
            <v>2479860054</v>
          </cell>
          <cell r="D93" t="str">
            <v>محمد مأمون حسين</v>
          </cell>
          <cell r="E93" t="str">
            <v>ذكر</v>
          </cell>
          <cell r="F93" t="str">
            <v>بنجلاديش</v>
          </cell>
          <cell r="G93" t="str">
            <v>عامل تعبئة رفوف</v>
          </cell>
          <cell r="H93" t="str">
            <v>BQ0695977</v>
          </cell>
          <cell r="I93">
            <v>44859</v>
          </cell>
          <cell r="J93" t="str">
            <v>1441/04/04</v>
          </cell>
          <cell r="K93">
            <v>44913</v>
          </cell>
          <cell r="L93">
            <v>34853</v>
          </cell>
          <cell r="M93" t="str">
            <v>لا</v>
          </cell>
          <cell r="N93" t="str">
            <v>1444/05/24</v>
          </cell>
          <cell r="O93">
            <v>7015572543</v>
          </cell>
          <cell r="P93" t="str">
            <v>مؤسسة عبدالرحمن سلطان عبدالرحمن الرزيحي للتجارة</v>
          </cell>
          <cell r="Q93" t="str">
            <v>الشفا</v>
          </cell>
        </row>
        <row r="94">
          <cell r="B94">
            <v>1092</v>
          </cell>
          <cell r="C94">
            <v>2489500823</v>
          </cell>
          <cell r="D94" t="str">
            <v>ASIF ALAMKANDI ABDUL SATHAR THAZHE PARAMBATH</v>
          </cell>
          <cell r="E94" t="str">
            <v>ذكر</v>
          </cell>
          <cell r="F94" t="str">
            <v>الهند</v>
          </cell>
          <cell r="G94" t="str">
            <v>عامل مهن فريدة</v>
          </cell>
          <cell r="H94" t="str">
            <v>L2801020</v>
          </cell>
          <cell r="I94" t="str">
            <v>2023-07-05</v>
          </cell>
          <cell r="J94" t="str">
            <v>2020-06-03</v>
          </cell>
          <cell r="K94" t="str">
            <v>2022-10-05</v>
          </cell>
          <cell r="L94" t="str">
            <v>1995-03-26</v>
          </cell>
          <cell r="M94" t="str">
            <v>لا</v>
          </cell>
          <cell r="N94" t="str">
            <v>1444-03-09</v>
          </cell>
          <cell r="O94">
            <v>7014477116</v>
          </cell>
          <cell r="P94" t="str">
            <v>شركة ريال البركة للتجارة</v>
          </cell>
          <cell r="Q94" t="str">
            <v>الإدارة</v>
          </cell>
        </row>
        <row r="95">
          <cell r="B95">
            <v>1093</v>
          </cell>
          <cell r="C95">
            <v>2489500757</v>
          </cell>
          <cell r="D95" t="str">
            <v>WASEEM BHURAY AFROZ JAHAN</v>
          </cell>
          <cell r="E95" t="str">
            <v>ذكر</v>
          </cell>
          <cell r="F95" t="str">
            <v>الهند</v>
          </cell>
          <cell r="G95" t="str">
            <v>عامل تحميل وتنزيل</v>
          </cell>
          <cell r="H95" t="str">
            <v>N9658973</v>
          </cell>
          <cell r="I95" t="str">
            <v>2026-07-24</v>
          </cell>
          <cell r="J95" t="str">
            <v>2020-06-03</v>
          </cell>
          <cell r="K95" t="str">
            <v>2022-09-09</v>
          </cell>
          <cell r="L95" t="str">
            <v>1982-10-15</v>
          </cell>
          <cell r="M95" t="str">
            <v>لا</v>
          </cell>
          <cell r="N95" t="str">
            <v>1444-02-13</v>
          </cell>
          <cell r="O95">
            <v>7014477116</v>
          </cell>
          <cell r="P95" t="str">
            <v>شركة ريال البركة للتجارة</v>
          </cell>
          <cell r="Q95" t="str">
            <v>المصنع</v>
          </cell>
        </row>
        <row r="96">
          <cell r="B96">
            <v>1094</v>
          </cell>
          <cell r="C96">
            <v>2484400953</v>
          </cell>
          <cell r="D96" t="str">
            <v>بلال حوسان سيفال س</v>
          </cell>
          <cell r="E96" t="str">
            <v>ذكر</v>
          </cell>
          <cell r="F96" t="str">
            <v>بنجلاديش</v>
          </cell>
          <cell r="G96" t="str">
            <v>عامل تعبئة رفوف</v>
          </cell>
          <cell r="H96" t="str">
            <v>EA0446154</v>
          </cell>
          <cell r="I96">
            <v>45398</v>
          </cell>
          <cell r="J96" t="str">
            <v>1441/06/09</v>
          </cell>
          <cell r="K96">
            <v>44903</v>
          </cell>
          <cell r="L96">
            <v>32011</v>
          </cell>
          <cell r="M96"/>
          <cell r="N96" t="str">
            <v>1444/05/14</v>
          </cell>
          <cell r="O96">
            <v>7015572543</v>
          </cell>
          <cell r="P96" t="str">
            <v>مؤسسة عبدالرحمن سلطان عبدالرحمن الرزيحي للتجارة</v>
          </cell>
          <cell r="Q96" t="str">
            <v>الأندلس</v>
          </cell>
        </row>
        <row r="97">
          <cell r="B97">
            <v>1095</v>
          </cell>
          <cell r="C97">
            <v>2484401118</v>
          </cell>
          <cell r="D97" t="str">
            <v>سري بيدان ساركار</v>
          </cell>
          <cell r="E97" t="str">
            <v>ذكر</v>
          </cell>
          <cell r="F97" t="str">
            <v>بنجلاديش</v>
          </cell>
          <cell r="G97" t="str">
            <v>عامل تعبئة رفوف</v>
          </cell>
          <cell r="H97" t="str">
            <v>BQ0354233</v>
          </cell>
          <cell r="I97">
            <v>44827</v>
          </cell>
          <cell r="J97" t="str">
            <v>1441/06/09</v>
          </cell>
          <cell r="K97">
            <v>44795</v>
          </cell>
          <cell r="L97">
            <v>33154</v>
          </cell>
          <cell r="M97"/>
          <cell r="N97" t="str">
            <v>1444/01/24</v>
          </cell>
          <cell r="O97">
            <v>7015572543</v>
          </cell>
          <cell r="P97" t="str">
            <v>مؤسسة عبدالرحمن سلطان عبدالرحمن الرزيحي للتجارة</v>
          </cell>
          <cell r="Q97" t="str">
            <v>الشفا</v>
          </cell>
        </row>
        <row r="98">
          <cell r="B98">
            <v>1096</v>
          </cell>
          <cell r="C98">
            <v>2484400714</v>
          </cell>
          <cell r="D98" t="str">
            <v>ا أنس سفر ا</v>
          </cell>
          <cell r="E98" t="str">
            <v>ذكر</v>
          </cell>
          <cell r="F98" t="str">
            <v>بنجلاديش</v>
          </cell>
          <cell r="G98" t="str">
            <v>عامل تعبئة رفوف</v>
          </cell>
          <cell r="H98" t="str">
            <v>EA0038653</v>
          </cell>
          <cell r="I98">
            <v>45357</v>
          </cell>
          <cell r="J98" t="str">
            <v>1441/06/09</v>
          </cell>
          <cell r="K98">
            <v>44861</v>
          </cell>
          <cell r="L98">
            <v>35411</v>
          </cell>
          <cell r="M98"/>
          <cell r="N98" t="str">
            <v>1444/04/01</v>
          </cell>
          <cell r="O98">
            <v>7015572543</v>
          </cell>
          <cell r="P98" t="str">
            <v>مؤسسة عبدالرحمن سلطان عبدالرحمن الرزيحي للتجارة</v>
          </cell>
          <cell r="Q98" t="str">
            <v>الأندلس</v>
          </cell>
        </row>
        <row r="99">
          <cell r="B99">
            <v>1097</v>
          </cell>
          <cell r="C99">
            <v>2484400839</v>
          </cell>
          <cell r="D99" t="str">
            <v>مد شبوز ا</v>
          </cell>
          <cell r="E99" t="str">
            <v>ذكر</v>
          </cell>
          <cell r="F99" t="str">
            <v>بنجلاديش</v>
          </cell>
          <cell r="G99" t="str">
            <v>عامل شحن وتفريغ</v>
          </cell>
          <cell r="H99" t="str">
            <v>BX0499928</v>
          </cell>
          <cell r="I99">
            <v>45218</v>
          </cell>
          <cell r="J99" t="str">
            <v>1441/06/09</v>
          </cell>
          <cell r="K99">
            <v>44903</v>
          </cell>
          <cell r="L99">
            <v>35084</v>
          </cell>
          <cell r="M99" t="str">
            <v>لا</v>
          </cell>
          <cell r="N99" t="str">
            <v>1444/05/14</v>
          </cell>
          <cell r="O99">
            <v>7015572543</v>
          </cell>
          <cell r="P99" t="str">
            <v>مؤسسة عبدالرحمن سلطان عبدالرحمن الرزيحي للتجارة</v>
          </cell>
          <cell r="Q99" t="str">
            <v>لبن</v>
          </cell>
        </row>
        <row r="100">
          <cell r="B100">
            <v>1098</v>
          </cell>
          <cell r="C100">
            <v>2479860518</v>
          </cell>
          <cell r="D100" t="str">
            <v>محمد فاروق حسين</v>
          </cell>
          <cell r="E100" t="str">
            <v>ذكر</v>
          </cell>
          <cell r="F100" t="str">
            <v>بنجلاديش</v>
          </cell>
          <cell r="G100" t="str">
            <v>عامل تعبئة رفوف</v>
          </cell>
          <cell r="H100" t="str">
            <v>BT0428682</v>
          </cell>
          <cell r="I100">
            <v>45051</v>
          </cell>
          <cell r="J100" t="str">
            <v>1441/04/04</v>
          </cell>
          <cell r="K100">
            <v>44912</v>
          </cell>
          <cell r="L100">
            <v>34745</v>
          </cell>
          <cell r="M100" t="str">
            <v>لا</v>
          </cell>
          <cell r="N100" t="str">
            <v>1444/05/23</v>
          </cell>
          <cell r="O100">
            <v>7015572543</v>
          </cell>
          <cell r="P100" t="str">
            <v>مؤسسة عبدالرحمن سلطان عبدالرحمن الرزيحي للتجارة</v>
          </cell>
          <cell r="Q100" t="str">
            <v>لبن</v>
          </cell>
        </row>
        <row r="101">
          <cell r="B101">
            <v>1099</v>
          </cell>
          <cell r="C101">
            <v>1011232413</v>
          </cell>
          <cell r="D101" t="str">
            <v>عبدالله الطحامي</v>
          </cell>
          <cell r="E101" t="str">
            <v>ذكر</v>
          </cell>
          <cell r="F101" t="str">
            <v>سعودي</v>
          </cell>
          <cell r="G101" t="str">
            <v>مدير تطوير</v>
          </cell>
          <cell r="H101"/>
          <cell r="I101"/>
          <cell r="J101"/>
          <cell r="K101"/>
          <cell r="L101"/>
          <cell r="M101"/>
          <cell r="N101"/>
          <cell r="O101"/>
          <cell r="P101" t="str">
            <v>دوام جزئي</v>
          </cell>
          <cell r="Q101" t="str">
            <v>وكالة ممكن</v>
          </cell>
        </row>
        <row r="102">
          <cell r="B102">
            <v>1100</v>
          </cell>
          <cell r="C102">
            <v>1120164403</v>
          </cell>
          <cell r="D102" t="str">
            <v>نوره حمد فنيس الكبرى</v>
          </cell>
          <cell r="E102" t="str">
            <v>أنثى</v>
          </cell>
          <cell r="F102" t="str">
            <v>سعودي</v>
          </cell>
          <cell r="G102" t="str">
            <v>أمين صندوق</v>
          </cell>
          <cell r="H102"/>
          <cell r="I102"/>
          <cell r="J102"/>
          <cell r="K102"/>
          <cell r="L102"/>
          <cell r="M102"/>
          <cell r="N102"/>
          <cell r="O102">
            <v>7014477116</v>
          </cell>
          <cell r="P102" t="str">
            <v>شركة ريال البركة للتجارة</v>
          </cell>
          <cell r="Q102" t="str">
            <v>غرناطة</v>
          </cell>
        </row>
        <row r="103">
          <cell r="B103">
            <v>1101</v>
          </cell>
          <cell r="C103">
            <v>1077000451</v>
          </cell>
          <cell r="D103" t="str">
            <v>فاطمة إبراهيم سعود العبودي</v>
          </cell>
          <cell r="E103" t="str">
            <v>أنثى</v>
          </cell>
          <cell r="F103" t="str">
            <v>سعودي</v>
          </cell>
          <cell r="G103" t="str">
            <v>مدير علاقات عامة</v>
          </cell>
          <cell r="H103"/>
          <cell r="I103"/>
          <cell r="J103"/>
          <cell r="K103"/>
          <cell r="L103"/>
          <cell r="M103"/>
          <cell r="N103"/>
          <cell r="O103">
            <v>7014477116</v>
          </cell>
          <cell r="P103" t="str">
            <v>شركة ريال البركة للتجارة</v>
          </cell>
          <cell r="Q103" t="str">
            <v>الإدارة</v>
          </cell>
        </row>
        <row r="104">
          <cell r="B104">
            <v>1102</v>
          </cell>
          <cell r="C104">
            <v>2480177498</v>
          </cell>
          <cell r="D104" t="str">
            <v>مجيد مياه عبد ال حنان</v>
          </cell>
          <cell r="E104" t="str">
            <v>ذكر</v>
          </cell>
          <cell r="F104" t="str">
            <v>بنجلاديش</v>
          </cell>
          <cell r="G104" t="str">
            <v>عامل تعبئة رفوف</v>
          </cell>
          <cell r="H104" t="str">
            <v>BW0898486</v>
          </cell>
          <cell r="I104">
            <v>45167</v>
          </cell>
          <cell r="J104" t="str">
            <v>1441/04/07</v>
          </cell>
          <cell r="K104">
            <v>44905</v>
          </cell>
          <cell r="L104">
            <v>31207</v>
          </cell>
          <cell r="M104"/>
          <cell r="N104" t="str">
            <v>1444/05/16</v>
          </cell>
          <cell r="O104">
            <v>7015572543</v>
          </cell>
          <cell r="P104" t="str">
            <v>مؤسسة عبدالرحمن سلطان عبدالرحمن الرزيحي للتجارة</v>
          </cell>
          <cell r="Q104" t="str">
            <v>الشفا</v>
          </cell>
        </row>
        <row r="105">
          <cell r="B105">
            <v>1103</v>
          </cell>
          <cell r="C105">
            <v>1117511145</v>
          </cell>
          <cell r="D105" t="str">
            <v>شهد سلطان عبدالرحمن الرزيحي</v>
          </cell>
          <cell r="E105" t="str">
            <v>أنثى</v>
          </cell>
          <cell r="F105" t="str">
            <v>سعودي</v>
          </cell>
          <cell r="G105" t="str">
            <v>موظف اداري</v>
          </cell>
          <cell r="H105"/>
          <cell r="I105"/>
          <cell r="J105"/>
          <cell r="K105"/>
          <cell r="L105"/>
          <cell r="M105"/>
          <cell r="N105"/>
          <cell r="O105">
            <v>7014477116</v>
          </cell>
          <cell r="P105" t="str">
            <v>شركة ريال البركة للتجارة</v>
          </cell>
          <cell r="Q105" t="str">
            <v>الإدارة</v>
          </cell>
        </row>
        <row r="106">
          <cell r="B106">
            <v>1104</v>
          </cell>
          <cell r="C106">
            <v>1103050892</v>
          </cell>
          <cell r="D106" t="str">
            <v>الهنوف خالد محمد الباحوث</v>
          </cell>
          <cell r="E106" t="str">
            <v>أنثى</v>
          </cell>
          <cell r="F106" t="str">
            <v>سعودي</v>
          </cell>
          <cell r="G106" t="str">
            <v>محاسب زبائن</v>
          </cell>
          <cell r="H106"/>
          <cell r="I106"/>
          <cell r="J106"/>
          <cell r="K106"/>
          <cell r="L106"/>
          <cell r="M106"/>
          <cell r="N106"/>
          <cell r="O106">
            <v>7014477116</v>
          </cell>
          <cell r="P106" t="str">
            <v>شركة ريال البركة للتجارة</v>
          </cell>
          <cell r="Q106" t="str">
            <v>غرناطة</v>
          </cell>
        </row>
        <row r="107">
          <cell r="B107">
            <v>1105</v>
          </cell>
          <cell r="C107">
            <v>1085804589</v>
          </cell>
          <cell r="D107" t="str">
            <v>حافظ محمد يحي حكمي</v>
          </cell>
          <cell r="E107" t="str">
            <v>ذكر</v>
          </cell>
          <cell r="F107" t="str">
            <v>سعودي</v>
          </cell>
          <cell r="G107" t="str">
            <v>مسؤول علاقات حكومية</v>
          </cell>
          <cell r="H107"/>
          <cell r="I107"/>
          <cell r="J107"/>
          <cell r="K107"/>
          <cell r="L107"/>
          <cell r="M107"/>
          <cell r="N107"/>
          <cell r="O107"/>
          <cell r="P107" t="str">
            <v>عن بعد</v>
          </cell>
          <cell r="Q107" t="str">
            <v>وكالة ممكن</v>
          </cell>
        </row>
        <row r="108">
          <cell r="B108">
            <v>1106</v>
          </cell>
          <cell r="C108">
            <v>2105722603</v>
          </cell>
          <cell r="D108" t="str">
            <v>محمد عبدالمنعم السيد عرفه</v>
          </cell>
          <cell r="E108" t="str">
            <v>ذكر</v>
          </cell>
          <cell r="F108" t="str">
            <v>مصر</v>
          </cell>
          <cell r="G108" t="str">
            <v>اختصاصي تسويق</v>
          </cell>
          <cell r="H108" t="str">
            <v>A28343325</v>
          </cell>
          <cell r="I108">
            <v>46896</v>
          </cell>
          <cell r="J108" t="str">
            <v>1420/12/01</v>
          </cell>
          <cell r="K108">
            <v>44885</v>
          </cell>
          <cell r="L108">
            <v>27760</v>
          </cell>
          <cell r="M108" t="str">
            <v>لا</v>
          </cell>
          <cell r="N108" t="str">
            <v>1444/10/28</v>
          </cell>
          <cell r="O108">
            <v>7015572543</v>
          </cell>
          <cell r="P108" t="str">
            <v>مؤسسة عبدالرحمن سلطان عبدالرحمن الرزيحي للتجارة</v>
          </cell>
          <cell r="Q108" t="str">
            <v>المالك</v>
          </cell>
        </row>
        <row r="109">
          <cell r="B109">
            <v>1107</v>
          </cell>
          <cell r="C109">
            <v>2314409695</v>
          </cell>
          <cell r="D109" t="str">
            <v>عمار مختار الحناني</v>
          </cell>
          <cell r="E109" t="str">
            <v>ذكر</v>
          </cell>
          <cell r="F109" t="str">
            <v>اليمن</v>
          </cell>
          <cell r="G109" t="str">
            <v>مدخل بيانات</v>
          </cell>
          <cell r="H109"/>
          <cell r="I109"/>
          <cell r="J109"/>
          <cell r="K109"/>
          <cell r="L109">
            <v>31778</v>
          </cell>
          <cell r="M109"/>
          <cell r="N109">
            <v>45134</v>
          </cell>
          <cell r="O109"/>
          <cell r="P109" t="str">
            <v>دوام جزئي</v>
          </cell>
          <cell r="Q109" t="str">
            <v>وكالة ممكن</v>
          </cell>
        </row>
        <row r="110">
          <cell r="B110">
            <v>1108</v>
          </cell>
          <cell r="C110">
            <v>2491844243</v>
          </cell>
          <cell r="D110" t="str">
            <v>عمر محمود محمد احمد</v>
          </cell>
          <cell r="E110" t="str">
            <v>ذكر</v>
          </cell>
          <cell r="F110" t="str">
            <v>مصر</v>
          </cell>
          <cell r="G110" t="str">
            <v>عامل مهن فريدة</v>
          </cell>
          <cell r="H110" t="str">
            <v>A26294562</v>
          </cell>
          <cell r="I110" t="str">
            <v>2027-01-07</v>
          </cell>
          <cell r="J110" t="str">
            <v>2020-11-23</v>
          </cell>
          <cell r="K110" t="str">
            <v>2023-01-30</v>
          </cell>
          <cell r="L110" t="str">
            <v>1995-11-14</v>
          </cell>
          <cell r="M110" t="str">
            <v>لا</v>
          </cell>
          <cell r="N110" t="str">
            <v>1444-07-08</v>
          </cell>
          <cell r="O110">
            <v>7014477116</v>
          </cell>
          <cell r="P110" t="str">
            <v>شركة ريال البركة للتجارة</v>
          </cell>
          <cell r="Q110" t="str">
            <v>الإدارة</v>
          </cell>
        </row>
        <row r="111">
          <cell r="B111">
            <v>1109</v>
          </cell>
          <cell r="C111">
            <v>2495386662</v>
          </cell>
          <cell r="D111" t="str">
            <v>احمد سمير محمود الجندى</v>
          </cell>
          <cell r="E111" t="str">
            <v>ذكر</v>
          </cell>
          <cell r="F111" t="str">
            <v>مصر</v>
          </cell>
          <cell r="G111" t="str">
            <v>عامل مخزن</v>
          </cell>
          <cell r="H111" t="str">
            <v>A26738530</v>
          </cell>
          <cell r="I111" t="str">
            <v>2027-01-12</v>
          </cell>
          <cell r="J111" t="str">
            <v>2021-03-18</v>
          </cell>
          <cell r="K111" t="str">
            <v>2022-09-27</v>
          </cell>
          <cell r="L111" t="str">
            <v>1995-12-09</v>
          </cell>
          <cell r="M111" t="str">
            <v>لا</v>
          </cell>
          <cell r="N111" t="str">
            <v>1444-03-01</v>
          </cell>
          <cell r="O111">
            <v>7014477116</v>
          </cell>
          <cell r="P111" t="str">
            <v>شركة ريال البركة للتجارة</v>
          </cell>
          <cell r="Q111" t="str">
            <v>جملة ريال البركة</v>
          </cell>
        </row>
        <row r="112">
          <cell r="B112">
            <v>1110</v>
          </cell>
          <cell r="C112">
            <v>2119480024</v>
          </cell>
          <cell r="D112" t="str">
            <v>KHALID MEHMOOD - LALDIM</v>
          </cell>
          <cell r="E112" t="str">
            <v>ذكر</v>
          </cell>
          <cell r="F112" t="str">
            <v>باكستان</v>
          </cell>
          <cell r="G112" t="str">
            <v>كهربائي</v>
          </cell>
          <cell r="H112" t="str">
            <v>TM0156112</v>
          </cell>
          <cell r="I112" t="str">
            <v>2028-07-22</v>
          </cell>
          <cell r="J112" t="str">
            <v>1996-06-17</v>
          </cell>
          <cell r="K112" t="str">
            <v>2023-02-23</v>
          </cell>
          <cell r="L112" t="str">
            <v>1973-01-01</v>
          </cell>
          <cell r="M112" t="str">
            <v>لا</v>
          </cell>
          <cell r="N112" t="str">
            <v>1444-08-03</v>
          </cell>
          <cell r="O112">
            <v>7014477116</v>
          </cell>
          <cell r="P112" t="str">
            <v>شركة ريال البركة للتجارة</v>
          </cell>
          <cell r="Q112" t="str">
            <v>الإدارة</v>
          </cell>
        </row>
        <row r="113">
          <cell r="B113">
            <v>1111</v>
          </cell>
          <cell r="C113">
            <v>2477823666</v>
          </cell>
          <cell r="D113" t="str">
            <v>ابو طاهر أبو الحسم</v>
          </cell>
          <cell r="E113" t="str">
            <v>ذكر</v>
          </cell>
          <cell r="F113" t="str">
            <v>بنجلاديش</v>
          </cell>
          <cell r="G113" t="str">
            <v>عامل تعبئة رفوف</v>
          </cell>
          <cell r="H113" t="str">
            <v>EJ0428203</v>
          </cell>
          <cell r="I113">
            <v>46256</v>
          </cell>
          <cell r="J113" t="str">
            <v>1441/03/02</v>
          </cell>
          <cell r="K113">
            <v>44835</v>
          </cell>
          <cell r="L113">
            <v>31048</v>
          </cell>
          <cell r="M113"/>
          <cell r="N113" t="str">
            <v>1444/03/05</v>
          </cell>
          <cell r="O113">
            <v>7015572543</v>
          </cell>
          <cell r="P113" t="str">
            <v>مؤسسة عبدالرحمن سلطان عبدالرحمن الرزيحي للتجارة</v>
          </cell>
          <cell r="Q113" t="str">
            <v>الأندلس</v>
          </cell>
        </row>
        <row r="114">
          <cell r="B114">
            <v>1112</v>
          </cell>
          <cell r="C114">
            <v>2493819805</v>
          </cell>
          <cell r="D114" t="str">
            <v>طه اسامه طه يسين</v>
          </cell>
          <cell r="E114" t="str">
            <v>ذكر</v>
          </cell>
          <cell r="F114" t="str">
            <v>مصر</v>
          </cell>
          <cell r="G114" t="str">
            <v>محاسب عام</v>
          </cell>
          <cell r="H114" t="str">
            <v>A26972867</v>
          </cell>
          <cell r="I114" t="str">
            <v>2027-03-06</v>
          </cell>
          <cell r="J114" t="str">
            <v>2021-02-07</v>
          </cell>
          <cell r="K114" t="str">
            <v>2023-02-13</v>
          </cell>
          <cell r="L114" t="str">
            <v>1992-01-20</v>
          </cell>
          <cell r="M114" t="str">
            <v>لا</v>
          </cell>
          <cell r="N114" t="str">
            <v>1444-07-22</v>
          </cell>
          <cell r="O114">
            <v>7014477116</v>
          </cell>
          <cell r="P114" t="str">
            <v>شركة ريال البركة للتجارة</v>
          </cell>
          <cell r="Q114" t="str">
            <v>الإدارة</v>
          </cell>
        </row>
        <row r="115">
          <cell r="B115">
            <v>1113</v>
          </cell>
          <cell r="C115">
            <v>2498428230</v>
          </cell>
          <cell r="D115" t="str">
            <v>عمار عبدالغني صادق حمود الجعمي</v>
          </cell>
          <cell r="E115" t="str">
            <v>ذكر</v>
          </cell>
          <cell r="F115" t="str">
            <v>اليمن</v>
          </cell>
          <cell r="G115" t="str">
            <v>عامل مخزن</v>
          </cell>
          <cell r="H115" t="str">
            <v>09234932</v>
          </cell>
          <cell r="I115" t="str">
            <v>2026-01-06</v>
          </cell>
          <cell r="J115" t="str">
            <v>2021-06-16</v>
          </cell>
          <cell r="K115" t="str">
            <v>2022-09-01</v>
          </cell>
          <cell r="L115" t="str">
            <v>1999-01-01</v>
          </cell>
          <cell r="M115" t="str">
            <v>لا</v>
          </cell>
          <cell r="N115" t="str">
            <v>1444-02-05</v>
          </cell>
          <cell r="O115">
            <v>7014477116</v>
          </cell>
          <cell r="P115" t="str">
            <v>شركة ريال البركة للتجارة</v>
          </cell>
          <cell r="Q115" t="str">
            <v>أونلاين</v>
          </cell>
        </row>
        <row r="116">
          <cell r="B116">
            <v>1114</v>
          </cell>
          <cell r="C116">
            <v>1074549708</v>
          </cell>
          <cell r="D116" t="str">
            <v>فواز سليمان صالح المريشد</v>
          </cell>
          <cell r="E116" t="str">
            <v>ذكر</v>
          </cell>
          <cell r="F116" t="str">
            <v>سعودي</v>
          </cell>
          <cell r="G116" t="str">
            <v>مدير شؤون الموظفين</v>
          </cell>
          <cell r="H116"/>
          <cell r="I116"/>
          <cell r="J116"/>
          <cell r="K116"/>
          <cell r="L116"/>
          <cell r="M116"/>
          <cell r="N116"/>
          <cell r="O116">
            <v>7014477116</v>
          </cell>
          <cell r="P116" t="str">
            <v>شركة ريال البركة للتجارة</v>
          </cell>
          <cell r="Q116" t="str">
            <v>وكالة ممكن</v>
          </cell>
        </row>
        <row r="117">
          <cell r="B117">
            <v>1115</v>
          </cell>
          <cell r="C117">
            <v>2270266154</v>
          </cell>
          <cell r="D117" t="str">
            <v>شير محمد - قلشي</v>
          </cell>
          <cell r="E117" t="str">
            <v>ذكر</v>
          </cell>
          <cell r="F117" t="str">
            <v>باكستان</v>
          </cell>
          <cell r="G117" t="str">
            <v>عامل معماري</v>
          </cell>
          <cell r="H117" t="str">
            <v>CA0158403</v>
          </cell>
          <cell r="I117">
            <v>46109</v>
          </cell>
          <cell r="J117" t="str">
            <v>1430/05/14</v>
          </cell>
          <cell r="K117">
            <v>45020</v>
          </cell>
          <cell r="L117">
            <v>28856</v>
          </cell>
          <cell r="M117" t="str">
            <v>نعم</v>
          </cell>
          <cell r="N117" t="str">
            <v>1444/09/13</v>
          </cell>
          <cell r="O117">
            <v>7015572543</v>
          </cell>
          <cell r="P117" t="str">
            <v>مؤسسة عبدالرحمن سلطان عبدالرحمن الرزيحي للتجارة</v>
          </cell>
          <cell r="Q117" t="str">
            <v>المالك</v>
          </cell>
        </row>
        <row r="118">
          <cell r="B118">
            <v>1116</v>
          </cell>
          <cell r="C118">
            <v>1090491950</v>
          </cell>
          <cell r="D118" t="str">
            <v>عبد الله محمد عبده حكمي</v>
          </cell>
          <cell r="E118" t="str">
            <v>ذكر</v>
          </cell>
          <cell r="F118" t="str">
            <v>سعودي</v>
          </cell>
          <cell r="G118" t="str">
            <v>محاس زبائن</v>
          </cell>
          <cell r="H118"/>
          <cell r="I118"/>
          <cell r="J118"/>
          <cell r="K118"/>
          <cell r="L118"/>
          <cell r="M118"/>
          <cell r="N118"/>
          <cell r="O118">
            <v>7004853987</v>
          </cell>
          <cell r="P118" t="str">
            <v>مؤسسة زاوية ريال بركة للكماليات</v>
          </cell>
          <cell r="Q118" t="str">
            <v>المصيف</v>
          </cell>
        </row>
        <row r="119">
          <cell r="B119">
            <v>1117</v>
          </cell>
          <cell r="C119">
            <v>1111203160</v>
          </cell>
          <cell r="D119" t="str">
            <v>منيرة شافي هضيبان النتيفات</v>
          </cell>
          <cell r="E119" t="str">
            <v>أنثى</v>
          </cell>
          <cell r="F119" t="str">
            <v>سعودي</v>
          </cell>
          <cell r="G119" t="str">
            <v>محاسب زبائن</v>
          </cell>
          <cell r="H119"/>
          <cell r="I119"/>
          <cell r="J119"/>
          <cell r="K119"/>
          <cell r="L119"/>
          <cell r="M119"/>
          <cell r="N119"/>
          <cell r="O119">
            <v>7014477116</v>
          </cell>
          <cell r="P119" t="str">
            <v>شركة ريال البركة للتجارة</v>
          </cell>
          <cell r="Q119" t="str">
            <v>غرناطة</v>
          </cell>
        </row>
        <row r="120">
          <cell r="B120">
            <v>1118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 t="str">
            <v>النسيم</v>
          </cell>
        </row>
        <row r="121">
          <cell r="B121">
            <v>1119</v>
          </cell>
          <cell r="C121">
            <v>1112757867</v>
          </cell>
          <cell r="D121" t="str">
            <v>شذى فرحان معاشي العنزي</v>
          </cell>
          <cell r="E121" t="str">
            <v>أنثى</v>
          </cell>
          <cell r="F121" t="str">
            <v>سعودي</v>
          </cell>
          <cell r="G121" t="str">
            <v>محاسب زبائن</v>
          </cell>
          <cell r="H121"/>
          <cell r="I121"/>
          <cell r="J121"/>
          <cell r="K121"/>
          <cell r="L121"/>
          <cell r="M121"/>
          <cell r="N121"/>
          <cell r="O121">
            <v>7014477116</v>
          </cell>
          <cell r="P121" t="str">
            <v>شركة ريال البركة للتجارة</v>
          </cell>
          <cell r="Q121" t="str">
            <v>الدائري الغربي</v>
          </cell>
        </row>
        <row r="122">
          <cell r="B122">
            <v>1120</v>
          </cell>
          <cell r="C122">
            <v>1087203905</v>
          </cell>
          <cell r="D122" t="str">
            <v>أشواق سويد يحي قاصر</v>
          </cell>
          <cell r="E122" t="str">
            <v>أنثى</v>
          </cell>
          <cell r="F122" t="str">
            <v>سعودي</v>
          </cell>
          <cell r="G122" t="str">
            <v>أمين صندوق</v>
          </cell>
          <cell r="H122"/>
          <cell r="I122"/>
          <cell r="J122"/>
          <cell r="K122"/>
          <cell r="L122"/>
          <cell r="M122"/>
          <cell r="N122"/>
          <cell r="O122">
            <v>7015572543</v>
          </cell>
          <cell r="P122" t="str">
            <v>مؤسسة عبدالرحمن سلطان عبدالرحمن الرزيحي للتجارة</v>
          </cell>
          <cell r="Q122" t="str">
            <v>لبن</v>
          </cell>
        </row>
        <row r="123">
          <cell r="B123">
            <v>1121</v>
          </cell>
          <cell r="C123">
            <v>1100165263</v>
          </cell>
          <cell r="D123" t="str">
            <v>عبدالله سعد عبدالرحمن الرزيحي</v>
          </cell>
          <cell r="E123" t="str">
            <v>ذكر</v>
          </cell>
          <cell r="F123" t="str">
            <v>سعودي</v>
          </cell>
          <cell r="G123" t="str">
            <v>مصور فوتوغرافي</v>
          </cell>
          <cell r="H123"/>
          <cell r="I123"/>
          <cell r="J123"/>
          <cell r="K123"/>
          <cell r="L123"/>
          <cell r="M123"/>
          <cell r="N123"/>
          <cell r="O123">
            <v>7015572543</v>
          </cell>
          <cell r="P123" t="str">
            <v>مؤسسة عبدالرحمن سلطان عبدالرحمن الرزيحي للتجارة</v>
          </cell>
          <cell r="Q123" t="str">
            <v>الإدارة</v>
          </cell>
        </row>
        <row r="124">
          <cell r="B124">
            <v>1122</v>
          </cell>
          <cell r="C124">
            <v>1082299536</v>
          </cell>
          <cell r="D124" t="str">
            <v>حصه خالد يوسف الزيد</v>
          </cell>
          <cell r="E124" t="str">
            <v>أنثى</v>
          </cell>
          <cell r="F124" t="str">
            <v>سعودي</v>
          </cell>
          <cell r="G124" t="str">
            <v>مندوب مبيعات</v>
          </cell>
          <cell r="H124"/>
          <cell r="I124"/>
          <cell r="J124"/>
          <cell r="K124"/>
          <cell r="L124"/>
          <cell r="M124"/>
          <cell r="N124"/>
          <cell r="O124">
            <v>7015572543</v>
          </cell>
          <cell r="P124" t="str">
            <v>مؤسسة عبدالرحمن سلطان عبدالرحمن الرزيحي للتجارة</v>
          </cell>
          <cell r="Q124" t="str">
            <v>الإدارة</v>
          </cell>
        </row>
        <row r="125">
          <cell r="B125">
            <v>1123</v>
          </cell>
          <cell r="C125">
            <v>1113859985</v>
          </cell>
          <cell r="D125" t="str">
            <v>بنين عبدالله موسي آل درويش</v>
          </cell>
          <cell r="E125" t="str">
            <v>أنثى</v>
          </cell>
          <cell r="F125" t="str">
            <v>سعودي</v>
          </cell>
          <cell r="G125" t="str">
            <v>محاسب زبائن</v>
          </cell>
          <cell r="H125"/>
          <cell r="I125"/>
          <cell r="J125"/>
          <cell r="K125"/>
          <cell r="L125"/>
          <cell r="M125"/>
          <cell r="N125"/>
          <cell r="O125">
            <v>7014477116</v>
          </cell>
          <cell r="P125" t="str">
            <v>شركة ريال البركة للتجارة</v>
          </cell>
          <cell r="Q125" t="str">
            <v>العنود</v>
          </cell>
        </row>
        <row r="126">
          <cell r="B126">
            <v>1124</v>
          </cell>
          <cell r="C126">
            <v>1117588747</v>
          </cell>
          <cell r="D126" t="str">
            <v>محمد عيضة عوض المالكي</v>
          </cell>
          <cell r="E126" t="str">
            <v>ذكر</v>
          </cell>
          <cell r="F126" t="str">
            <v>سعودي</v>
          </cell>
          <cell r="G126" t="str">
            <v>محاسب زبائن</v>
          </cell>
          <cell r="H126"/>
          <cell r="I126"/>
          <cell r="J126"/>
          <cell r="K126"/>
          <cell r="L126"/>
          <cell r="M126"/>
          <cell r="N126"/>
          <cell r="O126">
            <v>7004853987</v>
          </cell>
          <cell r="P126" t="str">
            <v>مؤسسة زاوية ريال بركة للكماليات</v>
          </cell>
          <cell r="Q126" t="str">
            <v>اليرموك</v>
          </cell>
        </row>
        <row r="127">
          <cell r="B127">
            <v>1125</v>
          </cell>
          <cell r="C127">
            <v>2500370032</v>
          </cell>
          <cell r="D127" t="str">
            <v>محمد عبدالسلام محمد سيف العامري</v>
          </cell>
          <cell r="E127" t="str">
            <v>ذكر</v>
          </cell>
          <cell r="F127" t="str">
            <v>اليمن</v>
          </cell>
          <cell r="G127" t="str">
            <v>عامل مخزن</v>
          </cell>
          <cell r="H127" t="str">
            <v>09369947</v>
          </cell>
          <cell r="I127" t="str">
            <v>2026-03-06</v>
          </cell>
          <cell r="J127" t="str">
            <v>2021-08-18</v>
          </cell>
          <cell r="K127" t="str">
            <v>2022-10-30</v>
          </cell>
          <cell r="L127" t="str">
            <v>1998-05-18</v>
          </cell>
          <cell r="M127" t="str">
            <v>لا</v>
          </cell>
          <cell r="N127" t="str">
            <v>1444-04-05</v>
          </cell>
          <cell r="O127">
            <v>7014477116</v>
          </cell>
          <cell r="P127" t="str">
            <v>شركة ريال البركة للتجارة</v>
          </cell>
          <cell r="Q127" t="str">
            <v>مستودع جملة سلطان</v>
          </cell>
        </row>
        <row r="128">
          <cell r="B128">
            <v>1126</v>
          </cell>
          <cell r="C128">
            <v>1114326679</v>
          </cell>
          <cell r="D128" t="str">
            <v>فيصل دخيل الله علي الغامدي</v>
          </cell>
          <cell r="E128" t="str">
            <v>ذكر</v>
          </cell>
          <cell r="F128" t="str">
            <v>سعودي</v>
          </cell>
          <cell r="G128" t="str">
            <v>محاسب زبائن</v>
          </cell>
          <cell r="H128"/>
          <cell r="I128"/>
          <cell r="J128"/>
          <cell r="K128"/>
          <cell r="L128"/>
          <cell r="M128"/>
          <cell r="N128"/>
          <cell r="O128">
            <v>7004853987</v>
          </cell>
          <cell r="P128" t="str">
            <v>مؤسسة زاوية ريال بركة للكماليات</v>
          </cell>
          <cell r="Q128" t="str">
            <v>اليرموك</v>
          </cell>
        </row>
        <row r="129">
          <cell r="B129">
            <v>1127</v>
          </cell>
          <cell r="C129">
            <v>2504344645</v>
          </cell>
          <cell r="D129" t="str">
            <v>اسامه عبداللطيف عمر عبداللطيف</v>
          </cell>
          <cell r="E129" t="str">
            <v>ذكر</v>
          </cell>
          <cell r="F129" t="str">
            <v>مصر</v>
          </cell>
          <cell r="G129" t="str">
            <v>عامل عادي</v>
          </cell>
          <cell r="H129" t="str">
            <v>A04239646</v>
          </cell>
          <cell r="I129" t="str">
            <v>2028-07-13</v>
          </cell>
          <cell r="J129" t="str">
            <v>2021-11-20</v>
          </cell>
          <cell r="K129" t="str">
            <v>2023-01-22</v>
          </cell>
          <cell r="L129" t="str">
            <v>1996-08-03</v>
          </cell>
          <cell r="M129" t="str">
            <v>لا</v>
          </cell>
          <cell r="N129" t="str">
            <v>1444-06-29</v>
          </cell>
          <cell r="O129">
            <v>7014477116</v>
          </cell>
          <cell r="P129" t="str">
            <v>شركة ريال البركة للتجارة</v>
          </cell>
          <cell r="Q129" t="str">
            <v>الإدارة</v>
          </cell>
        </row>
        <row r="130">
          <cell r="B130">
            <v>1128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 t="str">
            <v>الشفا</v>
          </cell>
        </row>
        <row r="131">
          <cell r="B131">
            <v>1129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 t="str">
            <v>الشفا</v>
          </cell>
        </row>
        <row r="132">
          <cell r="B132">
            <v>1130</v>
          </cell>
          <cell r="C132">
            <v>1105185670</v>
          </cell>
          <cell r="D132" t="str">
            <v>منيرة سالم إبراهيم المفتاح</v>
          </cell>
          <cell r="E132" t="str">
            <v>أنثى</v>
          </cell>
          <cell r="F132" t="str">
            <v>سعودي</v>
          </cell>
          <cell r="G132" t="str">
            <v>محاسب زبائن</v>
          </cell>
          <cell r="H132"/>
          <cell r="I132"/>
          <cell r="J132"/>
          <cell r="K132"/>
          <cell r="L132"/>
          <cell r="M132"/>
          <cell r="N132"/>
          <cell r="O132">
            <v>7015572543</v>
          </cell>
          <cell r="P132" t="str">
            <v>مؤسسة عبدالرحمن سلطان عبدالرحمن الرزيحي للتجارة</v>
          </cell>
          <cell r="Q132" t="str">
            <v>الشفا</v>
          </cell>
        </row>
        <row r="133">
          <cell r="B133">
            <v>1131</v>
          </cell>
          <cell r="C133">
            <v>1117922722</v>
          </cell>
          <cell r="D133" t="str">
            <v>عبد الله يحي حسن مجممي</v>
          </cell>
          <cell r="E133" t="str">
            <v>ذكر</v>
          </cell>
          <cell r="F133" t="str">
            <v>سعودي</v>
          </cell>
          <cell r="G133" t="str">
            <v>محاسب زبائن</v>
          </cell>
          <cell r="H133"/>
          <cell r="I133"/>
          <cell r="J133"/>
          <cell r="K133"/>
          <cell r="L133"/>
          <cell r="M133"/>
          <cell r="N133"/>
          <cell r="O133">
            <v>7015572543</v>
          </cell>
          <cell r="P133" t="str">
            <v>مؤسسة عبدالرحمن سلطان عبدالرحمن الرزيحي للتجارة</v>
          </cell>
          <cell r="Q133" t="str">
            <v>لبن</v>
          </cell>
        </row>
        <row r="134">
          <cell r="B134">
            <v>1132</v>
          </cell>
          <cell r="C134">
            <v>2505611299</v>
          </cell>
          <cell r="D134" t="str">
            <v>عزالدين عبدالله موسي الفكي</v>
          </cell>
          <cell r="E134" t="str">
            <v>ذكر</v>
          </cell>
          <cell r="F134" t="str">
            <v>السودان</v>
          </cell>
          <cell r="G134" t="str">
            <v>عامل مخزن</v>
          </cell>
          <cell r="H134" t="str">
            <v>P07640930</v>
          </cell>
          <cell r="I134" t="str">
            <v>2026-02-12</v>
          </cell>
          <cell r="J134" t="str">
            <v>2021-12-09</v>
          </cell>
          <cell r="K134" t="str">
            <v>2022-09-28</v>
          </cell>
          <cell r="L134" t="str">
            <v>1995-04-27</v>
          </cell>
          <cell r="M134" t="str">
            <v>لا</v>
          </cell>
          <cell r="N134" t="str">
            <v>1444-03-02</v>
          </cell>
          <cell r="O134">
            <v>7014477116</v>
          </cell>
          <cell r="P134" t="str">
            <v>شركة ريال البركة للتجارة</v>
          </cell>
          <cell r="Q134" t="str">
            <v>جملة ريال البركة</v>
          </cell>
        </row>
        <row r="135">
          <cell r="B135">
            <v>1133</v>
          </cell>
          <cell r="C135" t="str">
            <v>2216941035</v>
          </cell>
          <cell r="D135" t="str">
            <v>محسن يحي محسن عميسان</v>
          </cell>
          <cell r="E135" t="str">
            <v>ذكر</v>
          </cell>
          <cell r="F135" t="str">
            <v>اليمن</v>
          </cell>
          <cell r="G135" t="str">
            <v>سائق سيارة عمومي</v>
          </cell>
          <cell r="H135" t="str">
            <v>03661794</v>
          </cell>
          <cell r="I135" t="str">
            <v>2022-11-12</v>
          </cell>
          <cell r="J135" t="str">
            <v>2005-06-19</v>
          </cell>
          <cell r="K135" t="str">
            <v>2018-03-19</v>
          </cell>
          <cell r="L135" t="str">
            <v>1981-01-01</v>
          </cell>
          <cell r="M135" t="str">
            <v>لا</v>
          </cell>
          <cell r="N135" t="str">
            <v>1439-07-02</v>
          </cell>
          <cell r="O135">
            <v>7026482336</v>
          </cell>
          <cell r="P135" t="str">
            <v>شركة أدفان للصناعة ( شركة شخص واحد )</v>
          </cell>
          <cell r="Q135" t="str">
            <v>ورشة أثاث</v>
          </cell>
        </row>
        <row r="136">
          <cell r="B136">
            <v>1134</v>
          </cell>
          <cell r="C136" t="str">
            <v>2498980875</v>
          </cell>
          <cell r="D136" t="str">
            <v>ضيف الله احمد عبدالله اليافعي</v>
          </cell>
          <cell r="E136" t="str">
            <v>ذكر</v>
          </cell>
          <cell r="F136" t="str">
            <v>اليمن</v>
          </cell>
          <cell r="G136" t="str">
            <v>عامل تصنيع</v>
          </cell>
          <cell r="H136" t="str">
            <v>08995990</v>
          </cell>
          <cell r="I136" t="str">
            <v>2025-12-11</v>
          </cell>
          <cell r="J136" t="str">
            <v>2021-07-04</v>
          </cell>
          <cell r="K136" t="str">
            <v>2023-07-27</v>
          </cell>
          <cell r="L136" t="str">
            <v>1998-02-10</v>
          </cell>
          <cell r="M136" t="str">
            <v>لا</v>
          </cell>
          <cell r="N136" t="str">
            <v>1445-01-09</v>
          </cell>
          <cell r="O136">
            <v>7026482336</v>
          </cell>
          <cell r="P136" t="str">
            <v>شركة أدفان للصناعة ( شركة شخص واحد )</v>
          </cell>
          <cell r="Q136" t="str">
            <v>ورشة أثاث</v>
          </cell>
        </row>
        <row r="137">
          <cell r="B137">
            <v>1135</v>
          </cell>
          <cell r="C137" t="str">
            <v>2512494606</v>
          </cell>
          <cell r="D137" t="str">
            <v>اسامه عبده احمد عبدالله العبادي</v>
          </cell>
          <cell r="E137" t="str">
            <v>ذكر</v>
          </cell>
          <cell r="F137" t="str">
            <v>اليمن</v>
          </cell>
          <cell r="G137" t="str">
            <v>عامل تصنيع</v>
          </cell>
          <cell r="H137" t="str">
            <v>09087598</v>
          </cell>
          <cell r="I137" t="str">
            <v>2025-12-28</v>
          </cell>
          <cell r="J137" t="str">
            <v>2022-03-01</v>
          </cell>
          <cell r="K137" t="str">
            <v>2023-02-28</v>
          </cell>
          <cell r="L137" t="str">
            <v>1997-01-17</v>
          </cell>
          <cell r="M137" t="str">
            <v>لا</v>
          </cell>
          <cell r="N137" t="str">
            <v>1444-08-08</v>
          </cell>
          <cell r="O137">
            <v>7026482336</v>
          </cell>
          <cell r="P137" t="str">
            <v>شركة أدفان للصناعة ( شركة شخص واحد )</v>
          </cell>
          <cell r="Q137" t="str">
            <v>ورشة أثاث</v>
          </cell>
        </row>
        <row r="138">
          <cell r="B138">
            <v>1136</v>
          </cell>
          <cell r="C138" t="str">
            <v>2511070753</v>
          </cell>
          <cell r="D138" t="str">
            <v>عبدالحافظ رشاد علي سعيد</v>
          </cell>
          <cell r="E138" t="str">
            <v>ذكر</v>
          </cell>
          <cell r="F138" t="str">
            <v>اليمن</v>
          </cell>
          <cell r="G138" t="str">
            <v>عامل تجميع أثاث</v>
          </cell>
          <cell r="H138" t="str">
            <v>08666462</v>
          </cell>
          <cell r="I138" t="str">
            <v>2025-07-01</v>
          </cell>
          <cell r="J138" t="str">
            <v>2022-02-10</v>
          </cell>
          <cell r="K138" t="str">
            <v>2024-02-11</v>
          </cell>
          <cell r="L138" t="str">
            <v>1993-11-11</v>
          </cell>
          <cell r="M138" t="str">
            <v>لا</v>
          </cell>
          <cell r="N138" t="str">
            <v>1445-08-01</v>
          </cell>
          <cell r="O138">
            <v>7026482336</v>
          </cell>
          <cell r="P138" t="str">
            <v>شركة أدفان للصناعة ( شركة شخص واحد )</v>
          </cell>
          <cell r="Q138" t="str">
            <v>ورشة أثاث</v>
          </cell>
        </row>
        <row r="139">
          <cell r="B139">
            <v>1137</v>
          </cell>
          <cell r="C139" t="str">
            <v>2516856826</v>
          </cell>
          <cell r="D139" t="str">
            <v>حسن عبده حزام عساج</v>
          </cell>
          <cell r="E139" t="str">
            <v>ذكر</v>
          </cell>
          <cell r="F139" t="str">
            <v>اليمن</v>
          </cell>
          <cell r="G139" t="str">
            <v>عامل عادي</v>
          </cell>
          <cell r="H139" t="str">
            <v>09582643</v>
          </cell>
          <cell r="I139" t="str">
            <v>2026-08-30</v>
          </cell>
          <cell r="J139" t="str">
            <v>2022-04-12</v>
          </cell>
          <cell r="K139" t="str">
            <v>2022-03-28</v>
          </cell>
          <cell r="L139" t="str">
            <v>1995-05-05</v>
          </cell>
          <cell r="M139" t="str">
            <v>لا</v>
          </cell>
          <cell r="N139" t="str">
            <v>1443-08-25</v>
          </cell>
          <cell r="O139">
            <v>7026482336</v>
          </cell>
          <cell r="P139" t="str">
            <v>شركة أدفان للصناعة ( شركة شخص واحد )</v>
          </cell>
          <cell r="Q139" t="str">
            <v>ورشة أثاث</v>
          </cell>
        </row>
        <row r="140">
          <cell r="B140">
            <v>1138</v>
          </cell>
          <cell r="C140" t="str">
            <v>2483331274</v>
          </cell>
          <cell r="D140" t="str">
            <v>محمد عمر سعد محمود</v>
          </cell>
          <cell r="E140" t="str">
            <v>ذكر</v>
          </cell>
          <cell r="F140" t="str">
            <v>مصر</v>
          </cell>
          <cell r="G140" t="str">
            <v>عامل تصنيع</v>
          </cell>
          <cell r="H140" t="str">
            <v>A26239013</v>
          </cell>
          <cell r="I140" t="str">
            <v>2026-12-01</v>
          </cell>
          <cell r="J140" t="str">
            <v>2020-01-18</v>
          </cell>
          <cell r="K140" t="str">
            <v>2023-03-07</v>
          </cell>
          <cell r="L140" t="str">
            <v>1996-10-15</v>
          </cell>
          <cell r="M140" t="str">
            <v>لا</v>
          </cell>
          <cell r="N140" t="str">
            <v>1444-08-15</v>
          </cell>
          <cell r="O140">
            <v>7026482336</v>
          </cell>
          <cell r="P140" t="str">
            <v>شركة أدفان للصناعة ( شركة شخص واحد )</v>
          </cell>
          <cell r="Q140" t="str">
            <v>ورشة أثاث</v>
          </cell>
        </row>
        <row r="141">
          <cell r="B141">
            <v>1139</v>
          </cell>
          <cell r="C141">
            <v>1113117053</v>
          </cell>
          <cell r="D141" t="str">
            <v>صالحه علي أحمد هزازي</v>
          </cell>
          <cell r="E141" t="str">
            <v>أنثى</v>
          </cell>
          <cell r="F141" t="str">
            <v>سعودي</v>
          </cell>
          <cell r="G141" t="str">
            <v>محاسب زبائن</v>
          </cell>
          <cell r="H141"/>
          <cell r="I141"/>
          <cell r="J141"/>
          <cell r="K141"/>
          <cell r="L141"/>
          <cell r="M141"/>
          <cell r="N141"/>
          <cell r="O141">
            <v>7014477116</v>
          </cell>
          <cell r="P141" t="str">
            <v>شركة ريال البركة للتجارة</v>
          </cell>
          <cell r="Q141" t="str">
            <v>العنود</v>
          </cell>
        </row>
        <row r="142">
          <cell r="B142">
            <v>1140</v>
          </cell>
          <cell r="C142">
            <v>2514045612</v>
          </cell>
          <cell r="D142" t="str">
            <v>علي سمير حسن</v>
          </cell>
          <cell r="E142" t="str">
            <v>ذكر</v>
          </cell>
          <cell r="F142" t="str">
            <v>مصر</v>
          </cell>
          <cell r="G142"/>
          <cell r="H142"/>
          <cell r="I142"/>
          <cell r="J142"/>
          <cell r="K142"/>
          <cell r="L142"/>
          <cell r="M142"/>
          <cell r="N142"/>
          <cell r="O142">
            <v>7021202564</v>
          </cell>
          <cell r="P142" t="str">
            <v>مصنع سلطان عبدالرحمن صالح الرزيحي للمنتجات الورقية</v>
          </cell>
          <cell r="Q142" t="str">
            <v>المصنع</v>
          </cell>
        </row>
        <row r="143">
          <cell r="B143">
            <v>1141</v>
          </cell>
          <cell r="C143">
            <v>2514039698</v>
          </cell>
          <cell r="D143" t="str">
            <v>أحمد جابر احمد مدكور</v>
          </cell>
          <cell r="E143" t="str">
            <v>ذكر</v>
          </cell>
          <cell r="F143" t="str">
            <v>مصر</v>
          </cell>
          <cell r="G143"/>
          <cell r="H143"/>
          <cell r="I143"/>
          <cell r="J143"/>
          <cell r="K143"/>
          <cell r="L143"/>
          <cell r="M143"/>
          <cell r="N143"/>
          <cell r="O143">
            <v>1092729241</v>
          </cell>
          <cell r="P143" t="str">
            <v>مصنع سلطان عبدالرحمن صالح الرزيحي للمنتجات الورقية</v>
          </cell>
          <cell r="Q143" t="str">
            <v>المصنع</v>
          </cell>
        </row>
        <row r="144">
          <cell r="B144">
            <v>1142</v>
          </cell>
          <cell r="C144">
            <v>2503035392</v>
          </cell>
          <cell r="D144" t="str">
            <v>معتز عصام الصافي الرضي</v>
          </cell>
          <cell r="E144" t="str">
            <v>ذكر</v>
          </cell>
          <cell r="F144" t="str">
            <v>السودان</v>
          </cell>
          <cell r="G144" t="str">
            <v>عامل مخزن</v>
          </cell>
          <cell r="H144" t="str">
            <v>P07109733</v>
          </cell>
          <cell r="I144" t="str">
            <v>2025-10-05</v>
          </cell>
          <cell r="J144" t="str">
            <v>2021-10-25</v>
          </cell>
          <cell r="K144" t="str">
            <v>2022-11-11</v>
          </cell>
          <cell r="L144" t="str">
            <v>1997-01-04</v>
          </cell>
          <cell r="M144" t="str">
            <v>لا</v>
          </cell>
          <cell r="N144" t="str">
            <v>1444-04-17</v>
          </cell>
          <cell r="O144">
            <v>7014477116</v>
          </cell>
          <cell r="P144" t="str">
            <v>شركة ريال البركة للتجارة</v>
          </cell>
          <cell r="Q144" t="str">
            <v>أونلاين</v>
          </cell>
        </row>
        <row r="145">
          <cell r="B145">
            <v>1143</v>
          </cell>
          <cell r="C145">
            <v>2487643674</v>
          </cell>
          <cell r="D145" t="str">
            <v>AMIR ALAM WARKOTAY KHAN</v>
          </cell>
          <cell r="E145" t="str">
            <v>ذكر</v>
          </cell>
          <cell r="F145" t="str">
            <v>باكستان</v>
          </cell>
          <cell r="G145" t="str">
            <v>سائق خاص</v>
          </cell>
          <cell r="H145" t="str">
            <v>AY1752873</v>
          </cell>
          <cell r="I145" t="str">
            <v>2024-02-05</v>
          </cell>
          <cell r="J145" t="str">
            <v>2020-03-14</v>
          </cell>
          <cell r="K145" t="str">
            <v>2023-04-06</v>
          </cell>
          <cell r="L145" t="str">
            <v>1982-01-01</v>
          </cell>
          <cell r="M145" t="str">
            <v>لا</v>
          </cell>
          <cell r="N145" t="str">
            <v>1444-09-15</v>
          </cell>
          <cell r="O145">
            <v>1023619636</v>
          </cell>
          <cell r="P145" t="str">
            <v xml:space="preserve">سلطان عبدالرحمن صالح الرزيحي </v>
          </cell>
          <cell r="Q145" t="str">
            <v>المالك</v>
          </cell>
        </row>
        <row r="146">
          <cell r="B146">
            <v>1144</v>
          </cell>
          <cell r="C146">
            <v>1069605119</v>
          </cell>
          <cell r="D146" t="str">
            <v>صالحة محمد أحمد عتين</v>
          </cell>
          <cell r="E146" t="str">
            <v>أنثي</v>
          </cell>
          <cell r="F146" t="str">
            <v>سعودي</v>
          </cell>
          <cell r="G146" t="str">
            <v>محاسب زبائن</v>
          </cell>
          <cell r="H146"/>
          <cell r="I146"/>
          <cell r="J146"/>
          <cell r="K146"/>
          <cell r="L146"/>
          <cell r="M146"/>
          <cell r="N146"/>
          <cell r="O146">
            <v>7009073037</v>
          </cell>
          <cell r="P146" t="str">
            <v>مؤسسة سلطان عبدالرحمن صالح الرزيحي للتجارة</v>
          </cell>
          <cell r="Q146" t="str">
            <v>جملة سلطان/السويلم</v>
          </cell>
        </row>
        <row r="147">
          <cell r="B147">
            <v>1145</v>
          </cell>
          <cell r="C147">
            <v>2373237367</v>
          </cell>
          <cell r="D147" t="str">
            <v>مرام عبدالوهاب الخولاني</v>
          </cell>
          <cell r="E147" t="str">
            <v>أنثي</v>
          </cell>
          <cell r="F147" t="str">
            <v>اليمن</v>
          </cell>
          <cell r="G147" t="str">
            <v>تابع</v>
          </cell>
          <cell r="H147"/>
          <cell r="I147"/>
          <cell r="J147"/>
          <cell r="K147"/>
          <cell r="L147"/>
          <cell r="M147"/>
          <cell r="N147"/>
          <cell r="O147"/>
          <cell r="P147" t="str">
            <v>عن بعد</v>
          </cell>
          <cell r="Q147" t="str">
            <v>وكالة ممكن</v>
          </cell>
        </row>
        <row r="148">
          <cell r="B148">
            <v>1146</v>
          </cell>
          <cell r="C148">
            <v>1081911024</v>
          </cell>
          <cell r="D148" t="str">
            <v>مشاعل زيد زيدان الهلالي</v>
          </cell>
          <cell r="E148" t="str">
            <v>أنثى</v>
          </cell>
          <cell r="F148" t="str">
            <v>سعودي</v>
          </cell>
          <cell r="G148" t="str">
            <v>أخصائي دعم فني</v>
          </cell>
          <cell r="H148"/>
          <cell r="I148"/>
          <cell r="J148"/>
          <cell r="K148"/>
          <cell r="L148"/>
          <cell r="M148"/>
          <cell r="N148"/>
          <cell r="O148">
            <v>7014477116</v>
          </cell>
          <cell r="P148" t="str">
            <v>شركة ريال البركة للتجارة</v>
          </cell>
          <cell r="Q148" t="str">
            <v>الإدارة</v>
          </cell>
        </row>
        <row r="149">
          <cell r="B149">
            <v>1147</v>
          </cell>
          <cell r="C149">
            <v>1096580376</v>
          </cell>
          <cell r="D149" t="str">
            <v>منيره حسن عبدالله قعود</v>
          </cell>
          <cell r="E149" t="str">
            <v>أنثى</v>
          </cell>
          <cell r="F149" t="str">
            <v>سعودي</v>
          </cell>
          <cell r="G149" t="str">
            <v>مندوب مبيعات</v>
          </cell>
          <cell r="H149"/>
          <cell r="I149"/>
          <cell r="J149"/>
          <cell r="K149"/>
          <cell r="L149"/>
          <cell r="M149"/>
          <cell r="N149"/>
          <cell r="O149">
            <v>7014477116</v>
          </cell>
          <cell r="P149" t="str">
            <v>شركة ريال البركة للتجارة</v>
          </cell>
          <cell r="Q149" t="str">
            <v>الإدارة</v>
          </cell>
        </row>
        <row r="150">
          <cell r="B150">
            <v>1148</v>
          </cell>
          <cell r="C150">
            <v>1095041834</v>
          </cell>
          <cell r="D150" t="str">
            <v>مرام ناصر عبدالرحمن السلمان</v>
          </cell>
          <cell r="E150" t="str">
            <v>أنثى</v>
          </cell>
          <cell r="F150" t="str">
            <v>سعودي</v>
          </cell>
          <cell r="G150" t="str">
            <v>أخصائي دعم فني</v>
          </cell>
          <cell r="H150"/>
          <cell r="I150"/>
          <cell r="J150"/>
          <cell r="K150"/>
          <cell r="L150"/>
          <cell r="M150"/>
          <cell r="N150"/>
          <cell r="O150">
            <v>7014477116</v>
          </cell>
          <cell r="P150" t="str">
            <v>شركة ريال البركة للتجارة</v>
          </cell>
          <cell r="Q150" t="str">
            <v>الإدارة</v>
          </cell>
        </row>
        <row r="151">
          <cell r="B151">
            <v>1149</v>
          </cell>
          <cell r="C151">
            <v>1110338876</v>
          </cell>
          <cell r="D151" t="str">
            <v>أميرة احمد محمد السميح</v>
          </cell>
          <cell r="E151" t="str">
            <v>أنثى</v>
          </cell>
          <cell r="F151" t="str">
            <v>سعودي</v>
          </cell>
          <cell r="G151" t="str">
            <v>أخصائي دعم فني</v>
          </cell>
          <cell r="H151"/>
          <cell r="I151"/>
          <cell r="J151"/>
          <cell r="K151"/>
          <cell r="L151"/>
          <cell r="M151"/>
          <cell r="N151"/>
          <cell r="O151">
            <v>7026482336</v>
          </cell>
          <cell r="P151" t="str">
            <v>شركة أدفان للصناعة ( شركة شخص واحد )</v>
          </cell>
          <cell r="Q151" t="str">
            <v>ورشة أثاث</v>
          </cell>
        </row>
        <row r="152">
          <cell r="B152">
            <v>1150</v>
          </cell>
          <cell r="C152">
            <v>1022148199</v>
          </cell>
          <cell r="D152" t="str">
            <v>نوره عبدالعزيز حسين ابوساق</v>
          </cell>
          <cell r="E152" t="str">
            <v>أنثى</v>
          </cell>
          <cell r="F152" t="str">
            <v>سعودي</v>
          </cell>
          <cell r="G152" t="str">
            <v>مندوب مبيعات</v>
          </cell>
          <cell r="H152"/>
          <cell r="I152"/>
          <cell r="J152"/>
          <cell r="K152"/>
          <cell r="L152"/>
          <cell r="M152"/>
          <cell r="N152"/>
          <cell r="O152">
            <v>7026482336</v>
          </cell>
          <cell r="P152" t="str">
            <v>شركة أدفان للصناعة ( شركة شخص واحد )</v>
          </cell>
          <cell r="Q152" t="str">
            <v>ورشة أثاث</v>
          </cell>
        </row>
        <row r="153">
          <cell r="B153">
            <v>1151</v>
          </cell>
          <cell r="C153">
            <v>1054822943</v>
          </cell>
          <cell r="D153" t="str">
            <v>ريم عبدالعزيز حسين أبوساق</v>
          </cell>
          <cell r="E153" t="str">
            <v>أنثي</v>
          </cell>
          <cell r="F153" t="str">
            <v>سعودي</v>
          </cell>
          <cell r="G153" t="str">
            <v>مساعد بائع</v>
          </cell>
          <cell r="H153"/>
          <cell r="I153"/>
          <cell r="J153"/>
          <cell r="K153"/>
          <cell r="L153"/>
          <cell r="M153"/>
          <cell r="N153"/>
          <cell r="O153">
            <v>7009073037</v>
          </cell>
          <cell r="P153" t="str">
            <v>مؤسسة سلطان عبدالرحمن صالح الرزيحي للتجارة</v>
          </cell>
          <cell r="Q153" t="str">
            <v>الإدارة</v>
          </cell>
        </row>
        <row r="154">
          <cell r="B154">
            <v>1152</v>
          </cell>
          <cell r="C154">
            <v>1108055201</v>
          </cell>
          <cell r="D154" t="str">
            <v>سجاء علي عبدالله المحيميد</v>
          </cell>
          <cell r="E154" t="str">
            <v>أنثى</v>
          </cell>
          <cell r="F154" t="str">
            <v>سعودي</v>
          </cell>
          <cell r="G154" t="str">
            <v>محاسب زبائن</v>
          </cell>
          <cell r="H154"/>
          <cell r="I154"/>
          <cell r="J154"/>
          <cell r="K154"/>
          <cell r="L154"/>
          <cell r="M154"/>
          <cell r="N154"/>
          <cell r="O154">
            <v>7015572543</v>
          </cell>
          <cell r="P154" t="str">
            <v>مؤسسة عبدالرحمن سلطان عبدالرحمن الرزيحي للتجارة</v>
          </cell>
          <cell r="Q154" t="str">
            <v>الأندلس</v>
          </cell>
        </row>
        <row r="155">
          <cell r="B155">
            <v>1153</v>
          </cell>
          <cell r="C155">
            <v>1109675643</v>
          </cell>
          <cell r="D155" t="str">
            <v>سارة عدنان علي صالح</v>
          </cell>
          <cell r="E155" t="str">
            <v>أنثى</v>
          </cell>
          <cell r="F155" t="str">
            <v>سعودي</v>
          </cell>
          <cell r="G155" t="str">
            <v>محاسب زبائن</v>
          </cell>
          <cell r="H155"/>
          <cell r="I155"/>
          <cell r="J155"/>
          <cell r="K155"/>
          <cell r="L155"/>
          <cell r="M155"/>
          <cell r="N155"/>
          <cell r="O155">
            <v>7015572543</v>
          </cell>
          <cell r="P155" t="str">
            <v>مؤسسة عبدالرحمن سلطان عبدالرحمن الرزيحي للتجارة</v>
          </cell>
          <cell r="Q155" t="str">
            <v>الأندلس</v>
          </cell>
        </row>
        <row r="156">
          <cell r="B156">
            <v>1154</v>
          </cell>
          <cell r="C156">
            <v>1122660200</v>
          </cell>
          <cell r="D156" t="str">
            <v>فاطمه علي عبدالله المطوع</v>
          </cell>
          <cell r="E156" t="str">
            <v>أنثى</v>
          </cell>
          <cell r="F156" t="str">
            <v>سعودي</v>
          </cell>
          <cell r="G156" t="str">
            <v>محاسب زبائن</v>
          </cell>
          <cell r="H156"/>
          <cell r="I156"/>
          <cell r="J156"/>
          <cell r="K156"/>
          <cell r="L156"/>
          <cell r="M156"/>
          <cell r="N156"/>
          <cell r="O156">
            <v>7015572543</v>
          </cell>
          <cell r="P156" t="str">
            <v>مؤسسة عبدالرحمن سلطان عبدالرحمن الرزيحي للتجارة</v>
          </cell>
          <cell r="Q156" t="str">
            <v>الأندلس</v>
          </cell>
        </row>
        <row r="157">
          <cell r="B157">
            <v>1155</v>
          </cell>
          <cell r="C157">
            <v>1110563218</v>
          </cell>
          <cell r="D157" t="str">
            <v>ساره ناصر سليمان الوهيبي</v>
          </cell>
          <cell r="E157" t="str">
            <v>أنثى</v>
          </cell>
          <cell r="F157" t="str">
            <v>سعودي</v>
          </cell>
          <cell r="G157" t="str">
            <v>مندوب خدمات سلعية</v>
          </cell>
          <cell r="H157"/>
          <cell r="I157"/>
          <cell r="J157"/>
          <cell r="K157"/>
          <cell r="L157"/>
          <cell r="M157"/>
          <cell r="N157"/>
          <cell r="O157">
            <v>7026482336</v>
          </cell>
          <cell r="P157" t="str">
            <v>شركة أدفان للصناعة ( شركة شخص واحد )</v>
          </cell>
          <cell r="Q157" t="str">
            <v>ورشة أثاث</v>
          </cell>
        </row>
        <row r="158">
          <cell r="B158">
            <v>1156</v>
          </cell>
          <cell r="C158">
            <v>1060137807</v>
          </cell>
          <cell r="D158" t="str">
            <v>هديل سليمان صالح المريشد</v>
          </cell>
          <cell r="E158" t="str">
            <v>أنثى</v>
          </cell>
          <cell r="F158" t="str">
            <v>سعودي</v>
          </cell>
          <cell r="G158" t="str">
            <v>أخصائي دعم فني</v>
          </cell>
          <cell r="H158"/>
          <cell r="I158"/>
          <cell r="J158"/>
          <cell r="K158"/>
          <cell r="L158"/>
          <cell r="M158"/>
          <cell r="N158"/>
          <cell r="O158">
            <v>7014477116</v>
          </cell>
          <cell r="P158" t="str">
            <v>شركة ريال البركة للتجارة</v>
          </cell>
          <cell r="Q158" t="str">
            <v>الإدارة</v>
          </cell>
        </row>
        <row r="159">
          <cell r="B159">
            <v>1157</v>
          </cell>
          <cell r="C159">
            <v>1093007274</v>
          </cell>
          <cell r="D159" t="str">
            <v>نور محمد حسين الحدب</v>
          </cell>
          <cell r="E159" t="str">
            <v>أنثى</v>
          </cell>
          <cell r="F159" t="str">
            <v>سعودي</v>
          </cell>
          <cell r="G159" t="str">
            <v>محاسب زبائن</v>
          </cell>
          <cell r="H159"/>
          <cell r="I159"/>
          <cell r="J159"/>
          <cell r="K159"/>
          <cell r="L159"/>
          <cell r="M159"/>
          <cell r="N159"/>
          <cell r="O159">
            <v>7015572543</v>
          </cell>
          <cell r="P159" t="str">
            <v>مؤسسة عبدالرحمن سلطان عبدالرحمن الرزيحي للتجارة</v>
          </cell>
          <cell r="Q159" t="str">
            <v>الأندلس</v>
          </cell>
        </row>
        <row r="160">
          <cell r="B160">
            <v>1158</v>
          </cell>
          <cell r="C160">
            <v>2432559835</v>
          </cell>
          <cell r="D160" t="str">
            <v>محمد كوثر</v>
          </cell>
          <cell r="E160" t="str">
            <v>ذكر</v>
          </cell>
          <cell r="F160" t="str">
            <v>بنجلاديش</v>
          </cell>
          <cell r="G160" t="str">
            <v>سائق خاص</v>
          </cell>
          <cell r="H160"/>
          <cell r="I160"/>
          <cell r="J160"/>
          <cell r="K160"/>
          <cell r="L160"/>
          <cell r="M160"/>
          <cell r="N160"/>
          <cell r="O160"/>
          <cell r="P160" t="str">
            <v>تحت التجربة</v>
          </cell>
          <cell r="Q160" t="str">
            <v>المدير العام</v>
          </cell>
        </row>
        <row r="161">
          <cell r="B161">
            <v>1159</v>
          </cell>
          <cell r="C161">
            <v>2499352421</v>
          </cell>
          <cell r="D161" t="str">
            <v>سيف أحمد محسن اليمني</v>
          </cell>
          <cell r="E161" t="str">
            <v>ذكر</v>
          </cell>
          <cell r="F161" t="str">
            <v>اليمن</v>
          </cell>
          <cell r="G161" t="str">
            <v>عامل منزلي</v>
          </cell>
          <cell r="H161"/>
          <cell r="I161"/>
          <cell r="J161"/>
          <cell r="K161"/>
          <cell r="L161"/>
          <cell r="M161"/>
          <cell r="N161"/>
          <cell r="O161"/>
          <cell r="P161" t="str">
            <v>تحت التجربة</v>
          </cell>
          <cell r="Q161" t="str">
            <v>مستودع الغنامية</v>
          </cell>
        </row>
        <row r="162">
          <cell r="B162">
            <v>1160</v>
          </cell>
          <cell r="C162">
            <v>1117342699</v>
          </cell>
          <cell r="D162" t="str">
            <v>غدير راشد محمد السبيعي</v>
          </cell>
          <cell r="E162" t="str">
            <v>أنثى</v>
          </cell>
          <cell r="F162" t="str">
            <v>سعودي</v>
          </cell>
          <cell r="G162" t="str">
            <v>أمين صندوق</v>
          </cell>
          <cell r="H162"/>
          <cell r="I162"/>
          <cell r="J162"/>
          <cell r="K162"/>
          <cell r="L162"/>
          <cell r="M162"/>
          <cell r="N162"/>
          <cell r="O162">
            <v>7015572543</v>
          </cell>
          <cell r="P162" t="str">
            <v>مؤسسة عبدالرحمن سلطان عبدالرحمن الرزيحي للتجارة</v>
          </cell>
          <cell r="Q162" t="str">
            <v>الشفا</v>
          </cell>
        </row>
        <row r="163">
          <cell r="B163">
            <v>1161</v>
          </cell>
          <cell r="C163">
            <v>1115029629</v>
          </cell>
          <cell r="D163" t="str">
            <v>عبدالمجيد محمد عبدالله النمي</v>
          </cell>
          <cell r="E163" t="str">
            <v>ذكر</v>
          </cell>
          <cell r="F163" t="str">
            <v>سعودي</v>
          </cell>
          <cell r="G163" t="str">
            <v>مندوب مشتريات</v>
          </cell>
          <cell r="H163"/>
          <cell r="I163"/>
          <cell r="J163"/>
          <cell r="K163"/>
          <cell r="L163"/>
          <cell r="M163"/>
          <cell r="N163"/>
          <cell r="O163">
            <v>7014477116</v>
          </cell>
          <cell r="P163" t="str">
            <v>شركة ريال البركة للتجارة</v>
          </cell>
          <cell r="Q163" t="str">
            <v>الإدارة</v>
          </cell>
        </row>
        <row r="164">
          <cell r="B164">
            <v>1162</v>
          </cell>
          <cell r="C164">
            <v>1109349900</v>
          </cell>
          <cell r="D164" t="str">
            <v>ريم عبدالرحمن صالح الفنتوخ</v>
          </cell>
          <cell r="E164" t="str">
            <v>أنثى</v>
          </cell>
          <cell r="F164" t="str">
            <v>سعودي</v>
          </cell>
          <cell r="G164" t="str">
            <v>مندوب مبيعات</v>
          </cell>
          <cell r="H164"/>
          <cell r="I164"/>
          <cell r="J164"/>
          <cell r="K164"/>
          <cell r="L164"/>
          <cell r="M164"/>
          <cell r="N164"/>
          <cell r="O164">
            <v>7026482336</v>
          </cell>
          <cell r="P164" t="str">
            <v>شركة أدفان للصناعة ( شركة شخص واحد )</v>
          </cell>
          <cell r="Q164" t="str">
            <v>ورشة أثاث</v>
          </cell>
        </row>
        <row r="165">
          <cell r="B165">
            <v>1163</v>
          </cell>
          <cell r="C165">
            <v>1048011967</v>
          </cell>
          <cell r="D165" t="str">
            <v>لطيفه عبدالله عبدالرحمن رشيد</v>
          </cell>
          <cell r="E165" t="str">
            <v>أنثى</v>
          </cell>
          <cell r="F165" t="str">
            <v>سعودي</v>
          </cell>
          <cell r="G165" t="str">
            <v>مندوب مشتريات</v>
          </cell>
          <cell r="H165"/>
          <cell r="I165"/>
          <cell r="J165"/>
          <cell r="K165"/>
          <cell r="L165"/>
          <cell r="M165"/>
          <cell r="N165"/>
          <cell r="O165">
            <v>7014477116</v>
          </cell>
          <cell r="P165" t="str">
            <v>شركة ريال البركة للتجارة</v>
          </cell>
          <cell r="Q165" t="str">
            <v>الإدارة</v>
          </cell>
        </row>
        <row r="166">
          <cell r="B166">
            <v>1164</v>
          </cell>
          <cell r="C166">
            <v>1107266452</v>
          </cell>
          <cell r="D166" t="str">
            <v>جيهان عبد ماطر المطيري</v>
          </cell>
          <cell r="E166" t="str">
            <v>أنثى</v>
          </cell>
          <cell r="F166" t="str">
            <v>سعودي</v>
          </cell>
          <cell r="G166" t="str">
            <v>أمين صندوق</v>
          </cell>
          <cell r="H166"/>
          <cell r="I166"/>
          <cell r="J166"/>
          <cell r="K166"/>
          <cell r="L166"/>
          <cell r="M166"/>
          <cell r="N166"/>
          <cell r="O166">
            <v>7015572543</v>
          </cell>
          <cell r="P166" t="str">
            <v>مؤسسة عبدالرحمن سلطان عبدالرحمن الرزيحي للتجارة</v>
          </cell>
          <cell r="Q166" t="str">
            <v>لبن</v>
          </cell>
        </row>
        <row r="167">
          <cell r="B167">
            <v>1165</v>
          </cell>
          <cell r="C167">
            <v>1123245985</v>
          </cell>
          <cell r="D167" t="str">
            <v>رفاه ماطر علي اليامي</v>
          </cell>
          <cell r="E167" t="str">
            <v>أنثى</v>
          </cell>
          <cell r="F167" t="str">
            <v>سعودي</v>
          </cell>
          <cell r="G167" t="str">
            <v>أمين صندوق</v>
          </cell>
          <cell r="H167"/>
          <cell r="I167"/>
          <cell r="J167"/>
          <cell r="K167"/>
          <cell r="L167"/>
          <cell r="M167"/>
          <cell r="N167"/>
          <cell r="O167">
            <v>7014477116</v>
          </cell>
          <cell r="P167" t="str">
            <v>شركة ريال البركة للتجارة</v>
          </cell>
          <cell r="Q167" t="str">
            <v>الدائري الغربي</v>
          </cell>
        </row>
        <row r="168">
          <cell r="B168">
            <v>1166</v>
          </cell>
          <cell r="C168">
            <v>2515596159</v>
          </cell>
          <cell r="D168" t="str">
            <v>MURSALIN MD SHOFIQUL ISLAM</v>
          </cell>
          <cell r="E168" t="str">
            <v>ذكر</v>
          </cell>
          <cell r="F168" t="str">
            <v>بنجلاديش</v>
          </cell>
          <cell r="G168" t="str">
            <v>عامل تعبئة وتغليف</v>
          </cell>
          <cell r="H168" t="str">
            <v>A02081039</v>
          </cell>
          <cell r="I168" t="str">
            <v>2026-10-23</v>
          </cell>
          <cell r="J168" t="str">
            <v>2022-03-31</v>
          </cell>
          <cell r="K168" t="str">
            <v>2022-08-18</v>
          </cell>
          <cell r="L168" t="str">
            <v>1999-01-02</v>
          </cell>
          <cell r="M168" t="str">
            <v>لا</v>
          </cell>
          <cell r="N168" t="str">
            <v>1444-01-20</v>
          </cell>
          <cell r="O168">
            <v>7014477116</v>
          </cell>
          <cell r="P168" t="str">
            <v>شركة ريال البركة للتجارة</v>
          </cell>
          <cell r="Q168" t="str">
            <v>النسيم</v>
          </cell>
        </row>
        <row r="169">
          <cell r="B169">
            <v>1167</v>
          </cell>
          <cell r="C169">
            <v>2516201304</v>
          </cell>
          <cell r="D169" t="str">
            <v>حمزه قايد غالب المليكي</v>
          </cell>
          <cell r="E169" t="str">
            <v>ذكر</v>
          </cell>
          <cell r="F169" t="str">
            <v>اليمن</v>
          </cell>
          <cell r="G169" t="str">
            <v>عامل تعبئة رفوف</v>
          </cell>
          <cell r="H169">
            <v>9653029</v>
          </cell>
          <cell r="I169">
            <v>46295</v>
          </cell>
          <cell r="J169" t="str">
            <v>1443/09/04</v>
          </cell>
          <cell r="K169">
            <v>44977</v>
          </cell>
          <cell r="L169">
            <v>36370</v>
          </cell>
          <cell r="M169" t="str">
            <v>لا</v>
          </cell>
          <cell r="N169" t="str">
            <v>1444/07/29</v>
          </cell>
          <cell r="O169">
            <v>7015572543</v>
          </cell>
          <cell r="P169" t="str">
            <v>مؤسسة عبدالرحمن سلطان عبدالرحمن الرزيحي للتجارة</v>
          </cell>
          <cell r="Q169" t="str">
            <v>لبن</v>
          </cell>
        </row>
        <row r="170">
          <cell r="B170">
            <v>1168</v>
          </cell>
          <cell r="C170">
            <v>2517041469</v>
          </cell>
          <cell r="D170" t="str">
            <v>ليون مياه</v>
          </cell>
          <cell r="E170" t="str">
            <v>ذكر</v>
          </cell>
          <cell r="F170" t="str">
            <v>بنجلاديش</v>
          </cell>
          <cell r="G170" t="str">
            <v>عامل عادي</v>
          </cell>
          <cell r="H170"/>
          <cell r="I170"/>
          <cell r="J170"/>
          <cell r="K170">
            <v>44842</v>
          </cell>
          <cell r="L170">
            <v>36542</v>
          </cell>
          <cell r="M170"/>
          <cell r="N170"/>
          <cell r="O170">
            <v>7009073037</v>
          </cell>
          <cell r="P170" t="str">
            <v>مؤسسة سلطان عبدالرحمن صالح الرزيحي للتجارة</v>
          </cell>
          <cell r="Q170" t="str">
            <v>هاينس</v>
          </cell>
        </row>
        <row r="171">
          <cell r="B171">
            <v>1169</v>
          </cell>
          <cell r="C171">
            <v>2515528798</v>
          </cell>
          <cell r="D171" t="str">
            <v>مد راسل</v>
          </cell>
          <cell r="E171" t="str">
            <v>ذكر</v>
          </cell>
          <cell r="F171" t="str">
            <v>بنجلاديش</v>
          </cell>
          <cell r="G171" t="str">
            <v>عامل عادي</v>
          </cell>
          <cell r="H171"/>
          <cell r="I171"/>
          <cell r="J171"/>
          <cell r="K171"/>
          <cell r="L171"/>
          <cell r="M171"/>
          <cell r="N171"/>
          <cell r="O171">
            <v>7009073037</v>
          </cell>
          <cell r="P171" t="str">
            <v>مؤسسة سلطان عبدالرحمن صالح الرزيحي للتجارة</v>
          </cell>
          <cell r="Q171" t="str">
            <v>هاينس</v>
          </cell>
        </row>
        <row r="172">
          <cell r="B172">
            <v>1170</v>
          </cell>
          <cell r="C172">
            <v>2499273106</v>
          </cell>
          <cell r="D172" t="str">
            <v>ياسين عرفات</v>
          </cell>
          <cell r="E172" t="str">
            <v>ذكر</v>
          </cell>
          <cell r="F172" t="str">
            <v>بنجلاديش</v>
          </cell>
          <cell r="G172" t="str">
            <v>عامل</v>
          </cell>
          <cell r="H172"/>
          <cell r="I172"/>
          <cell r="J172"/>
          <cell r="K172">
            <v>44824</v>
          </cell>
          <cell r="L172">
            <v>35837</v>
          </cell>
          <cell r="M172"/>
          <cell r="N172"/>
          <cell r="O172">
            <v>7009073037</v>
          </cell>
          <cell r="P172" t="str">
            <v>مؤسسة سلطان عبدالرحمن صالح الرزيحي للتجارة</v>
          </cell>
          <cell r="Q172" t="str">
            <v>هاينس</v>
          </cell>
        </row>
        <row r="173">
          <cell r="B173">
            <v>1171</v>
          </cell>
          <cell r="C173">
            <v>2524334816</v>
          </cell>
          <cell r="D173" t="str">
            <v>صفايات حسين</v>
          </cell>
          <cell r="E173" t="str">
            <v>ذكر</v>
          </cell>
          <cell r="F173" t="str">
            <v>بنجلاديش</v>
          </cell>
          <cell r="G173" t="str">
            <v>عامل</v>
          </cell>
          <cell r="H173"/>
          <cell r="I173"/>
          <cell r="J173"/>
          <cell r="K173">
            <v>44927</v>
          </cell>
          <cell r="L173"/>
          <cell r="M173"/>
          <cell r="N173"/>
          <cell r="O173">
            <v>7009073037</v>
          </cell>
          <cell r="P173" t="str">
            <v>مؤسسة سلطان عبدالرحمن صالح الرزيحي للتجارة</v>
          </cell>
          <cell r="Q173" t="str">
            <v>هاينس</v>
          </cell>
        </row>
        <row r="174">
          <cell r="B174">
            <v>1172</v>
          </cell>
          <cell r="C174">
            <v>1118210655</v>
          </cell>
          <cell r="D174" t="str">
            <v>نجود محمد جبران سفياني</v>
          </cell>
          <cell r="E174" t="str">
            <v>أنثى</v>
          </cell>
          <cell r="F174" t="str">
            <v>سعودي</v>
          </cell>
          <cell r="G174" t="str">
            <v>أمين صندوق</v>
          </cell>
          <cell r="H174"/>
          <cell r="I174"/>
          <cell r="J174"/>
          <cell r="K174"/>
          <cell r="L174"/>
          <cell r="M174"/>
          <cell r="N174"/>
          <cell r="O174">
            <v>7014477116</v>
          </cell>
          <cell r="P174" t="str">
            <v>شركة ريال البركة للتجارة</v>
          </cell>
          <cell r="Q174" t="str">
            <v>الدائري الغربي</v>
          </cell>
        </row>
        <row r="175">
          <cell r="B175">
            <v>1173</v>
          </cell>
          <cell r="C175">
            <v>2516038847</v>
          </cell>
          <cell r="D175" t="str">
            <v>اسامه عبدالقوي محسن احمد القاضي</v>
          </cell>
          <cell r="E175" t="str">
            <v>ذكر</v>
          </cell>
          <cell r="F175" t="str">
            <v>اليمن</v>
          </cell>
          <cell r="G175" t="str">
            <v>عامل مخزن</v>
          </cell>
          <cell r="H175" t="str">
            <v>08841715</v>
          </cell>
          <cell r="I175" t="str">
            <v>2025-11-11</v>
          </cell>
          <cell r="J175" t="str">
            <v>2022-04-04</v>
          </cell>
          <cell r="K175" t="str">
            <v>2022-09-17</v>
          </cell>
          <cell r="L175" t="str">
            <v>1998-01-01</v>
          </cell>
          <cell r="M175" t="str">
            <v>لا</v>
          </cell>
          <cell r="N175" t="str">
            <v>1444-02-21</v>
          </cell>
          <cell r="O175">
            <v>7009073037</v>
          </cell>
          <cell r="P175" t="str">
            <v>مؤسسة سلطان عبدالرحمن صالح الرزيحي للتجارة</v>
          </cell>
          <cell r="Q175" t="str">
            <v>مستودع جملة سلطان</v>
          </cell>
        </row>
        <row r="176">
          <cell r="B176">
            <v>1174</v>
          </cell>
          <cell r="C176">
            <v>1106435751</v>
          </cell>
          <cell r="D176" t="str">
            <v>وجدان محمود صالح ال كاظم</v>
          </cell>
          <cell r="E176" t="str">
            <v>أنثى</v>
          </cell>
          <cell r="F176" t="str">
            <v>سعودي</v>
          </cell>
          <cell r="G176" t="str">
            <v>أمين صندوق</v>
          </cell>
          <cell r="H176"/>
          <cell r="I176"/>
          <cell r="J176"/>
          <cell r="K176"/>
          <cell r="L176"/>
          <cell r="M176"/>
          <cell r="N176"/>
          <cell r="O176">
            <v>7014477116</v>
          </cell>
          <cell r="P176" t="str">
            <v>شركة ريال البركة للتجارة</v>
          </cell>
          <cell r="Q176" t="str">
            <v>العنود</v>
          </cell>
        </row>
        <row r="177">
          <cell r="B177">
            <v>1175</v>
          </cell>
          <cell r="C177">
            <v>1114305970</v>
          </cell>
          <cell r="D177" t="str">
            <v>فارس الدخيل</v>
          </cell>
          <cell r="E177" t="str">
            <v>ذكر</v>
          </cell>
          <cell r="F177" t="str">
            <v>سعودي</v>
          </cell>
          <cell r="G177" t="str">
            <v>أمين صندوق</v>
          </cell>
          <cell r="H177"/>
          <cell r="I177"/>
          <cell r="J177"/>
          <cell r="K177"/>
          <cell r="L177"/>
          <cell r="M177"/>
          <cell r="N177"/>
          <cell r="O177">
            <v>7004853987</v>
          </cell>
          <cell r="P177" t="str">
            <v>مؤسسة زاوية ريال بركة للكماليات</v>
          </cell>
          <cell r="Q177" t="str">
            <v>اليرموك</v>
          </cell>
        </row>
        <row r="178">
          <cell r="B178">
            <v>1176</v>
          </cell>
          <cell r="C178">
            <v>2508671605</v>
          </cell>
          <cell r="D178" t="str">
            <v>سويل كمال أوسين</v>
          </cell>
          <cell r="E178" t="str">
            <v>ذكر</v>
          </cell>
          <cell r="F178" t="str">
            <v>بنجلاديش</v>
          </cell>
          <cell r="G178" t="str">
            <v>عامل عادي</v>
          </cell>
          <cell r="H178"/>
          <cell r="I178"/>
          <cell r="J178"/>
          <cell r="K178"/>
          <cell r="L178"/>
          <cell r="M178"/>
          <cell r="N178"/>
          <cell r="O178">
            <v>7014477116</v>
          </cell>
          <cell r="P178" t="str">
            <v>شركة ريال البركة للتجارة</v>
          </cell>
          <cell r="Q178" t="str">
            <v>العنود</v>
          </cell>
        </row>
        <row r="179">
          <cell r="B179">
            <v>1177</v>
          </cell>
          <cell r="C179">
            <v>2506547484</v>
          </cell>
          <cell r="D179" t="str">
            <v>محفوظ ال رحمان</v>
          </cell>
          <cell r="E179" t="str">
            <v>ذكر</v>
          </cell>
          <cell r="F179" t="str">
            <v>بنجلاديش</v>
          </cell>
          <cell r="G179" t="str">
            <v>عامل</v>
          </cell>
          <cell r="H179"/>
          <cell r="I179"/>
          <cell r="J179"/>
          <cell r="K179">
            <v>44730</v>
          </cell>
          <cell r="L179"/>
          <cell r="M179"/>
          <cell r="N179"/>
          <cell r="O179"/>
          <cell r="P179" t="str">
            <v>مؤسسة سلطان عبدالرحمن صالح الرزيحي للتجارة</v>
          </cell>
          <cell r="Q179" t="str">
            <v>هاينس</v>
          </cell>
        </row>
        <row r="180">
          <cell r="B180">
            <v>1178</v>
          </cell>
          <cell r="C180">
            <v>2508510282</v>
          </cell>
          <cell r="D180" t="str">
            <v>محمد حمود محمد علي الراعي</v>
          </cell>
          <cell r="E180" t="str">
            <v>ذكر</v>
          </cell>
          <cell r="F180" t="str">
            <v>اليمن</v>
          </cell>
          <cell r="G180" t="str">
            <v>سائق شاحنة صغيرة</v>
          </cell>
          <cell r="H180" t="str">
            <v>10428783</v>
          </cell>
          <cell r="I180" t="str">
            <v>2027-09-29</v>
          </cell>
          <cell r="J180" t="str">
            <v>2022-01-15</v>
          </cell>
          <cell r="K180" t="str">
            <v>2022-07-09</v>
          </cell>
          <cell r="L180" t="str">
            <v>1997-06-03</v>
          </cell>
          <cell r="M180" t="str">
            <v>لا</v>
          </cell>
          <cell r="N180" t="str">
            <v>1443-12-10</v>
          </cell>
          <cell r="O180">
            <v>7014477116</v>
          </cell>
          <cell r="P180" t="str">
            <v>شركة ريال البركة للتجارة</v>
          </cell>
          <cell r="Q180" t="str">
            <v>جملة ريال البركة</v>
          </cell>
        </row>
        <row r="181">
          <cell r="B181">
            <v>1179</v>
          </cell>
          <cell r="C181">
            <v>1120032790</v>
          </cell>
          <cell r="D181" t="str">
            <v>عبد المجيد الدخيل</v>
          </cell>
          <cell r="E181" t="str">
            <v>ذكر</v>
          </cell>
          <cell r="F181" t="str">
            <v>سعودي</v>
          </cell>
          <cell r="G181" t="str">
            <v>أمين صندوق</v>
          </cell>
          <cell r="H181"/>
          <cell r="I181"/>
          <cell r="J181"/>
          <cell r="K181"/>
          <cell r="L181"/>
          <cell r="M181"/>
          <cell r="N181"/>
          <cell r="O181">
            <v>7004853987</v>
          </cell>
          <cell r="P181" t="str">
            <v>مؤسسة زاوية ريال بركة للكماليات</v>
          </cell>
          <cell r="Q181" t="str">
            <v>المصيف</v>
          </cell>
        </row>
        <row r="182">
          <cell r="B182">
            <v>1180</v>
          </cell>
          <cell r="C182">
            <v>1123833046</v>
          </cell>
          <cell r="D182" t="str">
            <v>محمد عبدالعزيز علي المحيمد</v>
          </cell>
          <cell r="E182" t="str">
            <v>ذكر</v>
          </cell>
          <cell r="F182" t="str">
            <v>سعودي</v>
          </cell>
          <cell r="G182" t="str">
            <v>أمين صندوق</v>
          </cell>
          <cell r="H182"/>
          <cell r="I182"/>
          <cell r="J182"/>
          <cell r="K182"/>
          <cell r="L182"/>
          <cell r="M182"/>
          <cell r="N182"/>
          <cell r="O182">
            <v>7014477116</v>
          </cell>
          <cell r="P182" t="str">
            <v>شركة ريال البركة للتجارة</v>
          </cell>
          <cell r="Q182" t="str">
            <v>النسيم</v>
          </cell>
        </row>
        <row r="183">
          <cell r="B183">
            <v>1181</v>
          </cell>
          <cell r="C183">
            <v>2375402035</v>
          </cell>
          <cell r="D183" t="str">
            <v>أحمد سليمان محمد عبد المنعم</v>
          </cell>
          <cell r="E183" t="str">
            <v>ذكر</v>
          </cell>
          <cell r="F183" t="str">
            <v>مصر</v>
          </cell>
          <cell r="G183" t="str">
            <v>نجار مباني عام</v>
          </cell>
          <cell r="H183"/>
          <cell r="I183"/>
          <cell r="J183"/>
          <cell r="K183"/>
          <cell r="L183">
            <v>30964</v>
          </cell>
          <cell r="M183" t="str">
            <v>لا</v>
          </cell>
          <cell r="N183">
            <v>45169</v>
          </cell>
          <cell r="O183">
            <v>7021202564</v>
          </cell>
          <cell r="P183" t="str">
            <v>مصنع سلطان عبدالرحمن صالح الرزيحي للمنتجات الورقية</v>
          </cell>
          <cell r="Q183" t="str">
            <v>وكالة ممكن</v>
          </cell>
        </row>
        <row r="184">
          <cell r="B184">
            <v>1182</v>
          </cell>
          <cell r="C184">
            <v>2438036549</v>
          </cell>
          <cell r="D184" t="str">
            <v>مد زكريا مد ربي الله</v>
          </cell>
          <cell r="E184" t="str">
            <v>ذكر</v>
          </cell>
          <cell r="F184" t="str">
            <v>بنجلاديش</v>
          </cell>
          <cell r="G184" t="str">
            <v>عامل منزلي</v>
          </cell>
          <cell r="H184"/>
          <cell r="I184"/>
          <cell r="J184"/>
          <cell r="K184"/>
          <cell r="L184"/>
          <cell r="M184"/>
          <cell r="N184"/>
          <cell r="O184"/>
          <cell r="P184" t="str">
            <v>شركة ريال البركة للتجارة</v>
          </cell>
          <cell r="Q184" t="str">
            <v>الدائري الغربي</v>
          </cell>
        </row>
        <row r="185">
          <cell r="B185">
            <v>1183</v>
          </cell>
          <cell r="C185">
            <v>2525764342</v>
          </cell>
          <cell r="D185" t="str">
            <v>زكرياء تعلي</v>
          </cell>
          <cell r="E185" t="str">
            <v>ذكر</v>
          </cell>
          <cell r="F185" t="str">
            <v>المغرب</v>
          </cell>
          <cell r="G185" t="str">
            <v>صانع حلوي</v>
          </cell>
          <cell r="H185" t="str">
            <v>WT2459704</v>
          </cell>
          <cell r="I185">
            <v>45202</v>
          </cell>
          <cell r="J185"/>
          <cell r="K185"/>
          <cell r="L185">
            <v>35738</v>
          </cell>
          <cell r="M185"/>
          <cell r="N185"/>
          <cell r="O185">
            <v>7015572543</v>
          </cell>
          <cell r="P185" t="str">
            <v>مؤسسة سلطان عبدالرحمن صالح الرزيحي للتجارة</v>
          </cell>
          <cell r="Q185" t="str">
            <v>هاينس</v>
          </cell>
        </row>
        <row r="186">
          <cell r="B186">
            <v>1184</v>
          </cell>
          <cell r="C186">
            <v>2517808057</v>
          </cell>
          <cell r="D186" t="str">
            <v>يوسف ناجي حزام فازع</v>
          </cell>
          <cell r="E186" t="str">
            <v>ذكر</v>
          </cell>
          <cell r="F186" t="str">
            <v>اليمن</v>
          </cell>
          <cell r="G186" t="str">
            <v>عامل عادي</v>
          </cell>
          <cell r="H186" t="str">
            <v>09978841</v>
          </cell>
          <cell r="I186">
            <v>46531</v>
          </cell>
          <cell r="J186"/>
          <cell r="K186"/>
          <cell r="L186">
            <v>35982</v>
          </cell>
          <cell r="M186"/>
          <cell r="N186"/>
          <cell r="O186">
            <v>7021202564</v>
          </cell>
          <cell r="P186" t="str">
            <v>مصنع سلطان عبدالرحمن صالح الرزيحي للمنتجات الورقية</v>
          </cell>
          <cell r="Q186" t="str">
            <v>وكالة ممكن</v>
          </cell>
        </row>
        <row r="187">
          <cell r="B187">
            <v>1185</v>
          </cell>
          <cell r="C187">
            <v>2484780040</v>
          </cell>
          <cell r="D187" t="str">
            <v>سيف الدين مصطفي معوض محمد</v>
          </cell>
          <cell r="E187" t="str">
            <v>ذكر</v>
          </cell>
          <cell r="F187" t="str">
            <v>مصر</v>
          </cell>
          <cell r="G187" t="str">
            <v>سائق خاص</v>
          </cell>
          <cell r="H187"/>
          <cell r="I187"/>
          <cell r="J187"/>
          <cell r="K187"/>
          <cell r="L187">
            <v>34941</v>
          </cell>
          <cell r="M187"/>
          <cell r="N187"/>
          <cell r="O187">
            <v>7021202564</v>
          </cell>
          <cell r="P187" t="str">
            <v>مصنع سلطان عبدالرحمن صالح الرزيحي للمنتجات الورقية</v>
          </cell>
          <cell r="Q187" t="str">
            <v>وكالة ممكن</v>
          </cell>
        </row>
        <row r="188">
          <cell r="B188">
            <v>1186</v>
          </cell>
          <cell r="C188">
            <v>2493363184</v>
          </cell>
          <cell r="D188" t="str">
            <v>ميد أنعام ال حقي</v>
          </cell>
          <cell r="E188" t="str">
            <v>ذكر</v>
          </cell>
          <cell r="F188" t="str">
            <v>بنجلاديش</v>
          </cell>
          <cell r="G188" t="str">
            <v>عامل عادي</v>
          </cell>
          <cell r="H188"/>
          <cell r="I188"/>
          <cell r="J188"/>
          <cell r="K188">
            <v>44629</v>
          </cell>
          <cell r="L188">
            <v>32212</v>
          </cell>
          <cell r="M188"/>
          <cell r="N188"/>
          <cell r="O188">
            <v>7009073037</v>
          </cell>
          <cell r="P188" t="str">
            <v>مؤسسة سلطان عبدالرحمن صالح الرزيحي للتجارة</v>
          </cell>
          <cell r="Q188" t="str">
            <v>هاينس</v>
          </cell>
        </row>
        <row r="189">
          <cell r="B189">
            <v>1187</v>
          </cell>
          <cell r="C189">
            <v>2516497266</v>
          </cell>
          <cell r="D189" t="str">
            <v>مد إبراهيم هارون رشيد</v>
          </cell>
          <cell r="E189" t="str">
            <v>ذكر</v>
          </cell>
          <cell r="F189" t="str">
            <v>بنجلاديش</v>
          </cell>
          <cell r="G189" t="str">
            <v>عامل عادي</v>
          </cell>
          <cell r="H189"/>
          <cell r="I189"/>
          <cell r="J189"/>
          <cell r="K189">
            <v>44820</v>
          </cell>
          <cell r="L189">
            <v>36587</v>
          </cell>
          <cell r="M189"/>
          <cell r="N189"/>
          <cell r="O189">
            <v>7009073037</v>
          </cell>
          <cell r="P189" t="str">
            <v>مؤسسة سلطان عبدالرحمن صالح الرزيحي للتجارة</v>
          </cell>
          <cell r="Q189" t="str">
            <v>هاينس</v>
          </cell>
        </row>
        <row r="190">
          <cell r="B190">
            <v>1188</v>
          </cell>
          <cell r="C190">
            <v>2508788656</v>
          </cell>
          <cell r="D190" t="str">
            <v>نازميل حسين حسين حسين</v>
          </cell>
          <cell r="E190" t="str">
            <v>ذكر</v>
          </cell>
          <cell r="F190" t="str">
            <v>بنجلاديش</v>
          </cell>
          <cell r="G190" t="str">
            <v>عامل عادي</v>
          </cell>
          <cell r="H190"/>
          <cell r="I190"/>
          <cell r="J190"/>
          <cell r="K190"/>
          <cell r="L190"/>
          <cell r="M190"/>
          <cell r="N190"/>
          <cell r="O190">
            <v>7009073037</v>
          </cell>
          <cell r="P190" t="str">
            <v>مؤسسة سلطان عبدالرحمن صالح الرزيحي للتجارة</v>
          </cell>
          <cell r="Q190" t="str">
            <v>جملة ريال البركة</v>
          </cell>
        </row>
        <row r="191">
          <cell r="B191">
            <v>1189</v>
          </cell>
          <cell r="C191">
            <v>1105768467</v>
          </cell>
          <cell r="D191" t="str">
            <v>مصعب سلطان عبدالرحمن الرزيحي</v>
          </cell>
          <cell r="E191" t="str">
            <v>ذكر</v>
          </cell>
          <cell r="F191" t="str">
            <v>سعودي</v>
          </cell>
          <cell r="G191" t="str">
            <v>عن بعد</v>
          </cell>
          <cell r="H191"/>
          <cell r="I191"/>
          <cell r="J191"/>
          <cell r="K191"/>
          <cell r="L191"/>
          <cell r="M191"/>
          <cell r="N191"/>
          <cell r="O191"/>
          <cell r="P191" t="str">
            <v>عن بعد</v>
          </cell>
          <cell r="Q191" t="str">
            <v>المالك</v>
          </cell>
        </row>
        <row r="192">
          <cell r="B192">
            <v>1190</v>
          </cell>
          <cell r="C192">
            <v>2503409639</v>
          </cell>
          <cell r="D192" t="str">
            <v>منصور آيت بنكوهية</v>
          </cell>
          <cell r="E192" t="str">
            <v>ذكر</v>
          </cell>
          <cell r="F192" t="str">
            <v>المغرب</v>
          </cell>
          <cell r="G192"/>
          <cell r="H192"/>
          <cell r="I192"/>
          <cell r="J192"/>
          <cell r="K192"/>
          <cell r="L192"/>
          <cell r="M192"/>
          <cell r="N192"/>
          <cell r="O192"/>
          <cell r="P192" t="str">
            <v>تحت التجربة</v>
          </cell>
          <cell r="Q192" t="str">
            <v>هاينس</v>
          </cell>
        </row>
        <row r="193">
          <cell r="B193">
            <v>1191</v>
          </cell>
          <cell r="C193">
            <v>2487151835</v>
          </cell>
          <cell r="D193" t="str">
            <v>JASHIM UDDIN</v>
          </cell>
          <cell r="E193" t="str">
            <v>ذكر</v>
          </cell>
          <cell r="F193" t="str">
            <v>بنجلاديش</v>
          </cell>
          <cell r="G193" t="str">
            <v>سائق خاص</v>
          </cell>
          <cell r="H193" t="str">
            <v>EE0391805</v>
          </cell>
          <cell r="I193" t="str">
            <v>2024-10-26</v>
          </cell>
          <cell r="J193" t="str">
            <v>2020-03-08</v>
          </cell>
          <cell r="K193" t="str">
            <v>2023-03-07</v>
          </cell>
          <cell r="L193" t="str">
            <v>1978-06-15</v>
          </cell>
          <cell r="M193" t="str">
            <v>لا</v>
          </cell>
          <cell r="N193" t="str">
            <v>1444-08-15</v>
          </cell>
          <cell r="O193">
            <v>1023619636</v>
          </cell>
          <cell r="P193" t="str">
            <v xml:space="preserve">سلطان عبدالرحمن صالح الرزيحي </v>
          </cell>
          <cell r="Q193" t="str">
            <v>المالك</v>
          </cell>
        </row>
        <row r="194">
          <cell r="B194">
            <v>1192</v>
          </cell>
          <cell r="C194">
            <v>2502373844</v>
          </cell>
          <cell r="D194" t="str">
            <v>JENNYLYN PAMISA VISORDE</v>
          </cell>
          <cell r="E194" t="str">
            <v>أنثى</v>
          </cell>
          <cell r="F194" t="str">
            <v>الفلبين</v>
          </cell>
          <cell r="G194" t="str">
            <v>عاملة منزلية</v>
          </cell>
          <cell r="H194" t="str">
            <v>P3716846B</v>
          </cell>
          <cell r="I194" t="str">
            <v>2029-10-31</v>
          </cell>
          <cell r="J194" t="str">
            <v>2021-10-07</v>
          </cell>
          <cell r="K194" t="str">
            <v>2022-11-27</v>
          </cell>
          <cell r="L194" t="str">
            <v>1992-05-16</v>
          </cell>
          <cell r="M194" t="str">
            <v>لا</v>
          </cell>
          <cell r="N194" t="str">
            <v>1444-05-03</v>
          </cell>
          <cell r="O194">
            <v>1023619636</v>
          </cell>
          <cell r="P194" t="str">
            <v xml:space="preserve">سلطان عبدالرحمن صالح الرزيحي </v>
          </cell>
          <cell r="Q194" t="str">
            <v>المالك</v>
          </cell>
        </row>
        <row r="195">
          <cell r="B195">
            <v>1193</v>
          </cell>
          <cell r="C195">
            <v>2524767692</v>
          </cell>
          <cell r="D195" t="str">
            <v>طارق محمد محمد علوان الخضر</v>
          </cell>
          <cell r="E195" t="str">
            <v>ذكر</v>
          </cell>
          <cell r="F195" t="str">
            <v>اليمن</v>
          </cell>
          <cell r="G195" t="str">
            <v>عامل عادي</v>
          </cell>
          <cell r="H195"/>
          <cell r="I195"/>
          <cell r="J195">
            <v>44880</v>
          </cell>
          <cell r="K195"/>
          <cell r="L195"/>
          <cell r="M195"/>
          <cell r="N195"/>
          <cell r="O195">
            <v>7026482336</v>
          </cell>
          <cell r="P195" t="str">
            <v>شركة أدفان للصناعة ( شركة شخص واحد )</v>
          </cell>
          <cell r="Q195" t="str">
            <v>ورشة أثاث</v>
          </cell>
        </row>
        <row r="196">
          <cell r="B196">
            <v>1194</v>
          </cell>
          <cell r="C196">
            <v>1109408854</v>
          </cell>
          <cell r="D196" t="str">
            <v>محمد عبدالله سعد آل مرعي الشهري</v>
          </cell>
          <cell r="E196" t="str">
            <v>ذكر</v>
          </cell>
          <cell r="F196" t="str">
            <v>سعودي</v>
          </cell>
          <cell r="G196"/>
          <cell r="H196"/>
          <cell r="I196"/>
          <cell r="J196"/>
          <cell r="K196"/>
          <cell r="L196"/>
          <cell r="M196"/>
          <cell r="N196"/>
          <cell r="O196"/>
          <cell r="P196" t="str">
            <v>مؤسسة سلطان عبدالرحمن صالح الرزيحي للتجارة</v>
          </cell>
          <cell r="Q196" t="str">
            <v>هاينس</v>
          </cell>
        </row>
        <row r="197">
          <cell r="B197">
            <v>1195</v>
          </cell>
          <cell r="C197">
            <v>1115522581</v>
          </cell>
          <cell r="D197" t="str">
            <v>فهد محمد نايف الميموني المطيري</v>
          </cell>
          <cell r="E197" t="str">
            <v>ذكر</v>
          </cell>
          <cell r="F197" t="str">
            <v>سعودي</v>
          </cell>
          <cell r="G197" t="str">
            <v>بائع مؤكولات ومشروبات</v>
          </cell>
          <cell r="H197"/>
          <cell r="I197"/>
          <cell r="J197"/>
          <cell r="K197"/>
          <cell r="L197"/>
          <cell r="M197"/>
          <cell r="N197"/>
          <cell r="O197">
            <v>7009073037</v>
          </cell>
          <cell r="P197" t="str">
            <v>مؤسسة سلطان عبدالرحمن صالح الرزيحي للتجارة</v>
          </cell>
          <cell r="Q197" t="str">
            <v>هاينس</v>
          </cell>
        </row>
        <row r="198">
          <cell r="B198">
            <v>1196</v>
          </cell>
          <cell r="C198">
            <v>1108766666</v>
          </cell>
          <cell r="D198" t="str">
            <v>عبد الله عبد العزيز محمد السويح</v>
          </cell>
          <cell r="E198" t="str">
            <v>ذكر</v>
          </cell>
          <cell r="F198" t="str">
            <v>سعودي</v>
          </cell>
          <cell r="G198" t="str">
            <v>بائع مؤكولات ومشروبات</v>
          </cell>
          <cell r="H198"/>
          <cell r="I198"/>
          <cell r="J198"/>
          <cell r="K198"/>
          <cell r="L198"/>
          <cell r="M198"/>
          <cell r="N198"/>
          <cell r="O198">
            <v>7009073037</v>
          </cell>
          <cell r="P198" t="str">
            <v>مؤسسة سلطان عبدالرحمن صالح الرزيحي للتجارة</v>
          </cell>
          <cell r="Q198" t="str">
            <v>هاينس</v>
          </cell>
        </row>
        <row r="199">
          <cell r="B199">
            <v>1197</v>
          </cell>
          <cell r="C199">
            <v>1118122355</v>
          </cell>
          <cell r="D199" t="str">
            <v>محمد مطلق نائف النفيعي العتيبي</v>
          </cell>
          <cell r="E199" t="str">
            <v>ذكر</v>
          </cell>
          <cell r="F199" t="str">
            <v>سعودي</v>
          </cell>
          <cell r="G199" t="str">
            <v>بائع مؤكولات ومشروبات</v>
          </cell>
          <cell r="H199"/>
          <cell r="I199"/>
          <cell r="J199"/>
          <cell r="K199"/>
          <cell r="L199"/>
          <cell r="M199"/>
          <cell r="N199"/>
          <cell r="O199">
            <v>7009073037</v>
          </cell>
          <cell r="P199" t="str">
            <v>مؤسسة سلطان عبدالرحمن صالح الرزيحي للتجارة</v>
          </cell>
          <cell r="Q199" t="str">
            <v>هاينس</v>
          </cell>
        </row>
        <row r="200">
          <cell r="B200">
            <v>1198</v>
          </cell>
          <cell r="C200">
            <v>1111126049</v>
          </cell>
          <cell r="D200" t="str">
            <v>عبد المجيد هاني سعد الهباد</v>
          </cell>
          <cell r="E200" t="str">
            <v>ذكر</v>
          </cell>
          <cell r="F200" t="str">
            <v>سعودي</v>
          </cell>
          <cell r="G200" t="str">
            <v>بائع مؤكولات ومشروبات</v>
          </cell>
          <cell r="H200"/>
          <cell r="I200"/>
          <cell r="J200"/>
          <cell r="K200"/>
          <cell r="L200"/>
          <cell r="M200"/>
          <cell r="N200"/>
          <cell r="O200">
            <v>7009073037</v>
          </cell>
          <cell r="P200" t="str">
            <v>مؤسسة سلطان عبدالرحمن صالح الرزيحي للتجارة</v>
          </cell>
          <cell r="Q200" t="str">
            <v>هاينس</v>
          </cell>
        </row>
        <row r="201">
          <cell r="B201">
            <v>1199</v>
          </cell>
          <cell r="C201">
            <v>1115727578</v>
          </cell>
          <cell r="D201" t="str">
            <v>سعد خالد عبدالله العنزان</v>
          </cell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 t="str">
            <v xml:space="preserve">تم إنهاء فترة التجربة </v>
          </cell>
          <cell r="Q201" t="str">
            <v>هاينس</v>
          </cell>
        </row>
        <row r="202">
          <cell r="B202">
            <v>1200</v>
          </cell>
          <cell r="C202">
            <v>1099291922</v>
          </cell>
          <cell r="D202" t="str">
            <v>راشد فهد راشد صبيح</v>
          </cell>
          <cell r="E202"/>
          <cell r="F202" t="str">
            <v>سعودي</v>
          </cell>
          <cell r="G202"/>
          <cell r="H202"/>
          <cell r="I202"/>
          <cell r="J202"/>
          <cell r="K202"/>
          <cell r="L202"/>
          <cell r="M202"/>
          <cell r="N202"/>
          <cell r="O202">
            <v>7009073037</v>
          </cell>
          <cell r="P202" t="str">
            <v>مؤسسة سلطان عبدالرحمن صالح الرزيحي للتجارة</v>
          </cell>
          <cell r="Q202" t="str">
            <v>هاينس</v>
          </cell>
        </row>
        <row r="203">
          <cell r="B203">
            <v>1201</v>
          </cell>
          <cell r="C203">
            <v>1124287820</v>
          </cell>
          <cell r="D203" t="str">
            <v>جاسم عبدالكريم محمد قميش</v>
          </cell>
          <cell r="E203"/>
          <cell r="F203" t="str">
            <v>سعودي</v>
          </cell>
          <cell r="G203"/>
          <cell r="H203"/>
          <cell r="I203"/>
          <cell r="J203"/>
          <cell r="K203"/>
          <cell r="L203"/>
          <cell r="M203"/>
          <cell r="N203"/>
          <cell r="O203">
            <v>7009073037</v>
          </cell>
          <cell r="P203" t="str">
            <v>مؤسسة سلطان عبدالرحمن صالح الرزيحي للتجارة</v>
          </cell>
          <cell r="Q203" t="str">
            <v>هاينس</v>
          </cell>
        </row>
        <row r="204">
          <cell r="B204">
            <v>1202</v>
          </cell>
          <cell r="C204">
            <v>1085265286</v>
          </cell>
          <cell r="D204" t="str">
            <v>اثير إبراهيم سعود العبودي</v>
          </cell>
          <cell r="E204" t="str">
            <v>أنثي</v>
          </cell>
          <cell r="F204" t="str">
            <v>سعودي</v>
          </cell>
          <cell r="G204" t="str">
            <v>أخصائي تسويق</v>
          </cell>
          <cell r="H204"/>
          <cell r="I204"/>
          <cell r="J204"/>
          <cell r="K204"/>
          <cell r="L204"/>
          <cell r="M204"/>
          <cell r="N204"/>
          <cell r="O204">
            <v>7021202564</v>
          </cell>
          <cell r="P204" t="str">
            <v>مصنع سلطان عبدالرحمن صالح الرزيحي للمنتجات الورقية</v>
          </cell>
          <cell r="Q204" t="str">
            <v>الإدارة</v>
          </cell>
        </row>
        <row r="205">
          <cell r="B205">
            <v>1203</v>
          </cell>
          <cell r="C205">
            <v>1034177665</v>
          </cell>
          <cell r="D205" t="str">
            <v>منال عبدالعزيز ابراهيم الطلاسي</v>
          </cell>
          <cell r="E205" t="str">
            <v>أنثي</v>
          </cell>
          <cell r="F205" t="str">
            <v>سعودي</v>
          </cell>
          <cell r="G205" t="str">
            <v>أخصائي تسويق</v>
          </cell>
          <cell r="H205"/>
          <cell r="I205"/>
          <cell r="J205"/>
          <cell r="K205"/>
          <cell r="L205"/>
          <cell r="M205"/>
          <cell r="N205"/>
          <cell r="O205">
            <v>7021202564</v>
          </cell>
          <cell r="P205" t="str">
            <v>مصنع سلطان عبدالرحمن صالح الرزيحي للمنتجات الورقية</v>
          </cell>
          <cell r="Q205" t="str">
            <v>الإدارة</v>
          </cell>
        </row>
        <row r="206">
          <cell r="B206">
            <v>1204</v>
          </cell>
          <cell r="C206">
            <v>2502906254</v>
          </cell>
          <cell r="D206" t="str">
            <v>جهاد سعد محمد العشبي</v>
          </cell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 t="str">
            <v>تحت التجربة</v>
          </cell>
          <cell r="Q206" t="str">
            <v>ورشة أثاث</v>
          </cell>
        </row>
        <row r="207">
          <cell r="B207">
            <v>1205</v>
          </cell>
          <cell r="C207">
            <v>2509929374</v>
          </cell>
          <cell r="D207" t="str">
            <v>هاني ناجي علي محمد عثمان</v>
          </cell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 t="str">
            <v>تحت التجربة</v>
          </cell>
          <cell r="Q207" t="str">
            <v>ورشة أثاث</v>
          </cell>
        </row>
        <row r="208">
          <cell r="B208">
            <v>1206</v>
          </cell>
          <cell r="C208">
            <v>22444716753</v>
          </cell>
          <cell r="D208" t="str">
            <v>حسين علي محمد علي</v>
          </cell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 t="str">
            <v>تحت التجربة</v>
          </cell>
          <cell r="Q208" t="str">
            <v>ورشة أثاث</v>
          </cell>
        </row>
        <row r="209">
          <cell r="B209">
            <v>1207</v>
          </cell>
          <cell r="C209">
            <v>2364817763</v>
          </cell>
          <cell r="D209" t="str">
            <v>زياد شايف عبدالله عبده</v>
          </cell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 t="str">
            <v>تحت التجربة</v>
          </cell>
          <cell r="Q209" t="str">
            <v>ورشة أثاث</v>
          </cell>
        </row>
        <row r="210">
          <cell r="B210">
            <v>1208</v>
          </cell>
          <cell r="C210">
            <v>2508377971</v>
          </cell>
          <cell r="D210" t="str">
            <v>عبد الاله محسن هزاع ناجي</v>
          </cell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>
            <v>7026482336</v>
          </cell>
          <cell r="P210" t="str">
            <v>شركة أدفان للصناعة ( شركة شخص واحد )</v>
          </cell>
          <cell r="Q210" t="str">
            <v>ورشة أثاث</v>
          </cell>
        </row>
        <row r="211">
          <cell r="B211">
            <v>1209</v>
          </cell>
          <cell r="C211">
            <v>2465122766</v>
          </cell>
          <cell r="D211" t="str">
            <v>بكر عثمان صالح الرعدي</v>
          </cell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 t="str">
            <v>تحت التجربة</v>
          </cell>
          <cell r="Q211" t="str">
            <v>ورشة أثاث</v>
          </cell>
        </row>
        <row r="212">
          <cell r="B212">
            <v>1210</v>
          </cell>
          <cell r="C212">
            <v>2523643985</v>
          </cell>
          <cell r="D212" t="str">
            <v>محمد نجيب علي اليافعي</v>
          </cell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 t="str">
            <v>تحت التجربة</v>
          </cell>
          <cell r="Q212" t="str">
            <v>ورشة أثاث</v>
          </cell>
        </row>
        <row r="213">
          <cell r="B213">
            <v>1211</v>
          </cell>
          <cell r="C213">
            <v>2196506562</v>
          </cell>
          <cell r="D213" t="str">
            <v>عبدالغفار الزمان</v>
          </cell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 t="str">
            <v>تحت التجربة</v>
          </cell>
          <cell r="Q213" t="str">
            <v>ورشة أثاث</v>
          </cell>
        </row>
        <row r="214">
          <cell r="B214">
            <v>1212</v>
          </cell>
          <cell r="C214">
            <v>2306440112</v>
          </cell>
          <cell r="D214" t="str">
            <v>خالد علي احمد الخطيب</v>
          </cell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 t="str">
            <v>تحت التجربة</v>
          </cell>
          <cell r="Q214" t="str">
            <v>ورشة أثاث</v>
          </cell>
        </row>
        <row r="215">
          <cell r="B215">
            <v>1213</v>
          </cell>
          <cell r="C215">
            <v>2292393333</v>
          </cell>
          <cell r="D215" t="str">
            <v>جميل يحي محسن عميسان</v>
          </cell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 t="str">
            <v>عقد أجير</v>
          </cell>
          <cell r="Q215" t="str">
            <v>ورشة أثاث</v>
          </cell>
        </row>
        <row r="216">
          <cell r="B216">
            <v>1214</v>
          </cell>
          <cell r="C216">
            <v>2301534695</v>
          </cell>
          <cell r="D216" t="str">
            <v>علاء أبو السعود محمد عبدالجواد</v>
          </cell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 t="str">
            <v>تحت التجربة</v>
          </cell>
          <cell r="Q216" t="str">
            <v>ورشة أثاث</v>
          </cell>
        </row>
        <row r="217">
          <cell r="B217">
            <v>1215</v>
          </cell>
          <cell r="C217">
            <v>1002997326</v>
          </cell>
          <cell r="D217" t="str">
            <v>سكينة ناجي منصور الحرز</v>
          </cell>
          <cell r="E217"/>
          <cell r="F217" t="str">
            <v>سعودي</v>
          </cell>
          <cell r="G217"/>
          <cell r="H217"/>
          <cell r="I217"/>
          <cell r="J217"/>
          <cell r="K217"/>
          <cell r="L217"/>
          <cell r="M217"/>
          <cell r="N217"/>
          <cell r="O217">
            <v>7014477116</v>
          </cell>
          <cell r="P217" t="str">
            <v>شركة ريال البركة للتجارة</v>
          </cell>
          <cell r="Q217" t="str">
            <v>العنود</v>
          </cell>
        </row>
        <row r="218">
          <cell r="B218">
            <v>1216</v>
          </cell>
          <cell r="C218">
            <v>1106097734</v>
          </cell>
          <cell r="D218" t="str">
            <v>بسمه محمد يحيى هارون</v>
          </cell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>
            <v>7015572543</v>
          </cell>
          <cell r="P218" t="str">
            <v>مؤسسة عبدالرحمن سلطان عبدالرحمن الرزيحي للتجارة</v>
          </cell>
          <cell r="Q218" t="str">
            <v>الشفا</v>
          </cell>
        </row>
        <row r="219">
          <cell r="B219">
            <v>1217</v>
          </cell>
          <cell r="C219">
            <v>1097861767</v>
          </cell>
          <cell r="D219" t="str">
            <v>وعد محمد سعد الدليل الدوسري</v>
          </cell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>
            <v>7015572543</v>
          </cell>
          <cell r="P219" t="str">
            <v>مؤسسة عبدالرحمن سلطان عبدالرحمن الرزيحي للتجارة</v>
          </cell>
          <cell r="Q219" t="str">
            <v>الشفا</v>
          </cell>
        </row>
        <row r="220">
          <cell r="B220">
            <v>1218</v>
          </cell>
          <cell r="C220">
            <v>2523299143</v>
          </cell>
          <cell r="D220" t="str">
            <v>كليم حسين أي بي رشيد</v>
          </cell>
          <cell r="E220" t="str">
            <v>ذكر</v>
          </cell>
          <cell r="F220" t="str">
            <v>بنجلاديش</v>
          </cell>
          <cell r="G220"/>
          <cell r="H220"/>
          <cell r="I220"/>
          <cell r="J220"/>
          <cell r="K220"/>
          <cell r="L220"/>
          <cell r="M220"/>
          <cell r="N220"/>
          <cell r="O220">
            <v>7009073037</v>
          </cell>
          <cell r="P220" t="str">
            <v>مؤسسة سلطان عبدالرحمن صالح الرزيحي للتجارة</v>
          </cell>
          <cell r="Q220" t="str">
            <v>هاينس</v>
          </cell>
        </row>
        <row r="221">
          <cell r="B221">
            <v>1219</v>
          </cell>
          <cell r="C221">
            <v>2521145389</v>
          </cell>
          <cell r="D221" t="str">
            <v>جايد حسن</v>
          </cell>
          <cell r="E221" t="str">
            <v>ذكر</v>
          </cell>
          <cell r="F221" t="str">
            <v>بنجلاديش</v>
          </cell>
          <cell r="G221"/>
          <cell r="H221"/>
          <cell r="I221"/>
          <cell r="J221"/>
          <cell r="K221"/>
          <cell r="L221"/>
          <cell r="M221"/>
          <cell r="N221"/>
          <cell r="O221">
            <v>7009073037</v>
          </cell>
          <cell r="P221" t="str">
            <v>مؤسسة سلطان عبدالرحمن صالح الرزيحي للتجارة</v>
          </cell>
          <cell r="Q221" t="str">
            <v>هاينس</v>
          </cell>
        </row>
        <row r="222">
          <cell r="B222">
            <v>1220</v>
          </cell>
          <cell r="C222">
            <v>2516365471</v>
          </cell>
          <cell r="D222" t="str">
            <v>مد جمال أوسين</v>
          </cell>
          <cell r="E222" t="str">
            <v>ذكر</v>
          </cell>
          <cell r="F222" t="str">
            <v>بنجلاديش</v>
          </cell>
          <cell r="G222"/>
          <cell r="H222"/>
          <cell r="I222"/>
          <cell r="J222"/>
          <cell r="K222"/>
          <cell r="L222"/>
          <cell r="M222"/>
          <cell r="N222"/>
          <cell r="O222">
            <v>7009073037</v>
          </cell>
          <cell r="P222" t="str">
            <v>مؤسسة سلطان عبدالرحمن صالح الرزيحي للتجارة</v>
          </cell>
          <cell r="Q222" t="str">
            <v>هاينس</v>
          </cell>
        </row>
        <row r="223">
          <cell r="B223">
            <v>1221</v>
          </cell>
          <cell r="C223">
            <v>2514860937</v>
          </cell>
          <cell r="D223" t="str">
            <v>محمد طارق مد مياه</v>
          </cell>
          <cell r="E223" t="str">
            <v>ذكر</v>
          </cell>
          <cell r="F223" t="str">
            <v>بنجلاديش</v>
          </cell>
          <cell r="G223"/>
          <cell r="H223"/>
          <cell r="I223"/>
          <cell r="J223"/>
          <cell r="K223"/>
          <cell r="L223"/>
          <cell r="M223"/>
          <cell r="N223"/>
          <cell r="O223">
            <v>7009073037</v>
          </cell>
          <cell r="P223" t="str">
            <v>مؤسسة سلطان عبدالرحمن صالح الرزيحي للتجارة</v>
          </cell>
          <cell r="Q223" t="str">
            <v>هاينس</v>
          </cell>
        </row>
        <row r="224">
          <cell r="B224">
            <v>1222</v>
          </cell>
          <cell r="C224">
            <v>2522513858</v>
          </cell>
          <cell r="D224" t="str">
            <v>رافت رافت حسين حسين</v>
          </cell>
          <cell r="E224" t="str">
            <v>ذكر</v>
          </cell>
          <cell r="F224" t="str">
            <v>بنجلاديش</v>
          </cell>
          <cell r="G224"/>
          <cell r="H224"/>
          <cell r="I224"/>
          <cell r="J224"/>
          <cell r="K224"/>
          <cell r="L224"/>
          <cell r="M224"/>
          <cell r="N224"/>
          <cell r="O224">
            <v>7009073037</v>
          </cell>
          <cell r="P224" t="str">
            <v>مؤسسة سلطان عبدالرحمن صالح الرزيحي للتجارة</v>
          </cell>
          <cell r="Q224" t="str">
            <v>هاينس</v>
          </cell>
        </row>
        <row r="225">
          <cell r="B225">
            <v>1223</v>
          </cell>
          <cell r="C225">
            <v>2479933422</v>
          </cell>
          <cell r="D225" t="str">
            <v>عبدالعزيز عبدالواحد لطف الشلفي</v>
          </cell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>
            <v>109862921</v>
          </cell>
          <cell r="P225" t="str">
            <v>نوف سلطان عبدالرحمن الرزيحي</v>
          </cell>
          <cell r="Q225" t="str">
            <v>هاينس</v>
          </cell>
        </row>
        <row r="226">
          <cell r="B226">
            <v>1224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 t="str">
            <v>الشفا</v>
          </cell>
        </row>
        <row r="227">
          <cell r="B227">
            <v>1225</v>
          </cell>
          <cell r="C227">
            <v>1117758530</v>
          </cell>
          <cell r="D227" t="str">
            <v>غيداء سليمان صالح المريشد</v>
          </cell>
          <cell r="E227"/>
          <cell r="F227" t="str">
            <v>سعودي</v>
          </cell>
          <cell r="G227"/>
          <cell r="H227"/>
          <cell r="I227"/>
          <cell r="J227"/>
          <cell r="K227"/>
          <cell r="L227"/>
          <cell r="M227"/>
          <cell r="N227"/>
          <cell r="O227"/>
          <cell r="P227" t="str">
            <v>تحت التجربة</v>
          </cell>
          <cell r="Q227" t="str">
            <v>وكالة ممكن</v>
          </cell>
        </row>
        <row r="228">
          <cell r="B228">
            <v>1226</v>
          </cell>
          <cell r="C228"/>
          <cell r="D228" t="str">
            <v xml:space="preserve">محمد المبارك ( أبو سامي) </v>
          </cell>
          <cell r="E228" t="str">
            <v>ذكر</v>
          </cell>
          <cell r="F228" t="str">
            <v>سعودي</v>
          </cell>
          <cell r="G228"/>
          <cell r="H228"/>
          <cell r="I228"/>
          <cell r="J228"/>
          <cell r="K228"/>
          <cell r="L228"/>
          <cell r="M228"/>
          <cell r="N228"/>
          <cell r="O228"/>
          <cell r="P228" t="str">
            <v>شريك</v>
          </cell>
          <cell r="Q228" t="str">
            <v>الشفا</v>
          </cell>
        </row>
        <row r="229">
          <cell r="B229">
            <v>1227</v>
          </cell>
          <cell r="C229">
            <v>2522194626</v>
          </cell>
          <cell r="D229" t="str">
            <v>محمد ريدوري</v>
          </cell>
          <cell r="E229" t="str">
            <v>ذكر</v>
          </cell>
          <cell r="F229" t="str">
            <v>بنجلاديش</v>
          </cell>
          <cell r="G229"/>
          <cell r="H229"/>
          <cell r="I229"/>
          <cell r="J229"/>
          <cell r="K229"/>
          <cell r="L229"/>
          <cell r="M229"/>
          <cell r="N229"/>
          <cell r="O229">
            <v>7009073037</v>
          </cell>
          <cell r="P229" t="str">
            <v>مؤسسة سلطان عبدالرحمن صالح الرزيحي للتجارة</v>
          </cell>
          <cell r="Q229" t="str">
            <v>هاينس</v>
          </cell>
        </row>
        <row r="230">
          <cell r="B230">
            <v>1228</v>
          </cell>
          <cell r="C230">
            <v>2526581166</v>
          </cell>
          <cell r="D230" t="str">
            <v>مد تان</v>
          </cell>
          <cell r="E230" t="str">
            <v>ذكر</v>
          </cell>
          <cell r="F230" t="str">
            <v>بنجلاديش</v>
          </cell>
          <cell r="G230"/>
          <cell r="H230"/>
          <cell r="I230"/>
          <cell r="J230"/>
          <cell r="K230"/>
          <cell r="L230"/>
          <cell r="M230"/>
          <cell r="N230"/>
          <cell r="O230">
            <v>7009073037</v>
          </cell>
          <cell r="P230" t="str">
            <v>مؤسسة سلطان عبدالرحمن صالح الرزيحي للتجارة</v>
          </cell>
          <cell r="Q230" t="str">
            <v>هاينس</v>
          </cell>
        </row>
        <row r="231">
          <cell r="B231">
            <v>1229</v>
          </cell>
          <cell r="C231">
            <v>2518494626</v>
          </cell>
          <cell r="D231" t="str">
            <v>عريف الرحمن</v>
          </cell>
          <cell r="E231" t="str">
            <v>ذكر</v>
          </cell>
          <cell r="F231" t="str">
            <v>بنجلاديش</v>
          </cell>
          <cell r="G231"/>
          <cell r="H231"/>
          <cell r="I231"/>
          <cell r="J231"/>
          <cell r="K231"/>
          <cell r="L231"/>
          <cell r="M231"/>
          <cell r="N231"/>
          <cell r="O231">
            <v>7009073037</v>
          </cell>
          <cell r="P231" t="str">
            <v>مؤسسة سلطان عبدالرحمن صالح الرزيحي للتجارة</v>
          </cell>
          <cell r="Q231" t="str">
            <v>هاينس</v>
          </cell>
        </row>
        <row r="232">
          <cell r="B232">
            <v>1230</v>
          </cell>
          <cell r="C232">
            <v>2525137192</v>
          </cell>
          <cell r="D232" t="str">
            <v>رياض أوسين</v>
          </cell>
          <cell r="E232" t="str">
            <v>ذكر</v>
          </cell>
          <cell r="F232" t="str">
            <v>بنجلاديش</v>
          </cell>
          <cell r="G232"/>
          <cell r="H232"/>
          <cell r="I232"/>
          <cell r="J232"/>
          <cell r="K232"/>
          <cell r="L232"/>
          <cell r="M232"/>
          <cell r="N232"/>
          <cell r="O232">
            <v>7009073037</v>
          </cell>
          <cell r="P232" t="str">
            <v>مؤسسة سلطان عبدالرحمن صالح الرزيحي للتجارة</v>
          </cell>
          <cell r="Q232" t="str">
            <v>هاينس</v>
          </cell>
        </row>
        <row r="233">
          <cell r="B233">
            <v>1231</v>
          </cell>
          <cell r="C233">
            <v>2521033999</v>
          </cell>
          <cell r="D233" t="str">
            <v>يعقوب نبي</v>
          </cell>
          <cell r="E233" t="str">
            <v>ذكر</v>
          </cell>
          <cell r="F233" t="str">
            <v>بنجلاديش</v>
          </cell>
          <cell r="G233"/>
          <cell r="H233"/>
          <cell r="I233"/>
          <cell r="J233"/>
          <cell r="K233"/>
          <cell r="L233"/>
          <cell r="M233"/>
          <cell r="N233"/>
          <cell r="O233">
            <v>7009073037</v>
          </cell>
          <cell r="P233" t="str">
            <v>مؤسسة سلطان عبدالرحمن صالح الرزيحي للتجارة</v>
          </cell>
          <cell r="Q233" t="str">
            <v>هاينس</v>
          </cell>
        </row>
        <row r="234">
          <cell r="B234">
            <v>1232</v>
          </cell>
          <cell r="C234">
            <v>2522117650</v>
          </cell>
          <cell r="D234" t="str">
            <v>مسعود علام</v>
          </cell>
          <cell r="E234" t="str">
            <v>ذكر</v>
          </cell>
          <cell r="F234" t="str">
            <v>بنجلاديش</v>
          </cell>
          <cell r="G234"/>
          <cell r="H234"/>
          <cell r="I234"/>
          <cell r="J234"/>
          <cell r="K234"/>
          <cell r="L234"/>
          <cell r="M234"/>
          <cell r="N234"/>
          <cell r="O234">
            <v>7009073037</v>
          </cell>
          <cell r="P234" t="str">
            <v>مؤسسة سلطان عبدالرحمن صالح الرزيحي للتجارة</v>
          </cell>
          <cell r="Q234" t="str">
            <v>هاينس</v>
          </cell>
        </row>
        <row r="235">
          <cell r="B235">
            <v>1233</v>
          </cell>
          <cell r="C235">
            <v>2522117726</v>
          </cell>
          <cell r="D235" t="str">
            <v>حبيب آل ارحمن</v>
          </cell>
          <cell r="E235" t="str">
            <v>ذكر</v>
          </cell>
          <cell r="F235" t="str">
            <v>بنجلاديش</v>
          </cell>
          <cell r="G235"/>
          <cell r="H235"/>
          <cell r="I235"/>
          <cell r="J235"/>
          <cell r="K235"/>
          <cell r="L235"/>
          <cell r="M235"/>
          <cell r="N235"/>
          <cell r="O235">
            <v>7009073037</v>
          </cell>
          <cell r="P235" t="str">
            <v>مؤسسة سلطان عبدالرحمن صالح الرزيحي للتجارة</v>
          </cell>
          <cell r="Q235" t="str">
            <v>هاينس</v>
          </cell>
        </row>
        <row r="236">
          <cell r="B236">
            <v>1234</v>
          </cell>
          <cell r="C236">
            <v>1090338755</v>
          </cell>
          <cell r="D236" t="str">
            <v>فيصل عيضه عوض الوهبي المالكي</v>
          </cell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>
            <v>7004853987</v>
          </cell>
          <cell r="P236" t="str">
            <v>مؤسسة زاوية ريال بركة للكماليات</v>
          </cell>
          <cell r="Q236" t="str">
            <v>النسيم</v>
          </cell>
        </row>
        <row r="237">
          <cell r="B237">
            <v>1235</v>
          </cell>
          <cell r="C237">
            <v>1111922827</v>
          </cell>
          <cell r="D237" t="str">
            <v>محمد علي محمد الشطنان الرشيدي</v>
          </cell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>
            <v>7004853987</v>
          </cell>
          <cell r="P237" t="str">
            <v>مؤسسة زاوية ريال بركة للكماليات</v>
          </cell>
          <cell r="Q237" t="str">
            <v>المصيف</v>
          </cell>
        </row>
        <row r="238">
          <cell r="B238">
            <v>1236</v>
          </cell>
          <cell r="C238">
            <v>1123851683</v>
          </cell>
          <cell r="D238" t="str">
            <v>بندر فيحان حمدي الشيباني العتيبي</v>
          </cell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>
            <v>7004853987</v>
          </cell>
          <cell r="P238" t="str">
            <v>مؤسسة زاوية ريال بركة للكماليات</v>
          </cell>
          <cell r="Q238" t="str">
            <v>اليرموك</v>
          </cell>
        </row>
        <row r="239">
          <cell r="B239">
            <v>1237</v>
          </cell>
          <cell r="C239">
            <v>1082731298</v>
          </cell>
          <cell r="D239" t="str">
            <v>فاطمة إبراهيم حدور آل عيسى</v>
          </cell>
          <cell r="E239"/>
          <cell r="F239" t="str">
            <v>سعودي</v>
          </cell>
          <cell r="G239"/>
          <cell r="H239"/>
          <cell r="I239"/>
          <cell r="J239"/>
          <cell r="K239"/>
          <cell r="L239"/>
          <cell r="M239"/>
          <cell r="N239"/>
          <cell r="O239">
            <v>7014477116</v>
          </cell>
          <cell r="P239" t="str">
            <v>شركة ريال البركة للتجارة</v>
          </cell>
          <cell r="Q239" t="str">
            <v>الدائري الغربي</v>
          </cell>
        </row>
        <row r="240">
          <cell r="B240">
            <v>1238</v>
          </cell>
          <cell r="C240">
            <v>2526518408</v>
          </cell>
          <cell r="D240" t="str">
            <v>بكر عبد القادر محمد عبدالقوي</v>
          </cell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 t="str">
            <v>تحت التجربة</v>
          </cell>
          <cell r="Q240" t="str">
            <v>اليرموك</v>
          </cell>
        </row>
        <row r="241">
          <cell r="B241">
            <v>1239</v>
          </cell>
          <cell r="C241">
            <v>2532058480</v>
          </cell>
          <cell r="D241" t="str">
            <v>جابر محمد مراد</v>
          </cell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>
            <v>7015572543</v>
          </cell>
          <cell r="P241" t="str">
            <v>مؤسسة عبدالرحمن سلطان عبدالرحمن الرزيحي للتجارة</v>
          </cell>
          <cell r="Q241" t="str">
            <v>الشفا</v>
          </cell>
        </row>
        <row r="242">
          <cell r="B242">
            <v>1240</v>
          </cell>
          <cell r="C242">
            <v>4803364852</v>
          </cell>
          <cell r="D242" t="str">
            <v>كريم مجد علي عباس</v>
          </cell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 t="str">
            <v>تحت التجربة</v>
          </cell>
          <cell r="Q242" t="str">
            <v>ورشة أثاث</v>
          </cell>
        </row>
        <row r="243">
          <cell r="B243">
            <v>1241</v>
          </cell>
          <cell r="C243"/>
          <cell r="D243" t="str">
            <v>خليل نجيب اليافعي</v>
          </cell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 t="str">
            <v>تحت التجربة</v>
          </cell>
          <cell r="Q243" t="str">
            <v>ورشة أثاث</v>
          </cell>
        </row>
        <row r="244">
          <cell r="B244">
            <v>1242</v>
          </cell>
          <cell r="C244"/>
          <cell r="D244" t="str">
            <v>فهد القحطاني</v>
          </cell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 t="str">
            <v>شريك</v>
          </cell>
          <cell r="Q244" t="str">
            <v>ورشة أثاث</v>
          </cell>
        </row>
        <row r="245">
          <cell r="B245">
            <v>1243</v>
          </cell>
          <cell r="C245"/>
          <cell r="D245" t="str">
            <v>مبارك عبدالله مبارك دليم</v>
          </cell>
          <cell r="E245"/>
          <cell r="F245" t="str">
            <v>سعودي</v>
          </cell>
          <cell r="G245"/>
          <cell r="H245"/>
          <cell r="I245"/>
          <cell r="J245"/>
          <cell r="K245"/>
          <cell r="L245"/>
          <cell r="M245"/>
          <cell r="N245"/>
          <cell r="O245">
            <v>7009073037</v>
          </cell>
          <cell r="P245" t="str">
            <v>مؤسسة سلطان عبدالرحمن صالح الرزيحي للتجارة</v>
          </cell>
          <cell r="Q245" t="str">
            <v>هاينس</v>
          </cell>
        </row>
        <row r="246">
          <cell r="B246">
            <v>1244</v>
          </cell>
          <cell r="C246"/>
          <cell r="D246" t="str">
            <v>عمر عبد القادر حسن</v>
          </cell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 t="str">
            <v>عن بعد</v>
          </cell>
          <cell r="Q246" t="str">
            <v>وكالة ممكن</v>
          </cell>
        </row>
        <row r="247">
          <cell r="B247">
            <v>1245</v>
          </cell>
          <cell r="C247">
            <v>1118509171</v>
          </cell>
          <cell r="D247" t="str">
            <v>منيرة عبدالرحمن صالح الفهيد الدوسري</v>
          </cell>
          <cell r="E247"/>
          <cell r="F247" t="str">
            <v>سعودي</v>
          </cell>
          <cell r="G247"/>
          <cell r="H247"/>
          <cell r="I247"/>
          <cell r="J247"/>
          <cell r="K247"/>
          <cell r="L247"/>
          <cell r="M247"/>
          <cell r="N247"/>
          <cell r="O247">
            <v>7009073037</v>
          </cell>
          <cell r="P247" t="str">
            <v>مؤسسة سلطان عبدالرحمن صالح الرزيحي للتجارة</v>
          </cell>
          <cell r="Q247" t="str">
            <v>هاينس</v>
          </cell>
        </row>
        <row r="248">
          <cell r="B248">
            <v>1246</v>
          </cell>
          <cell r="C248">
            <v>1113682718</v>
          </cell>
          <cell r="D248" t="str">
            <v>رزان فهد راشد خثران</v>
          </cell>
          <cell r="E248"/>
          <cell r="F248" t="str">
            <v>سعودي</v>
          </cell>
          <cell r="G248"/>
          <cell r="H248"/>
          <cell r="I248"/>
          <cell r="J248"/>
          <cell r="K248"/>
          <cell r="L248"/>
          <cell r="M248"/>
          <cell r="N248"/>
          <cell r="O248">
            <v>7009073037</v>
          </cell>
          <cell r="P248" t="str">
            <v>مؤسسة سلطان عبدالرحمن صالح الرزيحي للتجارة</v>
          </cell>
          <cell r="Q248" t="str">
            <v>هاينس</v>
          </cell>
        </row>
        <row r="249">
          <cell r="B249">
            <v>1247</v>
          </cell>
          <cell r="C249">
            <v>1107063248</v>
          </cell>
          <cell r="D249" t="str">
            <v>منيره دحيم مبارك آل صارم الدوسري</v>
          </cell>
          <cell r="E249"/>
          <cell r="F249" t="str">
            <v>سعودي</v>
          </cell>
          <cell r="G249"/>
          <cell r="H249"/>
          <cell r="I249"/>
          <cell r="J249"/>
          <cell r="K249"/>
          <cell r="L249"/>
          <cell r="M249"/>
          <cell r="N249"/>
          <cell r="O249">
            <v>7009073037</v>
          </cell>
          <cell r="P249" t="str">
            <v>مؤسسة سلطان عبدالرحمن صالح الرزيحي للتجارة</v>
          </cell>
          <cell r="Q249" t="str">
            <v>هاينس</v>
          </cell>
        </row>
        <row r="250">
          <cell r="B250">
            <v>1248</v>
          </cell>
          <cell r="C250">
            <v>1123794461</v>
          </cell>
          <cell r="D250" t="str">
            <v>سعد محمد سعد الشبرمي</v>
          </cell>
          <cell r="E250"/>
          <cell r="F250" t="str">
            <v>سعودي</v>
          </cell>
          <cell r="G250"/>
          <cell r="H250"/>
          <cell r="I250"/>
          <cell r="J250"/>
          <cell r="K250"/>
          <cell r="L250"/>
          <cell r="M250"/>
          <cell r="N250"/>
          <cell r="O250">
            <v>7014477116</v>
          </cell>
          <cell r="P250" t="str">
            <v>شركة ريال البركة للتجارة</v>
          </cell>
          <cell r="Q250" t="str">
            <v>النسيم</v>
          </cell>
        </row>
        <row r="251">
          <cell r="B251">
            <v>1249</v>
          </cell>
          <cell r="C251"/>
          <cell r="D251" t="str">
            <v>هديل مصبح</v>
          </cell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 t="str">
            <v>عن بعد</v>
          </cell>
          <cell r="Q251" t="str">
            <v>وكالة ممكن</v>
          </cell>
        </row>
        <row r="252">
          <cell r="B252">
            <v>1250</v>
          </cell>
          <cell r="C252"/>
          <cell r="D252" t="str">
            <v>ريناد العمري</v>
          </cell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 t="str">
            <v>عن بعد</v>
          </cell>
          <cell r="Q252" t="str">
            <v>وكالة ممكن</v>
          </cell>
        </row>
        <row r="253">
          <cell r="B253">
            <v>1251</v>
          </cell>
          <cell r="C253"/>
          <cell r="D253" t="str">
            <v>أحمد السيد</v>
          </cell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 t="str">
            <v>عن بعد</v>
          </cell>
          <cell r="Q253" t="str">
            <v>وكالة ممكن</v>
          </cell>
        </row>
        <row r="254">
          <cell r="B254">
            <v>1252</v>
          </cell>
          <cell r="C254">
            <v>2528211788</v>
          </cell>
          <cell r="D254" t="str">
            <v>مد لامين</v>
          </cell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>
            <v>7015572543</v>
          </cell>
          <cell r="P254" t="str">
            <v>مؤسسة عبدالرحمن سلطان عبدالرحمن الرزيحي للتجارة</v>
          </cell>
          <cell r="Q254" t="str">
            <v>النسيم 2</v>
          </cell>
        </row>
        <row r="255">
          <cell r="B255">
            <v>1253</v>
          </cell>
          <cell r="C255"/>
          <cell r="D255" t="str">
            <v>معاذ عبد العزيز عبد الواحد الشلفي</v>
          </cell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 t="str">
            <v>تحت التجربة</v>
          </cell>
          <cell r="Q255" t="str">
            <v>اليرموك</v>
          </cell>
        </row>
        <row r="256">
          <cell r="B256">
            <v>1254</v>
          </cell>
          <cell r="C256">
            <v>1084424330</v>
          </cell>
          <cell r="D256" t="str">
            <v>نوف حسن عبدالله قعود</v>
          </cell>
          <cell r="E256"/>
          <cell r="F256" t="str">
            <v>سعودي</v>
          </cell>
          <cell r="G256"/>
          <cell r="H256"/>
          <cell r="I256"/>
          <cell r="J256"/>
          <cell r="K256"/>
          <cell r="L256"/>
          <cell r="M256"/>
          <cell r="N256"/>
          <cell r="O256">
            <v>7014477116</v>
          </cell>
          <cell r="P256" t="str">
            <v>شركة ريال البركة للتجارة</v>
          </cell>
          <cell r="Q256" t="str">
            <v>الإدارة</v>
          </cell>
        </row>
        <row r="257">
          <cell r="B257">
            <v>1255</v>
          </cell>
          <cell r="C257">
            <v>1123652461</v>
          </cell>
          <cell r="D257" t="str">
            <v>فهد فيحان حمدي الشيباني العتيبي</v>
          </cell>
          <cell r="E257"/>
          <cell r="F257" t="str">
            <v>سعودي</v>
          </cell>
          <cell r="G257"/>
          <cell r="H257"/>
          <cell r="I257"/>
          <cell r="J257"/>
          <cell r="K257"/>
          <cell r="L257"/>
          <cell r="M257"/>
          <cell r="N257"/>
          <cell r="O257">
            <v>7014477116</v>
          </cell>
          <cell r="P257" t="str">
            <v>شركة ريال البركة للتجارة</v>
          </cell>
          <cell r="Q257" t="str">
            <v>النسيم</v>
          </cell>
        </row>
        <row r="258">
          <cell r="B258">
            <v>1256</v>
          </cell>
          <cell r="C258">
            <v>1087442123</v>
          </cell>
          <cell r="D258" t="str">
            <v>فتون تركي مهدي ال سالم</v>
          </cell>
          <cell r="E258"/>
          <cell r="F258" t="str">
            <v>سعودي</v>
          </cell>
          <cell r="G258"/>
          <cell r="H258"/>
          <cell r="I258"/>
          <cell r="J258"/>
          <cell r="K258"/>
          <cell r="L258"/>
          <cell r="M258"/>
          <cell r="N258"/>
          <cell r="O258">
            <v>7014477116</v>
          </cell>
          <cell r="P258" t="str">
            <v>شركة ريال البركة للتجارة</v>
          </cell>
          <cell r="Q258" t="str">
            <v>العنود</v>
          </cell>
        </row>
        <row r="259">
          <cell r="B259">
            <v>1257</v>
          </cell>
          <cell r="C259">
            <v>2271917474</v>
          </cell>
          <cell r="D259" t="str">
            <v>فيصل سعد عيظه سيلان</v>
          </cell>
          <cell r="E259"/>
          <cell r="F259" t="str">
            <v>اليمن</v>
          </cell>
          <cell r="G259"/>
          <cell r="H259"/>
          <cell r="I259"/>
          <cell r="J259"/>
          <cell r="K259"/>
          <cell r="L259"/>
          <cell r="M259"/>
          <cell r="N259"/>
          <cell r="O259"/>
          <cell r="P259" t="str">
            <v>تحت التجربة</v>
          </cell>
          <cell r="Q259" t="str">
            <v>هاينس</v>
          </cell>
        </row>
        <row r="260">
          <cell r="B260">
            <v>1258</v>
          </cell>
          <cell r="C260">
            <v>4800198238</v>
          </cell>
          <cell r="D260" t="str">
            <v>نازميل حسن</v>
          </cell>
          <cell r="E260"/>
          <cell r="F260" t="str">
            <v>بنجلاديش</v>
          </cell>
          <cell r="G260"/>
          <cell r="H260"/>
          <cell r="I260"/>
          <cell r="J260"/>
          <cell r="K260"/>
          <cell r="L260"/>
          <cell r="M260"/>
          <cell r="N260"/>
          <cell r="O260">
            <v>7009073037</v>
          </cell>
          <cell r="P260" t="str">
            <v>مؤسسة سلطان عبدالرحمن صالح الرزيحي للتجارة</v>
          </cell>
          <cell r="Q260" t="str">
            <v>هاينس</v>
          </cell>
        </row>
        <row r="261">
          <cell r="B261">
            <v>1259</v>
          </cell>
          <cell r="C261">
            <v>2529330140</v>
          </cell>
          <cell r="D261" t="str">
            <v xml:space="preserve">محمد كوثر </v>
          </cell>
          <cell r="E261"/>
          <cell r="F261" t="str">
            <v>بنجلاديش</v>
          </cell>
          <cell r="G261"/>
          <cell r="H261"/>
          <cell r="I261"/>
          <cell r="J261"/>
          <cell r="K261"/>
          <cell r="L261"/>
          <cell r="M261"/>
          <cell r="N261"/>
          <cell r="O261">
            <v>7009073037</v>
          </cell>
          <cell r="P261" t="str">
            <v>مؤسسة سلطان عبدالرحمن صالح الرزيحي للتجارة</v>
          </cell>
          <cell r="Q261" t="str">
            <v>هاينس</v>
          </cell>
        </row>
        <row r="262">
          <cell r="B262">
            <v>1260</v>
          </cell>
          <cell r="C262">
            <v>2527261222</v>
          </cell>
          <cell r="D262" t="str">
            <v>محمود حسن</v>
          </cell>
          <cell r="E262"/>
          <cell r="F262" t="str">
            <v>بنجلاديش</v>
          </cell>
          <cell r="G262"/>
          <cell r="H262"/>
          <cell r="I262"/>
          <cell r="J262"/>
          <cell r="K262"/>
          <cell r="L262"/>
          <cell r="M262"/>
          <cell r="N262"/>
          <cell r="O262">
            <v>7009073037</v>
          </cell>
          <cell r="P262" t="str">
            <v>مؤسسة سلطان عبدالرحمن صالح الرزيحي للتجارة</v>
          </cell>
          <cell r="Q262" t="str">
            <v>هاينس</v>
          </cell>
        </row>
        <row r="263">
          <cell r="B263">
            <v>1261</v>
          </cell>
          <cell r="C263">
            <v>2529318855</v>
          </cell>
          <cell r="D263" t="str">
            <v>مد طارق</v>
          </cell>
          <cell r="E263"/>
          <cell r="F263" t="str">
            <v>بنجلاديش</v>
          </cell>
          <cell r="G263"/>
          <cell r="H263"/>
          <cell r="I263"/>
          <cell r="J263"/>
          <cell r="K263"/>
          <cell r="L263"/>
          <cell r="M263"/>
          <cell r="N263"/>
          <cell r="O263">
            <v>7009073037</v>
          </cell>
          <cell r="P263" t="str">
            <v>مؤسسة سلطان عبدالرحمن صالح الرزيحي للتجارة</v>
          </cell>
          <cell r="Q263" t="str">
            <v>هاينس</v>
          </cell>
        </row>
        <row r="264">
          <cell r="B264">
            <v>1262</v>
          </cell>
          <cell r="C264">
            <v>1107354001</v>
          </cell>
          <cell r="D264" t="str">
            <v>غرام عبدالله ناصر الحداني العنزي</v>
          </cell>
          <cell r="E264"/>
          <cell r="F264" t="str">
            <v>سعودي</v>
          </cell>
          <cell r="G264"/>
          <cell r="H264"/>
          <cell r="I264"/>
          <cell r="J264"/>
          <cell r="K264"/>
          <cell r="L264"/>
          <cell r="M264"/>
          <cell r="N264"/>
          <cell r="O264">
            <v>7009073037</v>
          </cell>
          <cell r="P264" t="str">
            <v>مؤسسة سلطان عبدالرحمن صالح الرزيحي للتجارة</v>
          </cell>
          <cell r="Q264" t="str">
            <v>هاينس</v>
          </cell>
        </row>
        <row r="265">
          <cell r="B265">
            <v>1263</v>
          </cell>
          <cell r="C265">
            <v>2529318863</v>
          </cell>
          <cell r="D265" t="str">
            <v>سيكل كازي</v>
          </cell>
          <cell r="E265"/>
          <cell r="F265" t="str">
            <v>بنجلاديش</v>
          </cell>
          <cell r="G265"/>
          <cell r="H265"/>
          <cell r="I265"/>
          <cell r="J265"/>
          <cell r="K265"/>
          <cell r="L265"/>
          <cell r="M265"/>
          <cell r="N265"/>
          <cell r="O265">
            <v>7009073037</v>
          </cell>
          <cell r="P265" t="str">
            <v>مؤسسة سلطان عبدالرحمن صالح الرزيحي للتجارة</v>
          </cell>
          <cell r="Q265" t="str">
            <v>هاينس</v>
          </cell>
        </row>
        <row r="266">
          <cell r="B266">
            <v>1264</v>
          </cell>
          <cell r="C266">
            <v>2151980667</v>
          </cell>
          <cell r="D266" t="str">
            <v>راشد عبدالعزيز احمد الراشد</v>
          </cell>
          <cell r="E266"/>
          <cell r="F266" t="str">
            <v>العراق</v>
          </cell>
          <cell r="G266"/>
          <cell r="H266"/>
          <cell r="I266"/>
          <cell r="J266"/>
          <cell r="K266"/>
          <cell r="L266"/>
          <cell r="M266"/>
          <cell r="N266"/>
          <cell r="O266"/>
          <cell r="P266" t="str">
            <v>تحت التجربة</v>
          </cell>
          <cell r="Q266" t="str">
            <v>هاينس</v>
          </cell>
        </row>
        <row r="267">
          <cell r="B267">
            <v>1265</v>
          </cell>
          <cell r="C267">
            <v>4787282484</v>
          </cell>
          <cell r="D267" t="str">
            <v>نادر محمد عبدالله احمد السامعي</v>
          </cell>
          <cell r="E267"/>
          <cell r="F267" t="str">
            <v>اليمن</v>
          </cell>
          <cell r="G267"/>
          <cell r="H267"/>
          <cell r="I267"/>
          <cell r="J267"/>
          <cell r="K267"/>
          <cell r="L267"/>
          <cell r="M267"/>
          <cell r="N267"/>
          <cell r="O267"/>
          <cell r="P267" t="str">
            <v>شركة أدفان للصناعة ( شركة شخص واحد )</v>
          </cell>
          <cell r="Q267" t="str">
            <v>ورشة أثاث</v>
          </cell>
        </row>
        <row r="268">
          <cell r="B268">
            <v>1266</v>
          </cell>
          <cell r="C268">
            <v>1118795614</v>
          </cell>
          <cell r="D268" t="str">
            <v>وداد إبراهيم حسن شواق</v>
          </cell>
          <cell r="E268"/>
          <cell r="F268" t="str">
            <v>سعودي</v>
          </cell>
          <cell r="G268"/>
          <cell r="H268"/>
          <cell r="I268"/>
          <cell r="J268"/>
          <cell r="K268"/>
          <cell r="L268"/>
          <cell r="M268"/>
          <cell r="N268"/>
          <cell r="O268"/>
          <cell r="P268" t="str">
            <v>شركة ريال البركة للتجارة</v>
          </cell>
          <cell r="Q268" t="str">
            <v>الدائري الغربي</v>
          </cell>
        </row>
        <row r="269">
          <cell r="B269">
            <v>1267</v>
          </cell>
          <cell r="C269">
            <v>2495925618</v>
          </cell>
          <cell r="D269" t="str">
            <v>محمد سيد عبدالعظيم سليمان</v>
          </cell>
          <cell r="E269"/>
          <cell r="F269" t="str">
            <v>مصر</v>
          </cell>
          <cell r="G269"/>
          <cell r="H269"/>
          <cell r="I269"/>
          <cell r="J269"/>
          <cell r="K269"/>
          <cell r="L269"/>
          <cell r="M269"/>
          <cell r="N269"/>
          <cell r="O269">
            <v>7021202564</v>
          </cell>
          <cell r="P269" t="str">
            <v>مصنع سلطان عبدالرحمن صالح الرزيحي للمنتجات الورقية</v>
          </cell>
          <cell r="Q269" t="str">
            <v>وكالة ممكن</v>
          </cell>
        </row>
        <row r="270">
          <cell r="B270">
            <v>1268</v>
          </cell>
          <cell r="C270">
            <v>2400293862</v>
          </cell>
          <cell r="D270" t="str">
            <v>أحمد صبري محمد جعلوص</v>
          </cell>
          <cell r="E270"/>
          <cell r="F270" t="str">
            <v>مصر</v>
          </cell>
          <cell r="G270"/>
          <cell r="H270"/>
          <cell r="I270"/>
          <cell r="J270"/>
          <cell r="K270"/>
          <cell r="L270"/>
          <cell r="M270"/>
          <cell r="N270"/>
          <cell r="O270">
            <v>7021202564</v>
          </cell>
          <cell r="P270" t="str">
            <v>مصنع سلطان عبدالرحمن صالح الرزيحي للمنتجات الورقية</v>
          </cell>
          <cell r="Q270" t="str">
            <v>وكالة ممكن</v>
          </cell>
        </row>
        <row r="271">
          <cell r="B271">
            <v>1269</v>
          </cell>
          <cell r="C271">
            <v>1125139327</v>
          </cell>
          <cell r="D271" t="str">
            <v>فارس ترحيب عبدالله المزيني الحربي</v>
          </cell>
          <cell r="E271"/>
          <cell r="F271" t="str">
            <v>سعودي</v>
          </cell>
          <cell r="G271"/>
          <cell r="H271"/>
          <cell r="I271"/>
          <cell r="J271"/>
          <cell r="K271"/>
          <cell r="L271"/>
          <cell r="M271"/>
          <cell r="N271"/>
          <cell r="O271">
            <v>7009073037</v>
          </cell>
          <cell r="P271" t="str">
            <v>مؤسسة سلطان عبدالرحمن صالح الرزيحي للتجارة</v>
          </cell>
          <cell r="Q271" t="str">
            <v>هاينس</v>
          </cell>
        </row>
        <row r="272">
          <cell r="B272">
            <v>1270</v>
          </cell>
          <cell r="C272"/>
          <cell r="D272" t="str">
            <v>شهاب</v>
          </cell>
          <cell r="E272"/>
          <cell r="F272" t="str">
            <v>اليمن</v>
          </cell>
          <cell r="G272"/>
          <cell r="H272"/>
          <cell r="I272"/>
          <cell r="J272"/>
          <cell r="K272"/>
          <cell r="L272"/>
          <cell r="M272"/>
          <cell r="N272"/>
          <cell r="O272"/>
          <cell r="P272" t="str">
            <v>تحت التجربة</v>
          </cell>
          <cell r="Q272" t="str">
            <v>وكالة ممكن</v>
          </cell>
        </row>
        <row r="273">
          <cell r="B273">
            <v>1271</v>
          </cell>
          <cell r="C273"/>
          <cell r="D273" t="str">
            <v>عبدالله</v>
          </cell>
          <cell r="E273"/>
          <cell r="F273" t="str">
            <v>اليمن</v>
          </cell>
          <cell r="G273"/>
          <cell r="H273"/>
          <cell r="I273"/>
          <cell r="J273"/>
          <cell r="K273"/>
          <cell r="L273"/>
          <cell r="M273"/>
          <cell r="N273"/>
          <cell r="O273"/>
          <cell r="P273" t="str">
            <v>تحت التجربة</v>
          </cell>
          <cell r="Q273" t="str">
            <v>وكالة ممكن</v>
          </cell>
        </row>
        <row r="274">
          <cell r="B274">
            <v>1272</v>
          </cell>
          <cell r="C274">
            <v>1030121915</v>
          </cell>
          <cell r="D274" t="str">
            <v>سعد محمد القرني</v>
          </cell>
          <cell r="E274"/>
          <cell r="F274" t="str">
            <v>سعودي</v>
          </cell>
          <cell r="G274"/>
          <cell r="H274"/>
          <cell r="I274"/>
          <cell r="J274"/>
          <cell r="K274"/>
          <cell r="L274"/>
          <cell r="M274"/>
          <cell r="N274"/>
          <cell r="O274"/>
          <cell r="P274" t="str">
            <v>مؤسسة ممكن حلول لخدمات الأعمال</v>
          </cell>
          <cell r="Q274" t="str">
            <v>وكالة ممكن</v>
          </cell>
        </row>
        <row r="275">
          <cell r="B275">
            <v>1273</v>
          </cell>
          <cell r="C275">
            <v>2530280730</v>
          </cell>
          <cell r="D275" t="str">
            <v>مد يعقوب حسين</v>
          </cell>
          <cell r="E275"/>
          <cell r="F275" t="str">
            <v>بنجلاديش</v>
          </cell>
          <cell r="G275"/>
          <cell r="H275"/>
          <cell r="I275"/>
          <cell r="J275"/>
          <cell r="K275"/>
          <cell r="L275"/>
          <cell r="M275"/>
          <cell r="N275"/>
          <cell r="O275"/>
          <cell r="P275" t="str">
            <v>تحت التجربة</v>
          </cell>
          <cell r="Q275" t="str">
            <v>اليرموك</v>
          </cell>
        </row>
        <row r="276">
          <cell r="B276">
            <v>1274</v>
          </cell>
          <cell r="C276">
            <v>1122136961</v>
          </cell>
          <cell r="D276" t="str">
            <v>منصور محمد يحي حكمي</v>
          </cell>
          <cell r="E276"/>
          <cell r="F276" t="str">
            <v>سعودي</v>
          </cell>
          <cell r="G276"/>
          <cell r="H276"/>
          <cell r="I276"/>
          <cell r="J276"/>
          <cell r="K276"/>
          <cell r="L276"/>
          <cell r="M276"/>
          <cell r="N276"/>
          <cell r="O276">
            <v>7014477116</v>
          </cell>
          <cell r="P276" t="str">
            <v>شركة ريال البركة للتجارة</v>
          </cell>
          <cell r="Q276" t="str">
            <v>الإدارة</v>
          </cell>
        </row>
        <row r="277">
          <cell r="B277">
            <v>1275</v>
          </cell>
          <cell r="C277">
            <v>2185998156</v>
          </cell>
          <cell r="D277" t="str">
            <v>صالح علي</v>
          </cell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 t="str">
            <v>تحت التجربة</v>
          </cell>
          <cell r="Q277" t="str">
            <v>هاينس</v>
          </cell>
        </row>
        <row r="278">
          <cell r="B278">
            <v>1276</v>
          </cell>
          <cell r="C278">
            <v>2440678429</v>
          </cell>
          <cell r="D278" t="str">
            <v>احمد محمد علي احمد العبدلي</v>
          </cell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 t="str">
            <v>مؤسسة سلطان عبدالرحمن صالح الرزيحي للتجارة</v>
          </cell>
          <cell r="Q278" t="str">
            <v>هاينس</v>
          </cell>
        </row>
        <row r="279">
          <cell r="B279">
            <v>1277</v>
          </cell>
          <cell r="C279">
            <v>1110338900</v>
          </cell>
          <cell r="D279" t="str">
            <v>منى احمد محمد السميح</v>
          </cell>
          <cell r="E279" t="str">
            <v>أنثي</v>
          </cell>
          <cell r="F279" t="str">
            <v>سعودي</v>
          </cell>
          <cell r="G279"/>
          <cell r="H279"/>
          <cell r="I279"/>
          <cell r="J279"/>
          <cell r="K279"/>
          <cell r="L279"/>
          <cell r="M279"/>
          <cell r="N279"/>
          <cell r="O279">
            <v>7014477116</v>
          </cell>
          <cell r="P279" t="str">
            <v>شركة ريال البركة للتجارة</v>
          </cell>
          <cell r="Q279" t="str">
            <v>الإدارة</v>
          </cell>
        </row>
        <row r="280">
          <cell r="B280">
            <v>1278</v>
          </cell>
          <cell r="C280">
            <v>1079819510</v>
          </cell>
          <cell r="D280" t="str">
            <v>حصه عبدالرحمن غائب الغائب</v>
          </cell>
          <cell r="E280" t="str">
            <v>أنثي</v>
          </cell>
          <cell r="F280" t="str">
            <v>سعودي</v>
          </cell>
          <cell r="G280"/>
          <cell r="H280"/>
          <cell r="I280"/>
          <cell r="J280"/>
          <cell r="K280"/>
          <cell r="L280"/>
          <cell r="M280"/>
          <cell r="N280"/>
          <cell r="O280">
            <v>7009073037</v>
          </cell>
          <cell r="P280" t="str">
            <v>مؤسسة سلطان عبدالرحمن صالح الرزيحي للتجارة</v>
          </cell>
          <cell r="Q280" t="str">
            <v>هاينس</v>
          </cell>
        </row>
        <row r="281">
          <cell r="B281">
            <v>1279</v>
          </cell>
          <cell r="C281">
            <v>1119770392</v>
          </cell>
          <cell r="D281" t="str">
            <v>نواف ابراهيم سعود العبودي</v>
          </cell>
          <cell r="E281" t="str">
            <v>ذكر</v>
          </cell>
          <cell r="F281" t="str">
            <v>سعودي</v>
          </cell>
          <cell r="G281"/>
          <cell r="H281"/>
          <cell r="I281"/>
          <cell r="J281"/>
          <cell r="K281"/>
          <cell r="L281"/>
          <cell r="M281"/>
          <cell r="N281"/>
          <cell r="O281">
            <v>7009073037</v>
          </cell>
          <cell r="P281" t="str">
            <v>مؤسسة سلطان عبدالرحمن صالح الرزيحي للتجارة</v>
          </cell>
          <cell r="Q281" t="str">
            <v>هاينس</v>
          </cell>
        </row>
        <row r="282">
          <cell r="B282">
            <v>1280</v>
          </cell>
          <cell r="C282">
            <v>2532701600</v>
          </cell>
          <cell r="D282" t="str">
            <v>بياترس دينا منيازي</v>
          </cell>
          <cell r="E282" t="str">
            <v>أنثي</v>
          </cell>
          <cell r="F282" t="str">
            <v>كينيا</v>
          </cell>
          <cell r="G282"/>
          <cell r="H282"/>
          <cell r="I282"/>
          <cell r="J282"/>
          <cell r="K282"/>
          <cell r="L282"/>
          <cell r="M282"/>
          <cell r="N282"/>
          <cell r="O282">
            <v>1023619636</v>
          </cell>
          <cell r="P282" t="str">
            <v xml:space="preserve">سلطان عبدالرحمن صالح الرزيحي </v>
          </cell>
          <cell r="Q282" t="str">
            <v>المالك</v>
          </cell>
        </row>
        <row r="283">
          <cell r="B283">
            <v>1281</v>
          </cell>
          <cell r="C283">
            <v>4756970986</v>
          </cell>
          <cell r="D283" t="str">
            <v>اصيل عبدالله علي احمد</v>
          </cell>
          <cell r="E283" t="str">
            <v>ذكر</v>
          </cell>
          <cell r="F283" t="str">
            <v>اليمن</v>
          </cell>
          <cell r="G283"/>
          <cell r="H283"/>
          <cell r="I283"/>
          <cell r="J283"/>
          <cell r="K283"/>
          <cell r="L283"/>
          <cell r="M283"/>
          <cell r="N283"/>
          <cell r="O283">
            <v>7026482336</v>
          </cell>
          <cell r="P283" t="str">
            <v>شركة أدفان للصناعة ( شركة شخص واحد )</v>
          </cell>
          <cell r="Q283" t="str">
            <v>ورشة أثاث</v>
          </cell>
        </row>
        <row r="284">
          <cell r="B284">
            <v>1282</v>
          </cell>
          <cell r="C284">
            <v>2532879794</v>
          </cell>
          <cell r="D284" t="str">
            <v>إبراهيم إبراهيم محمد أبو شنب</v>
          </cell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>
            <v>7021202564</v>
          </cell>
          <cell r="P284" t="str">
            <v>مصنع سلطان عبدالرحمن صالح الرزيحي للمنتجات الورقية</v>
          </cell>
          <cell r="Q284" t="str">
            <v>المصنع</v>
          </cell>
        </row>
        <row r="285">
          <cell r="B285">
            <v>1283</v>
          </cell>
          <cell r="C285">
            <v>1116913185</v>
          </cell>
          <cell r="D285" t="str">
            <v>ساميه جابر احمد هزازي</v>
          </cell>
          <cell r="E285"/>
          <cell r="F285" t="str">
            <v>سعودي</v>
          </cell>
          <cell r="G285"/>
          <cell r="H285"/>
          <cell r="I285"/>
          <cell r="J285"/>
          <cell r="K285"/>
          <cell r="L285"/>
          <cell r="M285"/>
          <cell r="N285"/>
          <cell r="O285">
            <v>7014477116</v>
          </cell>
          <cell r="P285" t="str">
            <v>شركة ريال البركة للتجارة</v>
          </cell>
          <cell r="Q285" t="str">
            <v>الدائري الغربي</v>
          </cell>
        </row>
        <row r="286">
          <cell r="B286">
            <v>1284</v>
          </cell>
          <cell r="C286">
            <v>1101949806</v>
          </cell>
          <cell r="D286" t="str">
            <v>نوره محمد عبدالله النمي</v>
          </cell>
          <cell r="E286"/>
          <cell r="F286" t="str">
            <v>سعودي</v>
          </cell>
          <cell r="G286"/>
          <cell r="H286"/>
          <cell r="I286"/>
          <cell r="J286"/>
          <cell r="K286"/>
          <cell r="L286"/>
          <cell r="M286"/>
          <cell r="N286"/>
          <cell r="O286">
            <v>7014477116</v>
          </cell>
          <cell r="P286" t="str">
            <v>شركة ريال البركة للتجارة</v>
          </cell>
          <cell r="Q286" t="str">
            <v>الإدارة</v>
          </cell>
        </row>
        <row r="287">
          <cell r="B287">
            <v>1285</v>
          </cell>
          <cell r="C287">
            <v>1125855195</v>
          </cell>
          <cell r="D287" t="str">
            <v>بندر محمد احمد ازيبي</v>
          </cell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>
            <v>7004853987</v>
          </cell>
          <cell r="P287" t="str">
            <v>مؤسسة زاوية ريال بركة للكماليات</v>
          </cell>
          <cell r="Q287" t="str">
            <v>المصيف</v>
          </cell>
        </row>
        <row r="288">
          <cell r="B288">
            <v>1286</v>
          </cell>
          <cell r="C288">
            <v>1090784131</v>
          </cell>
          <cell r="D288" t="str">
            <v>محمد عبدالله عبدالرحمن الشهري</v>
          </cell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 t="str">
            <v>تحت التجربة</v>
          </cell>
          <cell r="Q288" t="str">
            <v>اليرموك</v>
          </cell>
        </row>
        <row r="289">
          <cell r="B289">
            <v>1287</v>
          </cell>
          <cell r="C289">
            <v>1115444729</v>
          </cell>
          <cell r="D289" t="str">
            <v>صالح سعيد عوظه الشهري</v>
          </cell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>
            <v>7004853987</v>
          </cell>
          <cell r="P289" t="str">
            <v>مؤسسة زاوية ريال بركة للكماليات</v>
          </cell>
          <cell r="Q289" t="str">
            <v>اليرموك</v>
          </cell>
        </row>
        <row r="290">
          <cell r="B290">
            <v>1288</v>
          </cell>
          <cell r="C290">
            <v>2430333225</v>
          </cell>
          <cell r="D290" t="str">
            <v>محمد بلال حسين</v>
          </cell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 t="str">
            <v>تحت التجربة</v>
          </cell>
          <cell r="Q290" t="str">
            <v>الإدارة</v>
          </cell>
        </row>
        <row r="291">
          <cell r="B291">
            <v>1289</v>
          </cell>
          <cell r="C291">
            <v>2508818388</v>
          </cell>
          <cell r="D291" t="str">
            <v>محمود صالح حسن عبدالله</v>
          </cell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>
            <v>7009073037</v>
          </cell>
          <cell r="P291" t="str">
            <v>مؤسسة سلطان عبدالرحمن صالح الرزيحي للتجارة</v>
          </cell>
          <cell r="Q291" t="str">
            <v>هاينس</v>
          </cell>
        </row>
        <row r="292">
          <cell r="B292">
            <v>1290</v>
          </cell>
          <cell r="C292">
            <v>2520050721</v>
          </cell>
          <cell r="D292" t="str">
            <v>شهيد خان سودير خان</v>
          </cell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>
            <v>7021202564</v>
          </cell>
          <cell r="P292" t="str">
            <v>مصنع سلطان عبدالرحمن صالح الرزيحي للمنتجات الورقية</v>
          </cell>
          <cell r="Q292" t="str">
            <v>المصنع</v>
          </cell>
        </row>
        <row r="293">
          <cell r="B293">
            <v>1291</v>
          </cell>
          <cell r="C293">
            <v>2342543580</v>
          </cell>
          <cell r="D293" t="str">
            <v>وائل معوض حفناوي الحفناوي</v>
          </cell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>
            <v>7009073037</v>
          </cell>
          <cell r="P293" t="str">
            <v>مؤسسة سلطان عبدالرحمن صالح الرزيحي للتجارة</v>
          </cell>
          <cell r="Q293" t="str">
            <v>وكالة ممكن</v>
          </cell>
        </row>
        <row r="294">
          <cell r="B294">
            <v>1292</v>
          </cell>
          <cell r="C294">
            <v>2533569550</v>
          </cell>
          <cell r="D294" t="str">
            <v>مد راسل شيخ</v>
          </cell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 t="str">
            <v>شركة ريال البركة للتجارة</v>
          </cell>
          <cell r="Q294" t="str">
            <v>الدائري الغربي</v>
          </cell>
        </row>
        <row r="295">
          <cell r="B295">
            <v>1293</v>
          </cell>
          <cell r="C295">
            <v>3100467921</v>
          </cell>
          <cell r="D295" t="str">
            <v>محمد ضيف الله محمد يحيى</v>
          </cell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 t="str">
            <v>مؤسسة عبدالرحمن سلطان عبدالرحمن الرزيحي للتجارة</v>
          </cell>
          <cell r="Q295" t="str">
            <v>النسيم 2</v>
          </cell>
        </row>
        <row r="296">
          <cell r="B296">
            <v>1294</v>
          </cell>
          <cell r="C296">
            <v>1128327937</v>
          </cell>
          <cell r="D296" t="str">
            <v>عبدالعزيز صالح محمد الغوينم</v>
          </cell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>
            <v>7009073037</v>
          </cell>
          <cell r="P296" t="str">
            <v>مؤسسة سلطان عبدالرحمن صالح الرزيحي للتجارة</v>
          </cell>
          <cell r="Q296" t="str">
            <v>هاينس</v>
          </cell>
        </row>
        <row r="297">
          <cell r="B297">
            <v>1295</v>
          </cell>
          <cell r="C297">
            <v>3111073304</v>
          </cell>
          <cell r="D297" t="str">
            <v>الزيتوني عسيلة</v>
          </cell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>
            <v>7009073037</v>
          </cell>
          <cell r="P297" t="str">
            <v>مؤسسة سلطان عبدالرحمن صالح الرزيحي للتجارة</v>
          </cell>
          <cell r="Q297" t="str">
            <v>هاينس</v>
          </cell>
        </row>
        <row r="298">
          <cell r="B298">
            <v>1296</v>
          </cell>
          <cell r="C298">
            <v>1112293145</v>
          </cell>
          <cell r="D298" t="str">
            <v>اثير عبدالله مبارك ابوسباع الدوسري</v>
          </cell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>
            <v>7009073037</v>
          </cell>
          <cell r="P298" t="str">
            <v>مؤسسة سلطان عبدالرحمن صالح الرزيحي للتجارة</v>
          </cell>
          <cell r="Q298" t="str">
            <v>هاينس</v>
          </cell>
        </row>
        <row r="299">
          <cell r="B299">
            <v>1297</v>
          </cell>
          <cell r="C299">
            <v>1123786079</v>
          </cell>
          <cell r="D299" t="str">
            <v>لطيفه ابراهيم عبدالعزيز بن عمير</v>
          </cell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>
            <v>7015572543</v>
          </cell>
          <cell r="P299" t="str">
            <v>مؤسسة عبدالرحمن سلطان عبدالرحمن الرزيحي للتجارة</v>
          </cell>
          <cell r="Q299" t="str">
            <v>الشفا</v>
          </cell>
        </row>
        <row r="300">
          <cell r="B300">
            <v>1298</v>
          </cell>
          <cell r="C300">
            <v>1088653322</v>
          </cell>
          <cell r="D300" t="str">
            <v>احلام ذياب يوسف الزهراني</v>
          </cell>
          <cell r="E300"/>
          <cell r="F300" t="str">
            <v>سعودي</v>
          </cell>
          <cell r="G300"/>
          <cell r="H300"/>
          <cell r="I300"/>
          <cell r="J300"/>
          <cell r="K300"/>
          <cell r="L300"/>
          <cell r="M300"/>
          <cell r="N300"/>
          <cell r="O300">
            <v>7014477116</v>
          </cell>
          <cell r="P300" t="str">
            <v>شركة ريال البركة للتجارة</v>
          </cell>
          <cell r="Q300" t="str">
            <v>الإدارة</v>
          </cell>
        </row>
        <row r="301">
          <cell r="B301">
            <v>1299</v>
          </cell>
          <cell r="C301">
            <v>2492074675</v>
          </cell>
          <cell r="D301" t="str">
            <v xml:space="preserve">رجب صلاح ابراهيم فتح الباب </v>
          </cell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 t="str">
            <v>تحت التجربة</v>
          </cell>
          <cell r="Q301" t="str">
            <v>جملة ريال البركة</v>
          </cell>
        </row>
        <row r="302">
          <cell r="B302">
            <v>1300</v>
          </cell>
          <cell r="C302">
            <v>1112481609</v>
          </cell>
          <cell r="D302" t="str">
            <v>خالد فوزي عنبر معتوق</v>
          </cell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>
            <v>7004853987</v>
          </cell>
          <cell r="P302" t="str">
            <v>مؤسسة زاوية ريال بركة للكماليات</v>
          </cell>
          <cell r="Q302" t="str">
            <v>المصيف</v>
          </cell>
        </row>
        <row r="303">
          <cell r="B303">
            <v>1301</v>
          </cell>
          <cell r="C303">
            <v>1095096119</v>
          </cell>
          <cell r="D303" t="str">
            <v>وعد سعد عبدالله الهويمل</v>
          </cell>
          <cell r="E303"/>
          <cell r="F303" t="str">
            <v>سعودي</v>
          </cell>
          <cell r="G303"/>
          <cell r="H303"/>
          <cell r="I303"/>
          <cell r="J303"/>
          <cell r="K303"/>
          <cell r="L303"/>
          <cell r="M303"/>
          <cell r="N303"/>
          <cell r="O303">
            <v>7014477116</v>
          </cell>
          <cell r="P303" t="str">
            <v>شركة ريال البركة للتجارة</v>
          </cell>
          <cell r="Q303" t="str">
            <v>الإدارة</v>
          </cell>
        </row>
        <row r="304">
          <cell r="B304">
            <v>1302</v>
          </cell>
          <cell r="C304">
            <v>1030367765</v>
          </cell>
          <cell r="D304" t="str">
            <v>خلود عبدالرحمن سعود الجبيرى</v>
          </cell>
          <cell r="E304"/>
          <cell r="F304" t="str">
            <v>سعودي</v>
          </cell>
          <cell r="G304"/>
          <cell r="H304"/>
          <cell r="I304"/>
          <cell r="J304"/>
          <cell r="K304"/>
          <cell r="L304"/>
          <cell r="M304"/>
          <cell r="N304"/>
          <cell r="O304">
            <v>7014477116</v>
          </cell>
          <cell r="P304" t="str">
            <v>شركة ريال البركة للتجارة</v>
          </cell>
          <cell r="Q304" t="str">
            <v>الإدارة</v>
          </cell>
        </row>
        <row r="305">
          <cell r="B305">
            <v>1303</v>
          </cell>
          <cell r="C305">
            <v>1123968206</v>
          </cell>
          <cell r="D305" t="str">
            <v>فيصل ناصر معتق الشهراني</v>
          </cell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>
            <v>7004853987</v>
          </cell>
          <cell r="P305" t="str">
            <v>مؤسسة زاوية ريال بركة للكماليات</v>
          </cell>
          <cell r="Q305" t="str">
            <v>المصيف</v>
          </cell>
        </row>
        <row r="306">
          <cell r="B306">
            <v>1304</v>
          </cell>
          <cell r="C306">
            <v>1124303833</v>
          </cell>
          <cell r="D306" t="str">
            <v>احمد عبد العزيز محمد الشمراني</v>
          </cell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>
            <v>7004853987</v>
          </cell>
          <cell r="P306" t="str">
            <v>مؤسسة زاوية ريال بركة للكماليات</v>
          </cell>
          <cell r="Q306" t="str">
            <v>اليرموك</v>
          </cell>
        </row>
        <row r="307">
          <cell r="B307">
            <v>1305</v>
          </cell>
          <cell r="C307">
            <v>1093773438</v>
          </cell>
          <cell r="D307" t="str">
            <v>منى عيدان ابن احمد الغامدي</v>
          </cell>
          <cell r="E307" t="str">
            <v>أنثي</v>
          </cell>
          <cell r="F307" t="str">
            <v>سعودي</v>
          </cell>
          <cell r="G307"/>
          <cell r="H307"/>
          <cell r="I307"/>
          <cell r="J307"/>
          <cell r="K307"/>
          <cell r="L307"/>
          <cell r="M307"/>
          <cell r="N307"/>
          <cell r="O307">
            <v>7014477116</v>
          </cell>
          <cell r="P307" t="str">
            <v>شركة ريال البركة للتجارة</v>
          </cell>
          <cell r="Q307" t="str">
            <v>الدائري الغربي</v>
          </cell>
        </row>
        <row r="308">
          <cell r="B308">
            <v>1306</v>
          </cell>
          <cell r="C308">
            <v>1036881496</v>
          </cell>
          <cell r="D308" t="str">
            <v>الهام سليمان فهد الطريمان</v>
          </cell>
          <cell r="E308" t="str">
            <v>أنثي</v>
          </cell>
          <cell r="F308" t="str">
            <v>سعودي</v>
          </cell>
          <cell r="G308"/>
          <cell r="H308"/>
          <cell r="I308"/>
          <cell r="J308"/>
          <cell r="K308"/>
          <cell r="L308"/>
          <cell r="M308"/>
          <cell r="N308"/>
          <cell r="O308">
            <v>7014477116</v>
          </cell>
          <cell r="P308" t="str">
            <v>شركة ريال البركة للتجارة</v>
          </cell>
          <cell r="Q308" t="str">
            <v>الإدارة</v>
          </cell>
        </row>
        <row r="309">
          <cell r="B309">
            <v>1307</v>
          </cell>
          <cell r="C309">
            <v>1030367724</v>
          </cell>
          <cell r="D309" t="str">
            <v>وفاء عبدالرحمن سعود الجبيرى</v>
          </cell>
          <cell r="E309" t="str">
            <v>أنثي</v>
          </cell>
          <cell r="F309" t="str">
            <v>سعودي</v>
          </cell>
          <cell r="G309"/>
          <cell r="H309"/>
          <cell r="I309"/>
          <cell r="J309"/>
          <cell r="K309"/>
          <cell r="L309"/>
          <cell r="M309"/>
          <cell r="N309"/>
          <cell r="O309">
            <v>7014477116</v>
          </cell>
          <cell r="P309" t="str">
            <v>شركة ريال البركة للتجارة</v>
          </cell>
          <cell r="Q309" t="str">
            <v>الإدارة</v>
          </cell>
        </row>
        <row r="310">
          <cell r="B310">
            <v>1308</v>
          </cell>
          <cell r="C310">
            <v>1097503104</v>
          </cell>
          <cell r="D310" t="str">
            <v>رولا سعد عبدالله بن هويمل</v>
          </cell>
          <cell r="E310" t="str">
            <v>أنثي</v>
          </cell>
          <cell r="F310" t="str">
            <v>سعودي</v>
          </cell>
          <cell r="G310"/>
          <cell r="H310"/>
          <cell r="I310"/>
          <cell r="J310"/>
          <cell r="K310"/>
          <cell r="L310"/>
          <cell r="M310"/>
          <cell r="N310"/>
          <cell r="O310">
            <v>7014477116</v>
          </cell>
          <cell r="P310" t="str">
            <v>شركة ريال البركة للتجارة</v>
          </cell>
          <cell r="Q310" t="str">
            <v>الإدارة</v>
          </cell>
        </row>
        <row r="311">
          <cell r="B311">
            <v>1309</v>
          </cell>
          <cell r="C311">
            <v>3104942754</v>
          </cell>
          <cell r="D311" t="str">
            <v>عارف علي حسين علي قرانه</v>
          </cell>
          <cell r="E311" t="str">
            <v>ذكر</v>
          </cell>
          <cell r="F311" t="str">
            <v>يمني</v>
          </cell>
          <cell r="G311"/>
          <cell r="H311"/>
          <cell r="I311"/>
          <cell r="J311"/>
          <cell r="K311"/>
          <cell r="L311"/>
          <cell r="M311"/>
          <cell r="N311"/>
          <cell r="O311"/>
          <cell r="P311" t="str">
            <v>تحت التجربة</v>
          </cell>
          <cell r="Q311" t="str">
            <v>اليرموك</v>
          </cell>
        </row>
        <row r="312">
          <cell r="B312">
            <v>1310</v>
          </cell>
          <cell r="C312">
            <v>2483555880</v>
          </cell>
          <cell r="D312" t="str">
            <v>عبد السلام لطف الله ناصر شمسان</v>
          </cell>
          <cell r="E312" t="str">
            <v>ذكر</v>
          </cell>
          <cell r="F312" t="str">
            <v>يمني</v>
          </cell>
          <cell r="G312"/>
          <cell r="H312"/>
          <cell r="I312"/>
          <cell r="J312"/>
          <cell r="K312"/>
          <cell r="L312"/>
          <cell r="M312"/>
          <cell r="N312"/>
          <cell r="O312"/>
          <cell r="P312" t="str">
            <v>تحت التجربة</v>
          </cell>
          <cell r="Q312" t="str">
            <v>المصنع</v>
          </cell>
        </row>
        <row r="313">
          <cell r="B313">
            <v>1311</v>
          </cell>
          <cell r="C313">
            <v>2480986641</v>
          </cell>
          <cell r="D313" t="str">
            <v>خالد محمد عاصم عبدالفتاح فراج</v>
          </cell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 t="str">
            <v>مؤسسة سلطان عبدالرحمن صالح الرزيحي للتجارة</v>
          </cell>
          <cell r="Q313" t="str">
            <v>هاينس</v>
          </cell>
        </row>
        <row r="314">
          <cell r="B314">
            <v>1312</v>
          </cell>
          <cell r="C314">
            <v>1014165946</v>
          </cell>
          <cell r="D314" t="str">
            <v>عبد العزيز احمد طيب عواجي</v>
          </cell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>
            <v>7004853987</v>
          </cell>
          <cell r="P314" t="str">
            <v>مؤسسة زاوية ريال بركة للكماليات</v>
          </cell>
          <cell r="Q314" t="str">
            <v>المصيف</v>
          </cell>
        </row>
        <row r="315">
          <cell r="B315">
            <v>1313</v>
          </cell>
          <cell r="C315">
            <v>1117945699</v>
          </cell>
          <cell r="D315" t="str">
            <v>مشاري حسن صالح ال مساعد الشهري</v>
          </cell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>
            <v>7004853987</v>
          </cell>
          <cell r="P315" t="str">
            <v>مؤسسة زاوية ريال بركة للكماليات</v>
          </cell>
          <cell r="Q315" t="str">
            <v>المصيف</v>
          </cell>
        </row>
        <row r="316">
          <cell r="B316">
            <v>1314</v>
          </cell>
          <cell r="C316">
            <v>1114290362</v>
          </cell>
          <cell r="D316" t="str">
            <v>حنين عبدالله عطية ال محمد الشمراني</v>
          </cell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>
            <v>7014477116</v>
          </cell>
          <cell r="P316" t="str">
            <v>شركة ريال البركة للتجارة</v>
          </cell>
          <cell r="Q316" t="str">
            <v>العنود</v>
          </cell>
        </row>
        <row r="317">
          <cell r="B317">
            <v>1315</v>
          </cell>
          <cell r="C317">
            <v>2443570425</v>
          </cell>
          <cell r="D317" t="str">
            <v>معاذ احمد محمد سيف</v>
          </cell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>
            <v>7021202564</v>
          </cell>
          <cell r="P317" t="str">
            <v>مصنع سلطان عبدالرحمن صالح الرزيحي للمنتجات الورقية</v>
          </cell>
          <cell r="Q317" t="str">
            <v>المصنع</v>
          </cell>
        </row>
        <row r="318">
          <cell r="B318">
            <v>1316</v>
          </cell>
          <cell r="C318">
            <v>1086376421</v>
          </cell>
          <cell r="D318" t="str">
            <v>شروق عبدالرحمن عواد العواد</v>
          </cell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>
            <v>7031648533</v>
          </cell>
          <cell r="P318" t="str">
            <v>مؤسسة ممكن حلول لخدمات الأعمال</v>
          </cell>
          <cell r="Q318" t="str">
            <v>وكالة ممكن</v>
          </cell>
        </row>
        <row r="319">
          <cell r="B319">
            <v>1318</v>
          </cell>
          <cell r="C319">
            <v>2503815330</v>
          </cell>
          <cell r="D319" t="str">
            <v>ميالدين حافظ أحمد</v>
          </cell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 t="str">
            <v>مؤسسة سلطان عبدالرحمن صالح الرزيحي للتجارة</v>
          </cell>
          <cell r="Q319" t="str">
            <v>هاينس</v>
          </cell>
        </row>
        <row r="320">
          <cell r="B320">
            <v>1319</v>
          </cell>
          <cell r="C320">
            <v>2532687825</v>
          </cell>
          <cell r="D320" t="str">
            <v>شؤيف أوسين</v>
          </cell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 t="str">
            <v>مؤسسة سلطان عبدالرحمن صالح الرزيحي للتجارة</v>
          </cell>
          <cell r="Q320" t="str">
            <v>هاينس</v>
          </cell>
        </row>
        <row r="321">
          <cell r="B321">
            <v>1320</v>
          </cell>
          <cell r="C321">
            <v>2532145436</v>
          </cell>
          <cell r="D321" t="str">
            <v>مد راسل فرازي</v>
          </cell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 t="str">
            <v>مؤسسة سلطان عبدالرحمن صالح الرزيحي للتجارة</v>
          </cell>
          <cell r="Q321" t="str">
            <v>هاينس</v>
          </cell>
        </row>
        <row r="322">
          <cell r="B322">
            <v>1321</v>
          </cell>
          <cell r="C322">
            <v>1073486779</v>
          </cell>
          <cell r="D322" t="str">
            <v>نوره شباب  محمد السبيعي</v>
          </cell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 t="str">
            <v>شركة ريال البركة للتجارة</v>
          </cell>
          <cell r="Q322" t="str">
            <v>الدائري الغربي</v>
          </cell>
        </row>
        <row r="323">
          <cell r="B323">
            <v>1322</v>
          </cell>
          <cell r="C323">
            <v>1101186086</v>
          </cell>
          <cell r="D323" t="str">
            <v>عبير الحسين علي حماطى</v>
          </cell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 t="str">
            <v>شركة ريال البركة للتجارة</v>
          </cell>
          <cell r="Q323" t="str">
            <v>الدائري الغربي</v>
          </cell>
        </row>
        <row r="324">
          <cell r="B324">
            <v>1323</v>
          </cell>
          <cell r="C324">
            <v>3110284589</v>
          </cell>
          <cell r="D324" t="str">
            <v>شمس الدين زايال بوريال</v>
          </cell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 t="str">
            <v>مؤسسة عبدالرحمن سلطان عبدالرحمن الرزيحي للتجارة</v>
          </cell>
          <cell r="Q324" t="str">
            <v>النسيم 2</v>
          </cell>
        </row>
        <row r="325">
          <cell r="B325">
            <v>1324</v>
          </cell>
          <cell r="C325">
            <v>2498911995</v>
          </cell>
          <cell r="D325" t="str">
            <v>محمد زيدان محمد زيدان</v>
          </cell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 t="str">
            <v>شركة أدفان للصناعة ( شركة شخص واحد )</v>
          </cell>
          <cell r="Q325" t="str">
            <v>المصنع</v>
          </cell>
        </row>
        <row r="326">
          <cell r="B326">
            <v>1325</v>
          </cell>
          <cell r="C326">
            <v>2536753755</v>
          </cell>
          <cell r="D326" t="str">
            <v>سجيب سو ليمان</v>
          </cell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 t="str">
            <v>تحت التجربة</v>
          </cell>
          <cell r="Q326" t="str">
            <v>هاينس</v>
          </cell>
        </row>
        <row r="327">
          <cell r="B327">
            <v>1326</v>
          </cell>
          <cell r="C327">
            <v>2536662022</v>
          </cell>
          <cell r="D327" t="str">
            <v>فهد دلوار أوسين</v>
          </cell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 t="str">
            <v>تحت التجربة</v>
          </cell>
          <cell r="Q327" t="str">
            <v>هاينس</v>
          </cell>
        </row>
        <row r="328">
          <cell r="B328">
            <v>1327</v>
          </cell>
          <cell r="C328">
            <v>2528275064</v>
          </cell>
          <cell r="D328" t="str">
            <v>محمد جي بقاء ال</v>
          </cell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 t="str">
            <v>تحت التجربة</v>
          </cell>
          <cell r="Q328" t="str">
            <v>هاينس</v>
          </cell>
        </row>
        <row r="329">
          <cell r="B329">
            <v>1329</v>
          </cell>
          <cell r="C329">
            <v>2527261669</v>
          </cell>
          <cell r="D329" t="str">
            <v>مد أبو بكر صديق</v>
          </cell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 t="str">
            <v>مؤسسة سلطان عبدالرحمن صالح الرزيحي للتجارة</v>
          </cell>
          <cell r="Q329" t="str">
            <v>هاينس</v>
          </cell>
        </row>
        <row r="330">
          <cell r="B330">
            <v>1330</v>
          </cell>
          <cell r="C330">
            <v>2525705451</v>
          </cell>
          <cell r="D330" t="str">
            <v>مؤمن باكاول</v>
          </cell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 t="str">
            <v>مؤسسة سلطان عبدالرحمن صالح الرزيحي للتجارة</v>
          </cell>
          <cell r="Q330" t="str">
            <v>هاينس</v>
          </cell>
        </row>
        <row r="331">
          <cell r="B331">
            <v>1331</v>
          </cell>
          <cell r="C331">
            <v>1044099990</v>
          </cell>
          <cell r="D331" t="str">
            <v>سميرة عبدالله كريوين النفيعي العتيبي</v>
          </cell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 t="str">
            <v>تحت التجربة</v>
          </cell>
          <cell r="Q331" t="str">
            <v>وكالة ممكن</v>
          </cell>
        </row>
        <row r="332">
          <cell r="B332">
            <v>1332</v>
          </cell>
          <cell r="C332">
            <v>1121485021</v>
          </cell>
          <cell r="D332" t="str">
            <v>منيرة فهد علي مديهش</v>
          </cell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 t="str">
            <v>مؤسسة ممكن حلول لخدمات الأعمال</v>
          </cell>
          <cell r="Q332" t="str">
            <v>وكالة ممكن</v>
          </cell>
        </row>
        <row r="333">
          <cell r="B333">
            <v>1333</v>
          </cell>
          <cell r="C333">
            <v>1062387806</v>
          </cell>
          <cell r="D333" t="str">
            <v>زينب علي مهدي سماني</v>
          </cell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 t="str">
            <v>مؤسسة ممكن حلول لخدمات الأعمال</v>
          </cell>
          <cell r="Q333" t="str">
            <v>وكالة ممكن</v>
          </cell>
        </row>
        <row r="334">
          <cell r="B334">
            <v>1334</v>
          </cell>
          <cell r="C334">
            <v>1104998362</v>
          </cell>
          <cell r="D334" t="str">
            <v>عائشة محمد عبدالرزاق الدهام</v>
          </cell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 t="str">
            <v>مؤسسة ممكن حلول لخدمات الأعمال</v>
          </cell>
          <cell r="Q334" t="str">
            <v>وكالة ممكن</v>
          </cell>
        </row>
        <row r="335">
          <cell r="B335">
            <v>1335</v>
          </cell>
          <cell r="C335">
            <v>1125186740</v>
          </cell>
          <cell r="D335" t="str">
            <v>اسامه محمد تركي ال جراد</v>
          </cell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 t="str">
            <v>مؤسسة زاوية ريال بركة للكماليات</v>
          </cell>
          <cell r="Q335" t="str">
            <v>المصيف</v>
          </cell>
        </row>
        <row r="336">
          <cell r="B336">
            <v>1336</v>
          </cell>
          <cell r="C336">
            <v>1123444588</v>
          </cell>
          <cell r="D336" t="str">
            <v>أسامه سعيد سعد الشهراني</v>
          </cell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 t="str">
            <v>مؤسسة زاوية ريال بركة للكماليات</v>
          </cell>
          <cell r="Q336" t="str">
            <v>المصيف</v>
          </cell>
        </row>
        <row r="337">
          <cell r="B337">
            <v>1337</v>
          </cell>
          <cell r="C337">
            <v>2344876285</v>
          </cell>
          <cell r="D337" t="str">
            <v>وليد عيظة يحيى عميشان</v>
          </cell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 t="str">
            <v>تحت التجربة</v>
          </cell>
          <cell r="Q337" t="str">
            <v>المصنع</v>
          </cell>
        </row>
        <row r="338">
          <cell r="B338">
            <v>1339</v>
          </cell>
          <cell r="C338">
            <v>2344876285</v>
          </cell>
          <cell r="D338" t="str">
            <v>عبد الحميد محمد ذكى عتيم</v>
          </cell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 t="str">
            <v>تحت التجربة</v>
          </cell>
          <cell r="Q338" t="str">
            <v>ورشة أثاث</v>
          </cell>
        </row>
        <row r="339">
          <cell r="B339">
            <v>1340</v>
          </cell>
          <cell r="C339">
            <v>4804551176</v>
          </cell>
          <cell r="D339" t="str">
            <v>محمد حسن علي الرعوي</v>
          </cell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 t="str">
            <v>مؤسسة عبدالرحمن سلطان عبدالرحمن الرزيحي للتجارة</v>
          </cell>
          <cell r="Q339" t="str">
            <v>أونلاين</v>
          </cell>
        </row>
        <row r="340">
          <cell r="B340">
            <v>1341</v>
          </cell>
          <cell r="C340">
            <v>2508652456</v>
          </cell>
          <cell r="D340" t="str">
            <v>عبدالرحمن خالد اسماعيل خليفة</v>
          </cell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 t="str">
            <v>تحت التجربة</v>
          </cell>
          <cell r="Q340" t="str">
            <v>وكالة ممكن</v>
          </cell>
        </row>
        <row r="341">
          <cell r="B341">
            <v>1342</v>
          </cell>
          <cell r="C341">
            <v>2432636310</v>
          </cell>
          <cell r="D341" t="str">
            <v>PUTHIYA PURAYIL RAJU</v>
          </cell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>
            <v>1061419220</v>
          </cell>
          <cell r="P341" t="str">
            <v>نورة الرزيحي</v>
          </cell>
          <cell r="Q341" t="str">
            <v>المدير العام</v>
          </cell>
        </row>
        <row r="342">
          <cell r="B342">
            <v>1344</v>
          </cell>
          <cell r="C342">
            <v>2529380178</v>
          </cell>
          <cell r="D342" t="str">
            <v>اسامة احمد محمد الكامل</v>
          </cell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 t="str">
            <v>مؤسسة ممكن حلول لخدمات الأعمال</v>
          </cell>
          <cell r="Q342" t="str">
            <v>وكالة ممكن</v>
          </cell>
        </row>
        <row r="343">
          <cell r="B343">
            <v>1345</v>
          </cell>
          <cell r="C343"/>
          <cell r="D343" t="str">
            <v>اوس فيصل ناجي الرعوي</v>
          </cell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 t="str">
            <v>مؤسسة عبدالرحمن سلطان عبدالرحمن الرزيحي للتجارة</v>
          </cell>
          <cell r="Q343" t="str">
            <v>أونلاين</v>
          </cell>
        </row>
        <row r="344">
          <cell r="B344">
            <v>1346</v>
          </cell>
          <cell r="C344">
            <v>3126220833</v>
          </cell>
          <cell r="D344" t="str">
            <v>محمد رمزان محمد نفيس</v>
          </cell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 t="str">
            <v>مؤسسة عبدالرحمن سلطان عبدالرحمن الرزيحي للتجارة</v>
          </cell>
          <cell r="Q344" t="str">
            <v>الإدارة</v>
          </cell>
        </row>
        <row r="345">
          <cell r="B345">
            <v>1347</v>
          </cell>
          <cell r="C345"/>
          <cell r="D345" t="str">
            <v>عمرو ماجد عبده علي الرعوي</v>
          </cell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 t="str">
            <v>مؤسسة عبدالرحمن سلطان عبدالرحمن الرزيحي للتجارة</v>
          </cell>
          <cell r="Q345" t="str">
            <v>مستودع جملة سلطان</v>
          </cell>
        </row>
        <row r="346">
          <cell r="B346">
            <v>1348</v>
          </cell>
          <cell r="C346">
            <v>1101526802</v>
          </cell>
          <cell r="D346" t="str">
            <v>اثير يحيى علي حكمي</v>
          </cell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 t="str">
            <v>مصنع سلطان عبدالرحمن صالح الرزيحي للمنتجات الورقية</v>
          </cell>
          <cell r="Q346" t="str">
            <v>وكالة ممكن</v>
          </cell>
        </row>
        <row r="347">
          <cell r="B347">
            <v>1349</v>
          </cell>
          <cell r="C347">
            <v>3105512937</v>
          </cell>
          <cell r="D347" t="str">
            <v>صلاح اديب يحيى الشامي</v>
          </cell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 t="str">
            <v>تحت التجربة</v>
          </cell>
          <cell r="Q347" t="str">
            <v>مزبوط الشاي</v>
          </cell>
        </row>
        <row r="348">
          <cell r="B348">
            <v>1350</v>
          </cell>
          <cell r="C348">
            <v>1100801966</v>
          </cell>
          <cell r="D348" t="str">
            <v>رقيه علي مهدي سماني</v>
          </cell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 t="str">
            <v>مؤسسة سلطان عبدالرحمن صالح الرزيحي للتجارة</v>
          </cell>
          <cell r="Q348" t="str">
            <v>الإدارة</v>
          </cell>
        </row>
        <row r="349">
          <cell r="B349">
            <v>1351</v>
          </cell>
          <cell r="C349"/>
          <cell r="D349" t="str">
            <v>مصطفي سعيد محمد خالد الجعدي</v>
          </cell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 t="str">
            <v>تحت التجربة</v>
          </cell>
          <cell r="Q349" t="str">
            <v>ورشة أثاث</v>
          </cell>
        </row>
        <row r="350">
          <cell r="B350">
            <v>1352</v>
          </cell>
          <cell r="C350">
            <v>1120811821</v>
          </cell>
          <cell r="D350" t="str">
            <v>حصه فيصل مبارك ال حميد الدوسري</v>
          </cell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 t="str">
            <v>مؤسسة عبدالرحمن سلطان عبدالرحمن الرزيحي للتجارة</v>
          </cell>
          <cell r="Q350" t="str">
            <v>الشفا</v>
          </cell>
        </row>
        <row r="351">
          <cell r="B351">
            <v>1353</v>
          </cell>
          <cell r="C351">
            <v>1122972456</v>
          </cell>
          <cell r="D351" t="str">
            <v>منصور عبد العزيز ماشع المشرافي المطيري</v>
          </cell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 t="str">
            <v>مؤسسة زاوية ريال بركة للكماليات</v>
          </cell>
          <cell r="Q351" t="str">
            <v>اليرموك</v>
          </cell>
        </row>
        <row r="352">
          <cell r="B352">
            <v>1354</v>
          </cell>
          <cell r="C352">
            <v>1114023367</v>
          </cell>
          <cell r="D352" t="str">
            <v>الوليد خالد عبدالله بن دبل</v>
          </cell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 t="str">
            <v>مؤسسة سلطان عبدالرحمن صالح الرزيحي للتجارة</v>
          </cell>
          <cell r="Q352" t="str">
            <v>هاينس</v>
          </cell>
        </row>
        <row r="353">
          <cell r="B353">
            <v>1355</v>
          </cell>
          <cell r="C353">
            <v>1110778030</v>
          </cell>
          <cell r="D353" t="str">
            <v>شهد فهد إبراهيم الرزيحي</v>
          </cell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 t="str">
            <v>مؤسسة سلطان عبدالرحمن صالح الرزيحي للتجارة</v>
          </cell>
          <cell r="Q353" t="str">
            <v>الإدارة</v>
          </cell>
        </row>
        <row r="354">
          <cell r="B354">
            <v>1356</v>
          </cell>
          <cell r="C354">
            <v>1080876889</v>
          </cell>
          <cell r="D354" t="str">
            <v>دانه أحمد صالح المبيريك</v>
          </cell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 t="str">
            <v>مصنع سلطان عبدالرحمن صالح الرزيحي للمنتجات الورقية</v>
          </cell>
          <cell r="Q354" t="str">
            <v>الإدارة</v>
          </cell>
        </row>
        <row r="355">
          <cell r="B355">
            <v>1357</v>
          </cell>
          <cell r="C355">
            <v>1071460826</v>
          </cell>
          <cell r="D355" t="str">
            <v>راويه محمد بن عبده رياني</v>
          </cell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 t="str">
            <v>مؤسسة سلطان عبدالرحمن صالح الرزيحي للتجارة</v>
          </cell>
          <cell r="Q355" t="str">
            <v>الإدارة</v>
          </cell>
        </row>
        <row r="356">
          <cell r="B356">
            <v>1358</v>
          </cell>
          <cell r="C356">
            <v>1112370810</v>
          </cell>
          <cell r="D356" t="str">
            <v>بيان صالح عبدالعزيز العجيان</v>
          </cell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 t="str">
            <v>مؤسسة سلطان عبدالرحمن صالح الرزيحي للتجارة</v>
          </cell>
          <cell r="Q356" t="str">
            <v>الإدارة</v>
          </cell>
        </row>
        <row r="357">
          <cell r="B357">
            <v>1359</v>
          </cell>
          <cell r="C357">
            <v>1110338884</v>
          </cell>
          <cell r="D357" t="str">
            <v>سهام احمد محمد السميح</v>
          </cell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 t="str">
            <v>مؤسسة سلطان عبدالرحمن صالح الرزيحي للتجارة</v>
          </cell>
          <cell r="Q357" t="str">
            <v>الإدارة</v>
          </cell>
        </row>
        <row r="358">
          <cell r="B358">
            <v>1360</v>
          </cell>
          <cell r="C358">
            <v>2534760141</v>
          </cell>
          <cell r="D358" t="str">
            <v>محمد رسيل مياح مياح</v>
          </cell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 t="str">
            <v>تحت التجربة</v>
          </cell>
          <cell r="Q358" t="str">
            <v>الشفا</v>
          </cell>
        </row>
        <row r="359">
          <cell r="B359">
            <v>1361</v>
          </cell>
          <cell r="C359">
            <v>2511228443</v>
          </cell>
          <cell r="D359" t="str">
            <v>مد فاهد ال اسلام</v>
          </cell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 t="str">
            <v>تحت التجربة</v>
          </cell>
          <cell r="Q359" t="str">
            <v>الشفا</v>
          </cell>
        </row>
        <row r="360">
          <cell r="B360">
            <v>1362</v>
          </cell>
          <cell r="C360">
            <v>2533300105</v>
          </cell>
          <cell r="D360" t="str">
            <v>مد شكيل اوسين</v>
          </cell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 t="str">
            <v>مؤسسة سلطان عبدالرحمن صالح الرزيحي للتجارة</v>
          </cell>
          <cell r="Q360" t="str">
            <v>هاينس</v>
          </cell>
        </row>
        <row r="361">
          <cell r="B361">
            <v>1363</v>
          </cell>
          <cell r="C361">
            <v>2535213090</v>
          </cell>
          <cell r="D361" t="str">
            <v>ليتون ساردار</v>
          </cell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 t="str">
            <v>مؤسسة عبدالرحمن سلطان عبدالرحمن الرزيحي للتجارة</v>
          </cell>
          <cell r="Q361" t="str">
            <v>مزبوط الشاي</v>
          </cell>
        </row>
        <row r="362">
          <cell r="B362">
            <v>1364</v>
          </cell>
          <cell r="C362">
            <v>2535213124</v>
          </cell>
          <cell r="D362" t="str">
            <v>عاشق ال رحمن</v>
          </cell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 t="str">
            <v>مؤسسة عبدالرحمن سلطان عبدالرحمن الرزيحي للتجارة</v>
          </cell>
          <cell r="Q362" t="str">
            <v>مزبوط الشاي</v>
          </cell>
        </row>
        <row r="363">
          <cell r="B363">
            <v>1365</v>
          </cell>
          <cell r="C363">
            <v>2534253832</v>
          </cell>
          <cell r="D363" t="str">
            <v>مد شفيق ال اسلام</v>
          </cell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 t="str">
            <v>تحت التجربة</v>
          </cell>
          <cell r="Q363" t="str">
            <v>هاينس</v>
          </cell>
        </row>
        <row r="364">
          <cell r="B364">
            <v>1366</v>
          </cell>
          <cell r="C364">
            <v>2431861596</v>
          </cell>
          <cell r="D364" t="str">
            <v>مد اقبال حسين</v>
          </cell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 t="str">
            <v>مؤسسة ممكن حلول لخدمات الأعمال</v>
          </cell>
          <cell r="Q364" t="str">
            <v>وكالة ممكن</v>
          </cell>
        </row>
        <row r="365">
          <cell r="B365">
            <v>1367</v>
          </cell>
          <cell r="C365">
            <v>1110223326</v>
          </cell>
          <cell r="D365" t="str">
            <v>نجد سعد زيد الشايقي</v>
          </cell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 t="str">
            <v>مؤسسة سلطان عبدالرحمن صالح الرزيحي للتجارة</v>
          </cell>
          <cell r="Q365" t="str">
            <v>الإدارة</v>
          </cell>
        </row>
        <row r="366">
          <cell r="B366">
            <v>1368</v>
          </cell>
          <cell r="C366">
            <v>1113058711</v>
          </cell>
          <cell r="D366" t="str">
            <v>شوق مرشد عبدالله ال خرعان</v>
          </cell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 t="str">
            <v>مؤسسة سلطان عبدالرحمن صالح الرزيحي للتجارة</v>
          </cell>
          <cell r="Q366" t="str">
            <v>الإدارة</v>
          </cell>
        </row>
        <row r="367">
          <cell r="B367">
            <v>1369</v>
          </cell>
          <cell r="C367">
            <v>2538185592</v>
          </cell>
          <cell r="D367" t="str">
            <v>حسن حسن حسن عطوة</v>
          </cell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 t="str">
            <v>شركة أدفان للصناعة ( شركة شخص واحد )</v>
          </cell>
          <cell r="Q367" t="str">
            <v>ورشة أثاث</v>
          </cell>
        </row>
        <row r="368">
          <cell r="B368">
            <v>1370</v>
          </cell>
          <cell r="C368">
            <v>1126532223</v>
          </cell>
          <cell r="D368" t="str">
            <v>رغد زيد سلطان الكثيري</v>
          </cell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 t="str">
            <v>مؤسسة سلطان عبدالرحمن صالح الرزيحي للتجارة</v>
          </cell>
          <cell r="Q368" t="str">
            <v>الإدارة</v>
          </cell>
        </row>
        <row r="369">
          <cell r="B369">
            <v>1371</v>
          </cell>
          <cell r="C369">
            <v>1067807683</v>
          </cell>
          <cell r="D369" t="str">
            <v>لينا ناصر بن محمد المنقور</v>
          </cell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 t="str">
            <v>مؤسسة عبدالرحمن سلطان عبدالرحمن الرزيحي للتجارة</v>
          </cell>
          <cell r="Q369" t="str">
            <v>الإدارة</v>
          </cell>
        </row>
        <row r="370">
          <cell r="B370">
            <v>1372</v>
          </cell>
          <cell r="C370">
            <v>1064820994</v>
          </cell>
          <cell r="D370" t="str">
            <v>لولوه ناصر محمد الخنين</v>
          </cell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 t="str">
            <v>مؤسسة عبدالرحمن سلطان عبدالرحمن الرزيحي للتجارة</v>
          </cell>
          <cell r="Q370" t="str">
            <v>الإدارة</v>
          </cell>
        </row>
        <row r="371">
          <cell r="B371">
            <v>1373</v>
          </cell>
          <cell r="C371">
            <v>2502033851</v>
          </cell>
          <cell r="D371" t="str">
            <v>مد معراج حسن</v>
          </cell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 t="str">
            <v>تحت التجربة</v>
          </cell>
          <cell r="Q371" t="str">
            <v>الدائري الغربي</v>
          </cell>
        </row>
        <row r="372">
          <cell r="B372">
            <v>1374</v>
          </cell>
          <cell r="C372">
            <v>1087777478</v>
          </cell>
          <cell r="D372" t="str">
            <v>زهراء مطاعن محمد شيخين</v>
          </cell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 t="str">
            <v>مؤسسة عبدالرحمن سلطان عبدالرحمن الرزيحي للتجارة</v>
          </cell>
          <cell r="Q372" t="str">
            <v>الإدارة</v>
          </cell>
        </row>
        <row r="373">
          <cell r="B373">
            <v>1375</v>
          </cell>
          <cell r="C373">
            <v>1018588754</v>
          </cell>
          <cell r="D373" t="str">
            <v>ريناد احمد محمد جرشي مجرشي</v>
          </cell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 t="str">
            <v>مؤسسة سلطان عبدالرحمن صالح الرزيحي للتجارة</v>
          </cell>
          <cell r="Q373" t="str">
            <v>الإدارة</v>
          </cell>
        </row>
        <row r="374">
          <cell r="B374">
            <v>1376</v>
          </cell>
          <cell r="C374">
            <v>1114109760</v>
          </cell>
          <cell r="D374" t="str">
            <v>ساره عبدالله بن علي الغامدي</v>
          </cell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 t="str">
            <v>مؤسسة سلطان عبدالرحمن صالح الرزيحي للتجارة</v>
          </cell>
          <cell r="Q374" t="str">
            <v>الإدارة</v>
          </cell>
        </row>
        <row r="375">
          <cell r="B375">
            <v>1377</v>
          </cell>
          <cell r="C375">
            <v>1074403583</v>
          </cell>
          <cell r="D375" t="str">
            <v>نوره مرشد عبد الله ال خرعان</v>
          </cell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 t="str">
            <v>مؤسسة عبدالرحمن سلطان عبدالرحمن الرزيحي للتجارة</v>
          </cell>
          <cell r="Q375" t="str">
            <v>الإدارة</v>
          </cell>
        </row>
        <row r="376">
          <cell r="B376">
            <v>1379</v>
          </cell>
          <cell r="C376">
            <v>1032324368</v>
          </cell>
          <cell r="D376" t="str">
            <v>موضي راشد حمد بن دهيش</v>
          </cell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 t="str">
            <v>شركة ريال البركة للتجارة</v>
          </cell>
          <cell r="Q376" t="str">
            <v>الإدارة</v>
          </cell>
        </row>
        <row r="377">
          <cell r="B377">
            <v>1380</v>
          </cell>
          <cell r="C377">
            <v>1092354776</v>
          </cell>
          <cell r="D377" t="str">
            <v>روابي راشد حمد بن دهيش</v>
          </cell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 t="str">
            <v>شركة ريال البركة للتجارة</v>
          </cell>
          <cell r="Q377" t="str">
            <v>الإدارة</v>
          </cell>
        </row>
        <row r="378">
          <cell r="B378">
            <v>1381</v>
          </cell>
          <cell r="C378">
            <v>2130131069</v>
          </cell>
          <cell r="D378" t="str">
            <v>يحي احمد مامون مسلماني</v>
          </cell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 t="str">
            <v>تحت التجربة</v>
          </cell>
          <cell r="Q378" t="str">
            <v>وكالة ممكن</v>
          </cell>
        </row>
        <row r="379">
          <cell r="B379">
            <v>1384</v>
          </cell>
          <cell r="C379">
            <v>1025757327</v>
          </cell>
          <cell r="D379" t="str">
            <v>ساره عبدالمحسن عبدالله البجادي</v>
          </cell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 t="str">
            <v>مؤسسة سلطان عبدالرحمن صالح الرزيحي للتجارة</v>
          </cell>
          <cell r="Q379" t="str">
            <v>الإدارة</v>
          </cell>
        </row>
        <row r="380">
          <cell r="B380">
            <v>1385</v>
          </cell>
          <cell r="C380">
            <v>1093230496</v>
          </cell>
          <cell r="D380" t="str">
            <v>فاطمه ابراهيم محمد السريبي</v>
          </cell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 t="str">
            <v>مؤسسة سلطان عبدالرحمن صالح الرزيحي للتجارة</v>
          </cell>
          <cell r="Q380" t="str">
            <v>الإدارة</v>
          </cell>
        </row>
        <row r="381">
          <cell r="B381">
            <v>1386</v>
          </cell>
          <cell r="C381">
            <v>1110671128</v>
          </cell>
          <cell r="D381" t="str">
            <v>مي ابراهيم محمد السريبي</v>
          </cell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 t="str">
            <v>مؤسسة عبدالرحمن سلطان عبدالرحمن الرزيحي للتجارة</v>
          </cell>
          <cell r="Q381" t="str">
            <v>الإدارة</v>
          </cell>
        </row>
        <row r="382">
          <cell r="B382">
            <v>1387</v>
          </cell>
          <cell r="C382">
            <v>1097398216</v>
          </cell>
          <cell r="D382" t="str">
            <v>شيخه حسن بن عبيد الدوسري</v>
          </cell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 t="str">
            <v>مؤسسة عبدالرحمن سلطان عبدالرحمن الرزيحي للتجارة</v>
          </cell>
          <cell r="Q382" t="str">
            <v>الشفا</v>
          </cell>
        </row>
        <row r="383">
          <cell r="B383">
            <v>1388</v>
          </cell>
          <cell r="C383">
            <v>1087777494</v>
          </cell>
          <cell r="D383" t="str">
            <v>خديجة مطاعن محمد شيخين</v>
          </cell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 t="str">
            <v>مؤسسة سلطان عبدالرحمن صالح الرزيحي للتجارة</v>
          </cell>
          <cell r="Q383" t="str">
            <v>الإدارة</v>
          </cell>
        </row>
        <row r="384">
          <cell r="B384">
            <v>1389</v>
          </cell>
          <cell r="C384">
            <v>1091129393</v>
          </cell>
          <cell r="D384" t="str">
            <v>افنان صالح بن محمد الحمدي</v>
          </cell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 t="str">
            <v>مؤسسة سلطان عبدالرحمن صالح الرزيحي للتجارة</v>
          </cell>
          <cell r="Q384" t="str">
            <v>الإدارة</v>
          </cell>
        </row>
        <row r="385">
          <cell r="B385">
            <v>1391</v>
          </cell>
          <cell r="C385">
            <v>2528176643</v>
          </cell>
          <cell r="D385" t="str">
            <v>عيسى مسعد دبوان حمزة</v>
          </cell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 t="str">
            <v>تحت التجربة</v>
          </cell>
          <cell r="Q385" t="str">
            <v>اليرموك</v>
          </cell>
        </row>
        <row r="386">
          <cell r="B386">
            <v>1392</v>
          </cell>
          <cell r="C386">
            <v>1104987712</v>
          </cell>
          <cell r="D386" t="str">
            <v>زينب محمد مغيض الحايطي</v>
          </cell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 t="str">
            <v>مؤسسة عبدالرحمن سلطان عبدالرحمن الرزيحي للتجارة</v>
          </cell>
          <cell r="Q386" t="str">
            <v>الإدارة</v>
          </cell>
        </row>
        <row r="387">
          <cell r="B387">
            <v>1393</v>
          </cell>
          <cell r="C387">
            <v>1132122902</v>
          </cell>
          <cell r="D387" t="str">
            <v>ناصر سماري سعد السمارى</v>
          </cell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 t="str">
            <v>مؤسسة سلطان عبدالرحمن صالح الرزيحي للتجارة</v>
          </cell>
          <cell r="Q387" t="str">
            <v>هاينس</v>
          </cell>
        </row>
        <row r="388">
          <cell r="B388">
            <v>1394</v>
          </cell>
          <cell r="C388">
            <v>2491117681</v>
          </cell>
          <cell r="D388" t="str">
            <v>سامي قنديل محمد المكاوي</v>
          </cell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 t="str">
            <v>تحت التجربة</v>
          </cell>
          <cell r="Q388" t="str">
            <v>وكالة ممكن</v>
          </cell>
        </row>
        <row r="389">
          <cell r="B389">
            <v>1395</v>
          </cell>
          <cell r="C389">
            <v>2222439271</v>
          </cell>
          <cell r="D389" t="str">
            <v>سنان محمد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 t="str">
            <v>تحت التجربة</v>
          </cell>
          <cell r="Q389" t="str">
            <v>المصنع</v>
          </cell>
        </row>
        <row r="390">
          <cell r="B390">
            <v>1396</v>
          </cell>
          <cell r="C390">
            <v>4809456934</v>
          </cell>
          <cell r="D390" t="str">
            <v xml:space="preserve">جاسم كاجم الدين  </v>
          </cell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 t="str">
            <v>تحت التجربة</v>
          </cell>
          <cell r="Q390" t="str">
            <v>الشفا</v>
          </cell>
        </row>
        <row r="391">
          <cell r="B391">
            <v>1397</v>
          </cell>
          <cell r="C391">
            <v>1114028358</v>
          </cell>
          <cell r="D391" t="str">
            <v>شذى خالد بن محمد سويد</v>
          </cell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 t="str">
            <v>مصنع سلطان عبدالرحمن صالح الرزيحي للمنتجات الورقية</v>
          </cell>
          <cell r="Q391" t="str">
            <v>وكالة ممكن</v>
          </cell>
        </row>
        <row r="392">
          <cell r="B392">
            <v>1398</v>
          </cell>
          <cell r="C392">
            <v>2535122911</v>
          </cell>
          <cell r="D392" t="str">
            <v>نظم ال اسلام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 t="str">
            <v>تحت التجربة</v>
          </cell>
          <cell r="Q392" t="str">
            <v>المصنع</v>
          </cell>
        </row>
        <row r="393">
          <cell r="B393">
            <v>1399</v>
          </cell>
          <cell r="C393">
            <v>2521281132</v>
          </cell>
          <cell r="D393" t="str">
            <v xml:space="preserve">عمر خالد منصر شمسان </v>
          </cell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 t="str">
            <v>تحت التجربة</v>
          </cell>
          <cell r="Q393" t="str">
            <v>المصنع</v>
          </cell>
        </row>
        <row r="394">
          <cell r="B394">
            <v>1400</v>
          </cell>
          <cell r="C394"/>
          <cell r="D394" t="str">
            <v>مد رابي حسين</v>
          </cell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 t="str">
            <v>تحت التجربة</v>
          </cell>
          <cell r="Q394" t="str">
            <v>المصنع</v>
          </cell>
        </row>
        <row r="395">
          <cell r="B395">
            <v>1401</v>
          </cell>
          <cell r="C395"/>
          <cell r="D395" t="str">
            <v>سوهيل رانا</v>
          </cell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 t="str">
            <v>تحت التجربة</v>
          </cell>
          <cell r="Q395" t="str">
            <v>المصنع</v>
          </cell>
        </row>
        <row r="396">
          <cell r="B396">
            <v>1402</v>
          </cell>
          <cell r="C396"/>
          <cell r="D396" t="str">
            <v>مد هومين كوبير</v>
          </cell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 t="str">
            <v>تحت التجربة</v>
          </cell>
          <cell r="Q396" t="str">
            <v>المصنع</v>
          </cell>
        </row>
        <row r="397">
          <cell r="B397">
            <v>1403</v>
          </cell>
          <cell r="C397">
            <v>2530871322</v>
          </cell>
          <cell r="D397" t="str">
            <v>مد ميدي حسن</v>
          </cell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 t="str">
            <v>تحت التجربة</v>
          </cell>
          <cell r="Q397" t="str">
            <v>الدائري الغربي</v>
          </cell>
        </row>
        <row r="398">
          <cell r="B398">
            <v>1404</v>
          </cell>
          <cell r="C398">
            <v>2504125499</v>
          </cell>
          <cell r="D398" t="str">
            <v>ريان بكيل علي محمد محفوظ</v>
          </cell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 t="str">
            <v>تحت التجربة</v>
          </cell>
          <cell r="Q398" t="str">
            <v>المصنع</v>
          </cell>
        </row>
        <row r="399">
          <cell r="B399">
            <v>1405</v>
          </cell>
          <cell r="C399">
            <v>1129835540</v>
          </cell>
          <cell r="D399" t="str">
            <v>ابراهيم زياد ابراهيم الزيد</v>
          </cell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 t="str">
            <v>مؤسسة عبدالرحمن سلطان عبدالرحمن الرزيحي للتجارة</v>
          </cell>
          <cell r="Q399" t="str">
            <v>النسيم 2</v>
          </cell>
        </row>
        <row r="400">
          <cell r="B400">
            <v>1406</v>
          </cell>
          <cell r="C400">
            <v>1074144369</v>
          </cell>
          <cell r="D400" t="str">
            <v>مها ناصر سعد المهيدي</v>
          </cell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 t="str">
            <v>شركة ريال البركة للتجارة</v>
          </cell>
          <cell r="Q400" t="str">
            <v>الإدارة</v>
          </cell>
        </row>
        <row r="401">
          <cell r="B401">
            <v>1407</v>
          </cell>
          <cell r="C401"/>
          <cell r="D401" t="str">
            <v>اسماعيل قحطان محمد صالح الضلعي</v>
          </cell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 t="str">
            <v>تحت التجربة</v>
          </cell>
          <cell r="Q401" t="str">
            <v>النسيم 2</v>
          </cell>
        </row>
        <row r="402">
          <cell r="B402">
            <v>1408</v>
          </cell>
          <cell r="C402">
            <v>2453345130</v>
          </cell>
          <cell r="D402" t="str">
            <v>خالد علي حسين محسن الشرفي</v>
          </cell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 t="str">
            <v>تحت التجربة</v>
          </cell>
          <cell r="Q402" t="str">
            <v>المصنع</v>
          </cell>
        </row>
        <row r="403">
          <cell r="B403">
            <v>1409</v>
          </cell>
          <cell r="C403"/>
          <cell r="D403" t="str">
            <v>محمد رحمات نواز</v>
          </cell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 t="str">
            <v>مؤسسة سلطان عبدالرحمن صالح الرزيحي للتجارة</v>
          </cell>
          <cell r="Q403" t="str">
            <v>المصنع</v>
          </cell>
        </row>
        <row r="404">
          <cell r="B404">
            <v>1410</v>
          </cell>
          <cell r="C404"/>
          <cell r="D404" t="str">
            <v>هشام قاف</v>
          </cell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 t="str">
            <v>مؤسسة سلطان عبدالرحمن صالح الرزيحي للتجارة</v>
          </cell>
          <cell r="Q404" t="str">
            <v>هاينس</v>
          </cell>
        </row>
        <row r="405">
          <cell r="B405">
            <v>1411</v>
          </cell>
          <cell r="C405"/>
          <cell r="D405" t="str">
            <v>عبدالكريم مامون</v>
          </cell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 t="str">
            <v>مؤسسة سلطان عبدالرحمن صالح الرزيحي للتجارة</v>
          </cell>
          <cell r="Q405" t="str">
            <v>هاينس</v>
          </cell>
        </row>
        <row r="406">
          <cell r="B406">
            <v>1412</v>
          </cell>
          <cell r="C406"/>
          <cell r="D406" t="str">
            <v>حسن فرخ</v>
          </cell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 t="str">
            <v>مؤسسة سلطان عبدالرحمن صالح الرزيحي للتجارة</v>
          </cell>
          <cell r="Q406" t="str">
            <v>هاينس</v>
          </cell>
        </row>
        <row r="407">
          <cell r="B407">
            <v>1413</v>
          </cell>
          <cell r="C407"/>
          <cell r="D407" t="str">
            <v>عبدالعزيز محمد علي عسيري</v>
          </cell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 t="str">
            <v>مؤسسة عبدالرحمن سلطان عبدالرحمن الرزيحي للتجارة</v>
          </cell>
          <cell r="Q407" t="str">
            <v>لبن</v>
          </cell>
        </row>
        <row r="408">
          <cell r="B408">
            <v>1414</v>
          </cell>
          <cell r="C408">
            <v>2519444547</v>
          </cell>
          <cell r="D408" t="str">
            <v>عزام صادق محمد محمد ناجي</v>
          </cell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 t="str">
            <v>مؤسسة عبدالرحمن سلطان عبدالرحمن الرزيحي للتجارة</v>
          </cell>
          <cell r="Q408" t="str">
            <v>النسيم 2</v>
          </cell>
        </row>
        <row r="409">
          <cell r="B409">
            <v>1415</v>
          </cell>
          <cell r="C409">
            <v>1127584397</v>
          </cell>
          <cell r="D409" t="str">
            <v>طيف عائل محمد سفياني</v>
          </cell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 t="str">
            <v>مؤسسة عبدالرحمن سلطان عبدالرحمن الرزيحي للتجارة</v>
          </cell>
          <cell r="Q409" t="str">
            <v>لبن</v>
          </cell>
        </row>
        <row r="410">
          <cell r="B410">
            <v>1416</v>
          </cell>
          <cell r="C410">
            <v>1102135611</v>
          </cell>
          <cell r="D410" t="str">
            <v>رهف خالد راشد الدوسري</v>
          </cell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 t="str">
            <v>شركة ريال البركة للتجارة</v>
          </cell>
          <cell r="Q410" t="str">
            <v>غرناطة</v>
          </cell>
        </row>
        <row r="411">
          <cell r="B411">
            <v>1417</v>
          </cell>
          <cell r="C411"/>
          <cell r="D411" t="str">
            <v>مد تنزيل اسلام</v>
          </cell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 t="str">
            <v>تحت التجربة</v>
          </cell>
          <cell r="Q411" t="str">
            <v>المصنع</v>
          </cell>
        </row>
        <row r="412">
          <cell r="B412">
            <v>1418</v>
          </cell>
          <cell r="C412">
            <v>2530688148</v>
          </cell>
          <cell r="D412" t="str">
            <v>يونس امين اصحيح</v>
          </cell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 t="str">
            <v>مؤسسة سلطان عبدالرحمن صالح الرزيحي للتجارة</v>
          </cell>
          <cell r="Q412" t="str">
            <v>هاينس</v>
          </cell>
        </row>
        <row r="413">
          <cell r="B413">
            <v>1419</v>
          </cell>
          <cell r="C413">
            <v>1098639220</v>
          </cell>
          <cell r="D413" t="str">
            <v>عبد الاله تركي محمد الجديعي</v>
          </cell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 t="str">
            <v>شركة ريال البركة للتجارة</v>
          </cell>
          <cell r="Q413" t="str">
            <v>وكالة ممكن</v>
          </cell>
        </row>
        <row r="414">
          <cell r="B414">
            <v>1420</v>
          </cell>
          <cell r="C414">
            <v>10601049258</v>
          </cell>
          <cell r="D414" t="str">
            <v>منيره سعد ناصر اليحي</v>
          </cell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 t="str">
            <v>شركة ريال البركة للتجارة</v>
          </cell>
          <cell r="Q414" t="str">
            <v>غرناطة</v>
          </cell>
        </row>
        <row r="415">
          <cell r="B415">
            <v>1421</v>
          </cell>
          <cell r="C415">
            <v>1073640193</v>
          </cell>
          <cell r="D415" t="str">
            <v>ثامر  عبدالعزيز محمد الادريس</v>
          </cell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 t="str">
            <v>شركة ريال البركة للتجارة</v>
          </cell>
          <cell r="Q415" t="str">
            <v>النسيم</v>
          </cell>
        </row>
        <row r="416">
          <cell r="B416">
            <v>1422</v>
          </cell>
          <cell r="C416">
            <v>1119150652</v>
          </cell>
          <cell r="D416" t="str">
            <v>عبدالملك عبدالمجيد بن عبدالله الدرويش</v>
          </cell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 t="str">
            <v>مؤسسة سلطان عبدالرحمن صالح الرزيحي للتجارة</v>
          </cell>
          <cell r="Q416" t="str">
            <v>هاينس</v>
          </cell>
        </row>
        <row r="417">
          <cell r="B417">
            <v>1423</v>
          </cell>
          <cell r="C417">
            <v>3110071895</v>
          </cell>
          <cell r="D417" t="str">
            <v>ربيع رشاد عبدالرقيب حسان السروري</v>
          </cell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 t="str">
            <v>تحت التجربة</v>
          </cell>
          <cell r="Q417" t="str">
            <v>ورشة أثاث</v>
          </cell>
        </row>
        <row r="418">
          <cell r="B418">
            <v>1424</v>
          </cell>
          <cell r="C418">
            <v>3109945109</v>
          </cell>
          <cell r="D418" t="str">
            <v>محمد ناجي غانم سعيد غالب</v>
          </cell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 t="str">
            <v>تحت التجربة</v>
          </cell>
          <cell r="Q418" t="str">
            <v>ورشة أثاث</v>
          </cell>
        </row>
        <row r="419"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</row>
        <row r="420"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</row>
        <row r="421"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رواتب الموظفين 2022"/>
      <sheetName val="سعودة"/>
    </sheetNames>
    <sheetDataSet>
      <sheetData sheetId="0">
        <row r="9">
          <cell r="B9">
            <v>1000</v>
          </cell>
          <cell r="C9" t="str">
            <v xml:space="preserve">سلطان عبدالرحمن صالح الرزيحي </v>
          </cell>
          <cell r="D9" t="str">
            <v>الإدارة</v>
          </cell>
          <cell r="E9">
            <v>35000</v>
          </cell>
          <cell r="F9">
            <v>16250</v>
          </cell>
          <cell r="G9"/>
          <cell r="H9"/>
          <cell r="I9">
            <v>38750</v>
          </cell>
          <cell r="J9">
            <v>90000</v>
          </cell>
        </row>
        <row r="10">
          <cell r="B10">
            <v>1001</v>
          </cell>
          <cell r="C10" t="str">
            <v>سنوار عبد المجيد</v>
          </cell>
          <cell r="D10" t="str">
            <v>النسيم</v>
          </cell>
          <cell r="E10">
            <v>1800</v>
          </cell>
          <cell r="F10">
            <v>0</v>
          </cell>
          <cell r="G10"/>
          <cell r="H10"/>
          <cell r="I10">
            <v>700</v>
          </cell>
          <cell r="J10">
            <v>2500</v>
          </cell>
        </row>
        <row r="11">
          <cell r="B11">
            <v>1002</v>
          </cell>
          <cell r="C11" t="str">
            <v>عبدالرحمن محمد عبده السلمي</v>
          </cell>
          <cell r="D11" t="str">
            <v>جملة ريال البركة</v>
          </cell>
          <cell r="E11">
            <v>3600</v>
          </cell>
          <cell r="F11">
            <v>0</v>
          </cell>
          <cell r="G11"/>
          <cell r="H11"/>
          <cell r="I11">
            <v>6400</v>
          </cell>
          <cell r="J11">
            <v>10000</v>
          </cell>
        </row>
        <row r="12">
          <cell r="B12">
            <v>1003</v>
          </cell>
          <cell r="C12" t="str">
            <v>سليم عبده علي الرعوي</v>
          </cell>
          <cell r="D12" t="str">
            <v>الإدارة</v>
          </cell>
          <cell r="E12">
            <v>3600</v>
          </cell>
          <cell r="F12">
            <v>0</v>
          </cell>
          <cell r="G12">
            <v>0</v>
          </cell>
          <cell r="H12">
            <v>0</v>
          </cell>
          <cell r="I12">
            <v>6400</v>
          </cell>
          <cell r="J12">
            <v>10000</v>
          </cell>
        </row>
        <row r="13">
          <cell r="B13">
            <v>1004</v>
          </cell>
          <cell r="C13" t="str">
            <v>مصطفى عبده علي صالح</v>
          </cell>
          <cell r="D13" t="str">
            <v>جملة ريال البركة</v>
          </cell>
          <cell r="E13">
            <v>3600</v>
          </cell>
          <cell r="F13">
            <v>0</v>
          </cell>
          <cell r="G13"/>
          <cell r="H13"/>
          <cell r="I13">
            <v>4400</v>
          </cell>
          <cell r="J13">
            <v>8000</v>
          </cell>
        </row>
        <row r="14">
          <cell r="B14">
            <v>1005</v>
          </cell>
          <cell r="C14" t="str">
            <v>عبدالسلام محمد سعيد ناجي</v>
          </cell>
          <cell r="D14" t="str">
            <v>جملة سلطان/السويلم</v>
          </cell>
          <cell r="E14">
            <v>2500</v>
          </cell>
          <cell r="F14">
            <v>0</v>
          </cell>
          <cell r="G14"/>
          <cell r="H14"/>
          <cell r="I14">
            <v>2000</v>
          </cell>
          <cell r="J14">
            <v>4500</v>
          </cell>
        </row>
        <row r="15">
          <cell r="B15">
            <v>1006</v>
          </cell>
          <cell r="C15" t="str">
            <v>بلال صالح حمود الفهد</v>
          </cell>
          <cell r="D15" t="str">
            <v>النسيم 2</v>
          </cell>
          <cell r="E15">
            <v>2000</v>
          </cell>
          <cell r="F15">
            <v>0</v>
          </cell>
          <cell r="G15"/>
          <cell r="H15"/>
          <cell r="I15">
            <v>800</v>
          </cell>
          <cell r="J15">
            <v>2800</v>
          </cell>
        </row>
        <row r="16">
          <cell r="B16">
            <v>1007</v>
          </cell>
          <cell r="C16" t="str">
            <v>محمد عبدالدائم محمد عبدالرحمن</v>
          </cell>
          <cell r="D16" t="str">
            <v>مستودع عكاظ 23</v>
          </cell>
          <cell r="E16">
            <v>1000</v>
          </cell>
          <cell r="F16">
            <v>0</v>
          </cell>
          <cell r="G16"/>
          <cell r="H16"/>
          <cell r="I16"/>
          <cell r="J16">
            <v>1000</v>
          </cell>
        </row>
        <row r="17">
          <cell r="B17">
            <v>1008</v>
          </cell>
          <cell r="C17" t="str">
            <v>فوزية هزال عيسي الهزال</v>
          </cell>
          <cell r="D17" t="str">
            <v>الإدارة</v>
          </cell>
          <cell r="E17">
            <v>4000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4000</v>
          </cell>
        </row>
        <row r="18">
          <cell r="B18">
            <v>1009</v>
          </cell>
          <cell r="C18" t="str">
            <v>اسد الزمان علي</v>
          </cell>
          <cell r="D18" t="str">
            <v>أونلاين</v>
          </cell>
          <cell r="E18">
            <v>1600</v>
          </cell>
          <cell r="F18">
            <v>0</v>
          </cell>
          <cell r="G18"/>
          <cell r="H18"/>
          <cell r="I18">
            <v>600</v>
          </cell>
          <cell r="J18">
            <v>2200</v>
          </cell>
        </row>
        <row r="19">
          <cell r="B19">
            <v>1010</v>
          </cell>
          <cell r="C19" t="str">
            <v>تفضل ولي</v>
          </cell>
          <cell r="D19" t="str">
            <v>جملة سلطان/السويلم</v>
          </cell>
          <cell r="E19">
            <v>1600</v>
          </cell>
          <cell r="F19">
            <v>0</v>
          </cell>
          <cell r="G19"/>
          <cell r="H19"/>
          <cell r="I19">
            <v>600</v>
          </cell>
          <cell r="J19">
            <v>2200</v>
          </cell>
        </row>
        <row r="20">
          <cell r="B20">
            <v>1011</v>
          </cell>
          <cell r="C20" t="str">
            <v>أيمن محمد فتحي خلف</v>
          </cell>
          <cell r="D20" t="str">
            <v>الإدارة</v>
          </cell>
          <cell r="E20">
            <v>3000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3000</v>
          </cell>
        </row>
        <row r="21">
          <cell r="B21">
            <v>1012</v>
          </cell>
          <cell r="C21" t="str">
            <v>نوبي امير شيخ</v>
          </cell>
          <cell r="D21" t="str">
            <v>العنود</v>
          </cell>
          <cell r="E21">
            <v>1400</v>
          </cell>
          <cell r="F21">
            <v>0</v>
          </cell>
          <cell r="G21"/>
          <cell r="H21"/>
          <cell r="I21">
            <v>500</v>
          </cell>
          <cell r="J21">
            <v>1900</v>
          </cell>
        </row>
        <row r="22">
          <cell r="B22">
            <v>1013</v>
          </cell>
          <cell r="C22" t="str">
            <v>منال سلطان عبدالرحمن الرزيحي</v>
          </cell>
          <cell r="D22" t="str">
            <v>الإدارة</v>
          </cell>
          <cell r="E22">
            <v>4000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4000</v>
          </cell>
        </row>
        <row r="23">
          <cell r="B23">
            <v>1014</v>
          </cell>
          <cell r="C23" t="str">
            <v>منيره سلطان عبدالرحمن الرزيحي</v>
          </cell>
          <cell r="D23" t="str">
            <v>وكالة ممكن</v>
          </cell>
          <cell r="E23">
            <v>4000</v>
          </cell>
          <cell r="F23">
            <v>0</v>
          </cell>
          <cell r="G23">
            <v>0</v>
          </cell>
          <cell r="H23">
            <v>0</v>
          </cell>
          <cell r="I23">
            <v>500</v>
          </cell>
          <cell r="J23">
            <v>4500</v>
          </cell>
        </row>
        <row r="24">
          <cell r="B24">
            <v>1015</v>
          </cell>
          <cell r="C24" t="str">
            <v>عجيب بيلافي</v>
          </cell>
          <cell r="D24" t="str">
            <v>جملة ريال البركة</v>
          </cell>
          <cell r="E24">
            <v>1600</v>
          </cell>
          <cell r="F24">
            <v>0</v>
          </cell>
          <cell r="G24"/>
          <cell r="H24"/>
          <cell r="I24">
            <v>900</v>
          </cell>
          <cell r="J24">
            <v>2500</v>
          </cell>
        </row>
        <row r="25">
          <cell r="B25">
            <v>1016</v>
          </cell>
          <cell r="C25" t="str">
            <v>معشوق أحمد أنصاري</v>
          </cell>
          <cell r="D25" t="str">
            <v>الإستراحة</v>
          </cell>
          <cell r="E25">
            <v>1500</v>
          </cell>
          <cell r="F25">
            <v>0</v>
          </cell>
          <cell r="G25"/>
          <cell r="H25"/>
          <cell r="I25">
            <v>300</v>
          </cell>
          <cell r="J25">
            <v>1800</v>
          </cell>
        </row>
        <row r="26">
          <cell r="B26">
            <v>1017</v>
          </cell>
          <cell r="C26" t="str">
            <v>جهانقير عبد الرزاق بادي</v>
          </cell>
          <cell r="D26" t="str">
            <v>الدائري الغربي</v>
          </cell>
          <cell r="E26">
            <v>1300</v>
          </cell>
          <cell r="F26">
            <v>0</v>
          </cell>
          <cell r="G26"/>
          <cell r="H26"/>
          <cell r="I26">
            <v>700</v>
          </cell>
          <cell r="J26">
            <v>2000</v>
          </cell>
        </row>
        <row r="27">
          <cell r="B27">
            <v>1018</v>
          </cell>
          <cell r="C27" t="str">
            <v>محمد عبدالله محمد الحبجي</v>
          </cell>
          <cell r="D27" t="str">
            <v>الإدارة</v>
          </cell>
          <cell r="E27">
            <v>2200</v>
          </cell>
          <cell r="F27">
            <v>0</v>
          </cell>
          <cell r="G27"/>
          <cell r="H27"/>
          <cell r="I27">
            <v>3300</v>
          </cell>
          <cell r="J27">
            <v>5500</v>
          </cell>
        </row>
        <row r="28">
          <cell r="B28">
            <v>1019</v>
          </cell>
          <cell r="C28" t="str">
            <v>رؤوف انصاري سفيدة</v>
          </cell>
          <cell r="D28" t="str">
            <v>المصنع</v>
          </cell>
          <cell r="E28">
            <v>1400</v>
          </cell>
          <cell r="F28">
            <v>0</v>
          </cell>
          <cell r="G28"/>
          <cell r="H28"/>
          <cell r="I28">
            <v>600</v>
          </cell>
          <cell r="J28">
            <v>2000</v>
          </cell>
        </row>
        <row r="29">
          <cell r="B29">
            <v>1020</v>
          </cell>
          <cell r="C29" t="str">
            <v>محمد فاروق خليل</v>
          </cell>
          <cell r="D29" t="str">
            <v>المصنع</v>
          </cell>
          <cell r="E29">
            <v>1400</v>
          </cell>
          <cell r="F29">
            <v>0</v>
          </cell>
          <cell r="G29"/>
          <cell r="H29"/>
          <cell r="I29">
            <v>300</v>
          </cell>
          <cell r="J29">
            <v>1700</v>
          </cell>
        </row>
        <row r="30">
          <cell r="B30">
            <v>1021</v>
          </cell>
          <cell r="C30" t="str">
            <v>ياسر عبدالولي قايد الغابري</v>
          </cell>
          <cell r="D30" t="str">
            <v>وكالة ممكن</v>
          </cell>
          <cell r="E30">
            <v>3600</v>
          </cell>
          <cell r="F30">
            <v>0</v>
          </cell>
          <cell r="G30"/>
          <cell r="H30"/>
          <cell r="I30">
            <v>4400</v>
          </cell>
          <cell r="J30">
            <v>8000</v>
          </cell>
        </row>
        <row r="31">
          <cell r="B31">
            <v>1022</v>
          </cell>
          <cell r="C31" t="str">
            <v>عمر احمد علي الشامي</v>
          </cell>
          <cell r="D31" t="str">
            <v>جملة ريال البركة</v>
          </cell>
          <cell r="E31">
            <v>2200</v>
          </cell>
          <cell r="F31">
            <v>0</v>
          </cell>
          <cell r="G31"/>
          <cell r="H31"/>
          <cell r="I31">
            <v>2800</v>
          </cell>
          <cell r="J31">
            <v>5000</v>
          </cell>
        </row>
        <row r="32">
          <cell r="B32">
            <v>1023</v>
          </cell>
          <cell r="C32" t="str">
            <v>عبدالرحمن سلطان الرزيحي</v>
          </cell>
          <cell r="D32" t="str">
            <v>الإدارة</v>
          </cell>
          <cell r="E32">
            <v>9600</v>
          </cell>
          <cell r="F32">
            <v>2400</v>
          </cell>
          <cell r="G32">
            <v>2000</v>
          </cell>
          <cell r="H32"/>
          <cell r="I32">
            <v>51000</v>
          </cell>
          <cell r="J32">
            <v>65000</v>
          </cell>
        </row>
        <row r="33">
          <cell r="B33">
            <v>1024</v>
          </cell>
          <cell r="C33" t="str">
            <v>إسماعيل دحدوح مياه</v>
          </cell>
          <cell r="D33" t="str">
            <v>جملة ريال البركة</v>
          </cell>
          <cell r="E33">
            <v>1300</v>
          </cell>
          <cell r="F33">
            <v>0</v>
          </cell>
          <cell r="G33"/>
          <cell r="H33"/>
          <cell r="I33">
            <v>500</v>
          </cell>
          <cell r="J33">
            <v>1800</v>
          </cell>
        </row>
        <row r="34">
          <cell r="B34">
            <v>1025</v>
          </cell>
          <cell r="C34" t="str">
            <v>فرهد حسين</v>
          </cell>
          <cell r="D34" t="str">
            <v>الدائري الغربي</v>
          </cell>
          <cell r="E34">
            <v>1800</v>
          </cell>
          <cell r="F34">
            <v>0</v>
          </cell>
          <cell r="G34"/>
          <cell r="H34"/>
          <cell r="I34">
            <v>700</v>
          </cell>
          <cell r="J34">
            <v>2500</v>
          </cell>
        </row>
        <row r="35">
          <cell r="B35">
            <v>1026</v>
          </cell>
          <cell r="C35" t="str">
            <v>أنور حسين</v>
          </cell>
          <cell r="D35" t="str">
            <v>النسيم</v>
          </cell>
          <cell r="E35">
            <v>1300</v>
          </cell>
          <cell r="F35">
            <v>0</v>
          </cell>
          <cell r="G35"/>
          <cell r="H35"/>
          <cell r="I35">
            <v>650</v>
          </cell>
          <cell r="J35">
            <v>1950</v>
          </cell>
        </row>
        <row r="36">
          <cell r="B36">
            <v>1027</v>
          </cell>
          <cell r="C36" t="str">
            <v>محمد شيمون</v>
          </cell>
          <cell r="D36" t="str">
            <v>الدائري الغربي</v>
          </cell>
          <cell r="E36">
            <v>1400</v>
          </cell>
          <cell r="F36">
            <v>0</v>
          </cell>
          <cell r="G36"/>
          <cell r="H36"/>
          <cell r="I36">
            <v>700</v>
          </cell>
          <cell r="J36">
            <v>2100</v>
          </cell>
        </row>
        <row r="37">
          <cell r="B37">
            <v>1028</v>
          </cell>
          <cell r="C37" t="str">
            <v>فاكي أحمد بري خان</v>
          </cell>
          <cell r="D37" t="str">
            <v>الدائري الغربي</v>
          </cell>
          <cell r="E37">
            <v>1500</v>
          </cell>
          <cell r="F37">
            <v>0</v>
          </cell>
          <cell r="G37"/>
          <cell r="H37"/>
          <cell r="I37">
            <v>400</v>
          </cell>
          <cell r="J37">
            <v>1900</v>
          </cell>
        </row>
        <row r="38">
          <cell r="B38">
            <v>1029</v>
          </cell>
          <cell r="C38" t="str">
            <v>محمد رفيق الإسلام</v>
          </cell>
          <cell r="D38" t="str">
            <v>غرناطة</v>
          </cell>
          <cell r="E38">
            <v>1300</v>
          </cell>
          <cell r="F38">
            <v>0</v>
          </cell>
          <cell r="G38"/>
          <cell r="H38"/>
          <cell r="I38">
            <v>800</v>
          </cell>
          <cell r="J38">
            <v>2100</v>
          </cell>
        </row>
        <row r="39">
          <cell r="B39">
            <v>1030</v>
          </cell>
          <cell r="C39" t="str">
            <v>ميدى حسن</v>
          </cell>
          <cell r="D39" t="str">
            <v>جملة ريال البركة</v>
          </cell>
          <cell r="E39">
            <v>1300</v>
          </cell>
          <cell r="F39">
            <v>0</v>
          </cell>
          <cell r="G39"/>
          <cell r="H39"/>
          <cell r="I39">
            <v>700</v>
          </cell>
          <cell r="J39">
            <v>2000</v>
          </cell>
        </row>
        <row r="40">
          <cell r="B40">
            <v>1031</v>
          </cell>
          <cell r="C40" t="str">
            <v>أبو بكر عبد اللطيف</v>
          </cell>
          <cell r="D40" t="str">
            <v>الشفا</v>
          </cell>
          <cell r="E40">
            <v>1300</v>
          </cell>
          <cell r="F40">
            <v>0</v>
          </cell>
          <cell r="G40"/>
          <cell r="H40"/>
          <cell r="I40">
            <v>600</v>
          </cell>
          <cell r="J40">
            <v>1900</v>
          </cell>
        </row>
        <row r="41">
          <cell r="B41">
            <v>1032</v>
          </cell>
          <cell r="C41" t="str">
            <v>حمزه الاحمر</v>
          </cell>
          <cell r="D41" t="str">
            <v>مستودع جملة سلطان</v>
          </cell>
          <cell r="E41">
            <v>4000</v>
          </cell>
          <cell r="F41">
            <v>0</v>
          </cell>
          <cell r="G41"/>
          <cell r="H41"/>
          <cell r="I41">
            <v>6000</v>
          </cell>
          <cell r="J41">
            <v>10000</v>
          </cell>
        </row>
        <row r="42">
          <cell r="B42">
            <v>1033</v>
          </cell>
          <cell r="C42" t="str">
            <v>محمد بدرفيج محمد أكتير</v>
          </cell>
          <cell r="D42" t="str">
            <v>جملة ريال البركة</v>
          </cell>
          <cell r="E42">
            <v>1300</v>
          </cell>
          <cell r="F42">
            <v>0</v>
          </cell>
          <cell r="G42"/>
          <cell r="H42"/>
          <cell r="I42">
            <v>600</v>
          </cell>
          <cell r="J42">
            <v>1900</v>
          </cell>
        </row>
        <row r="43">
          <cell r="B43">
            <v>1034</v>
          </cell>
          <cell r="C43" t="str">
            <v>مد ميلون باطوري</v>
          </cell>
          <cell r="D43" t="str">
            <v>أونلاين</v>
          </cell>
          <cell r="E43">
            <v>1500</v>
          </cell>
          <cell r="F43">
            <v>0</v>
          </cell>
          <cell r="G43"/>
          <cell r="H43"/>
          <cell r="I43">
            <v>700</v>
          </cell>
          <cell r="J43">
            <v>2200</v>
          </cell>
        </row>
        <row r="44">
          <cell r="B44">
            <v>1035</v>
          </cell>
          <cell r="C44" t="str">
            <v>شاهين هولدير</v>
          </cell>
          <cell r="D44" t="str">
            <v>العنود</v>
          </cell>
          <cell r="E44">
            <v>1400</v>
          </cell>
          <cell r="F44">
            <v>0</v>
          </cell>
          <cell r="G44"/>
          <cell r="H44"/>
          <cell r="I44">
            <v>600</v>
          </cell>
          <cell r="J44">
            <v>2000</v>
          </cell>
        </row>
        <row r="45">
          <cell r="B45">
            <v>1036</v>
          </cell>
          <cell r="C45" t="str">
            <v>عارف نور الإسلام</v>
          </cell>
          <cell r="D45" t="str">
            <v>العنود</v>
          </cell>
          <cell r="E45">
            <v>1200</v>
          </cell>
          <cell r="F45">
            <v>0</v>
          </cell>
          <cell r="G45"/>
          <cell r="H45"/>
          <cell r="I45">
            <v>600</v>
          </cell>
          <cell r="J45">
            <v>1800</v>
          </cell>
        </row>
        <row r="46">
          <cell r="B46">
            <v>1037</v>
          </cell>
          <cell r="C46" t="str">
            <v>نوف عبدالرحمن صالح الرزيحي</v>
          </cell>
          <cell r="D46" t="str">
            <v>الإدارة</v>
          </cell>
          <cell r="E46">
            <v>4000</v>
          </cell>
          <cell r="F46">
            <v>0</v>
          </cell>
          <cell r="G46"/>
          <cell r="H46"/>
          <cell r="I46">
            <v>0</v>
          </cell>
          <cell r="J46">
            <v>4000</v>
          </cell>
        </row>
        <row r="47">
          <cell r="B47">
            <v>1038</v>
          </cell>
          <cell r="C47" t="str">
            <v>محمد عارف حسين</v>
          </cell>
          <cell r="D47" t="str">
            <v>غرناطة</v>
          </cell>
          <cell r="E47">
            <v>1300</v>
          </cell>
          <cell r="F47">
            <v>0</v>
          </cell>
          <cell r="G47"/>
          <cell r="H47"/>
          <cell r="I47">
            <v>600</v>
          </cell>
          <cell r="J47">
            <v>1900</v>
          </cell>
        </row>
        <row r="48">
          <cell r="B48">
            <v>1039</v>
          </cell>
          <cell r="C48" t="str">
            <v>يحي صالح سالم شامس</v>
          </cell>
          <cell r="D48" t="str">
            <v>جملة ريال البركة</v>
          </cell>
          <cell r="E48">
            <v>2000</v>
          </cell>
          <cell r="F48">
            <v>0</v>
          </cell>
          <cell r="G48"/>
          <cell r="H48"/>
          <cell r="I48">
            <v>1000</v>
          </cell>
          <cell r="J48">
            <v>3000</v>
          </cell>
        </row>
        <row r="49">
          <cell r="B49">
            <v>1040</v>
          </cell>
          <cell r="C49" t="str">
            <v>فاطمه محمد عبدالعزيز الشليل</v>
          </cell>
          <cell r="D49" t="str">
            <v>الإدارة</v>
          </cell>
          <cell r="E49">
            <v>4000</v>
          </cell>
          <cell r="F49">
            <v>0</v>
          </cell>
          <cell r="G49"/>
          <cell r="H49"/>
          <cell r="I49">
            <v>0</v>
          </cell>
          <cell r="J49">
            <v>4000</v>
          </cell>
        </row>
        <row r="50">
          <cell r="B50">
            <v>1041</v>
          </cell>
          <cell r="C50" t="str">
            <v>محمد عارف الإسلام</v>
          </cell>
          <cell r="D50" t="str">
            <v>مستودع جملة سلطان</v>
          </cell>
          <cell r="E50">
            <v>1600</v>
          </cell>
          <cell r="F50">
            <v>0</v>
          </cell>
          <cell r="G50"/>
          <cell r="H50"/>
          <cell r="I50">
            <v>900</v>
          </cell>
          <cell r="J50">
            <v>2500</v>
          </cell>
        </row>
        <row r="51">
          <cell r="B51">
            <v>1042</v>
          </cell>
          <cell r="C51" t="str">
            <v>هياء سليمان صالح المريشد</v>
          </cell>
          <cell r="D51" t="str">
            <v>الإدارة</v>
          </cell>
          <cell r="E51">
            <v>4000</v>
          </cell>
          <cell r="F51">
            <v>0</v>
          </cell>
          <cell r="G51"/>
          <cell r="H51"/>
          <cell r="I51">
            <v>0</v>
          </cell>
          <cell r="J51">
            <v>4000</v>
          </cell>
        </row>
        <row r="52">
          <cell r="B52">
            <v>1043</v>
          </cell>
          <cell r="C52" t="str">
            <v>عهود سعد محمد دهمش</v>
          </cell>
          <cell r="D52" t="str">
            <v>وكالة ممكن</v>
          </cell>
          <cell r="E52">
            <v>4000</v>
          </cell>
          <cell r="F52">
            <v>0</v>
          </cell>
          <cell r="G52"/>
          <cell r="H52"/>
          <cell r="I52">
            <v>0</v>
          </cell>
          <cell r="J52">
            <v>4000</v>
          </cell>
        </row>
        <row r="53">
          <cell r="B53">
            <v>1044</v>
          </cell>
          <cell r="C53" t="str">
            <v>محمد علي فورازي</v>
          </cell>
          <cell r="D53" t="str">
            <v>الدائري الغربي</v>
          </cell>
          <cell r="E53">
            <v>1300</v>
          </cell>
          <cell r="F53">
            <v>0</v>
          </cell>
          <cell r="G53"/>
          <cell r="H53"/>
          <cell r="I53">
            <v>550</v>
          </cell>
          <cell r="J53">
            <v>1850</v>
          </cell>
        </row>
        <row r="54">
          <cell r="B54">
            <v>1045</v>
          </cell>
          <cell r="C54" t="str">
            <v>لمياء سليمان صالح المريشد</v>
          </cell>
          <cell r="D54" t="str">
            <v>وكالة ممكن</v>
          </cell>
          <cell r="E54">
            <v>4000</v>
          </cell>
          <cell r="F54">
            <v>0</v>
          </cell>
          <cell r="G54"/>
          <cell r="H54"/>
          <cell r="I54">
            <v>0</v>
          </cell>
          <cell r="J54">
            <v>4000</v>
          </cell>
        </row>
        <row r="55">
          <cell r="B55">
            <v>1046</v>
          </cell>
          <cell r="C55" t="str">
            <v>سليمان صالح سليمان المريشد</v>
          </cell>
          <cell r="D55" t="str">
            <v>الإدارة</v>
          </cell>
          <cell r="E55">
            <v>4000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4000</v>
          </cell>
        </row>
        <row r="56">
          <cell r="B56">
            <v>1047</v>
          </cell>
          <cell r="C56" t="str">
            <v>هشام عثمان موسى احمد</v>
          </cell>
          <cell r="D56" t="str">
            <v>جملة ريال البركة</v>
          </cell>
          <cell r="E56">
            <v>1800</v>
          </cell>
          <cell r="F56">
            <v>0</v>
          </cell>
          <cell r="G56"/>
          <cell r="H56"/>
          <cell r="I56">
            <v>800</v>
          </cell>
          <cell r="J56">
            <v>2600</v>
          </cell>
        </row>
        <row r="57">
          <cell r="B57">
            <v>1048</v>
          </cell>
          <cell r="C57" t="str">
            <v>محمد شؤيف حسين</v>
          </cell>
          <cell r="D57" t="str">
            <v>العنود</v>
          </cell>
          <cell r="E57">
            <v>1300</v>
          </cell>
          <cell r="F57">
            <v>0</v>
          </cell>
          <cell r="G57"/>
          <cell r="H57"/>
          <cell r="I57">
            <v>600</v>
          </cell>
          <cell r="J57">
            <v>1900</v>
          </cell>
        </row>
        <row r="58">
          <cell r="B58">
            <v>1049</v>
          </cell>
          <cell r="C58" t="str">
            <v>محمد شجون</v>
          </cell>
          <cell r="D58" t="str">
            <v>هاينس</v>
          </cell>
          <cell r="E58">
            <v>1300</v>
          </cell>
          <cell r="F58">
            <v>0</v>
          </cell>
          <cell r="G58"/>
          <cell r="H58"/>
          <cell r="I58">
            <v>650</v>
          </cell>
          <cell r="J58">
            <v>1950</v>
          </cell>
        </row>
        <row r="59">
          <cell r="B59">
            <v>1050</v>
          </cell>
          <cell r="C59" t="str">
            <v>محمد عطية سعد</v>
          </cell>
          <cell r="D59" t="str">
            <v>الإدارة</v>
          </cell>
          <cell r="E59">
            <v>3000</v>
          </cell>
          <cell r="F59">
            <v>0</v>
          </cell>
          <cell r="G59"/>
          <cell r="H59"/>
          <cell r="I59">
            <v>0</v>
          </cell>
          <cell r="J59">
            <v>3000</v>
          </cell>
        </row>
        <row r="60">
          <cell r="B60">
            <v>1051</v>
          </cell>
          <cell r="C60" t="str">
            <v>مشعل حسن صالح القحطاني</v>
          </cell>
          <cell r="D60" t="str">
            <v>المصيف</v>
          </cell>
          <cell r="E60">
            <v>4000</v>
          </cell>
          <cell r="F60">
            <v>0</v>
          </cell>
          <cell r="G60"/>
          <cell r="H60"/>
          <cell r="I60">
            <v>0</v>
          </cell>
          <cell r="J60">
            <v>4000</v>
          </cell>
        </row>
        <row r="61">
          <cell r="B61">
            <v>1052</v>
          </cell>
          <cell r="C61" t="str">
            <v>محمد يحي محسن عميسان</v>
          </cell>
          <cell r="D61" t="str">
            <v>اليرموك</v>
          </cell>
          <cell r="E61">
            <v>8000</v>
          </cell>
          <cell r="F61">
            <v>0</v>
          </cell>
          <cell r="G61"/>
          <cell r="H61"/>
          <cell r="I61">
            <v>7000</v>
          </cell>
          <cell r="J61">
            <v>15000</v>
          </cell>
        </row>
        <row r="62">
          <cell r="B62">
            <v>1053</v>
          </cell>
          <cell r="C62" t="str">
            <v>بشاير خليل أحمد العنزي</v>
          </cell>
          <cell r="D62" t="str">
            <v>الدائري الغربي</v>
          </cell>
          <cell r="E62">
            <v>4000</v>
          </cell>
          <cell r="F62">
            <v>0</v>
          </cell>
          <cell r="G62"/>
          <cell r="H62"/>
          <cell r="I62">
            <v>800</v>
          </cell>
          <cell r="J62">
            <v>4800</v>
          </cell>
        </row>
        <row r="63">
          <cell r="B63">
            <v>1054</v>
          </cell>
          <cell r="C63" t="str">
            <v>نبيل محمد علي السلمي</v>
          </cell>
          <cell r="D63" t="str">
            <v>العنود</v>
          </cell>
          <cell r="E63">
            <v>2000</v>
          </cell>
          <cell r="F63">
            <v>0</v>
          </cell>
          <cell r="G63"/>
          <cell r="H63"/>
          <cell r="I63">
            <v>2000</v>
          </cell>
          <cell r="J63">
            <v>4000</v>
          </cell>
        </row>
        <row r="64">
          <cell r="B64">
            <v>1055</v>
          </cell>
          <cell r="C64" t="str">
            <v>محضار عبدالله حسين السيد</v>
          </cell>
          <cell r="D64" t="str">
            <v>جملة ريال البركة</v>
          </cell>
          <cell r="E64">
            <v>2800</v>
          </cell>
          <cell r="F64">
            <v>0</v>
          </cell>
          <cell r="G64"/>
          <cell r="H64"/>
          <cell r="I64">
            <v>3200</v>
          </cell>
          <cell r="J64">
            <v>6000</v>
          </cell>
        </row>
        <row r="65">
          <cell r="B65">
            <v>1056</v>
          </cell>
          <cell r="C65" t="str">
            <v>جمال علي فرحان الفنيني</v>
          </cell>
          <cell r="D65" t="str">
            <v>جملة ريال البركة</v>
          </cell>
          <cell r="E65">
            <v>2200</v>
          </cell>
          <cell r="F65">
            <v>0</v>
          </cell>
          <cell r="G65"/>
          <cell r="H65"/>
          <cell r="I65">
            <v>1300</v>
          </cell>
          <cell r="J65">
            <v>3500</v>
          </cell>
        </row>
        <row r="66">
          <cell r="B66">
            <v>1057</v>
          </cell>
          <cell r="C66" t="str">
            <v>أكرم ال حقي</v>
          </cell>
          <cell r="D66" t="str">
            <v>المصيف</v>
          </cell>
          <cell r="E66">
            <v>1600</v>
          </cell>
          <cell r="F66">
            <v>0</v>
          </cell>
          <cell r="G66"/>
          <cell r="H66"/>
          <cell r="I66">
            <v>300</v>
          </cell>
          <cell r="J66">
            <v>1900</v>
          </cell>
        </row>
        <row r="67">
          <cell r="B67">
            <v>1058</v>
          </cell>
          <cell r="C67" t="str">
            <v>ألمغير حسين</v>
          </cell>
          <cell r="D67" t="str">
            <v>اليرموك</v>
          </cell>
          <cell r="E67">
            <v>1600</v>
          </cell>
          <cell r="F67">
            <v>0</v>
          </cell>
          <cell r="G67"/>
          <cell r="H67"/>
          <cell r="I67">
            <v>300</v>
          </cell>
          <cell r="J67">
            <v>1900</v>
          </cell>
        </row>
        <row r="68">
          <cell r="B68">
            <v>1059</v>
          </cell>
          <cell r="C68" t="str">
            <v>رامجان علي صديقي</v>
          </cell>
          <cell r="D68" t="str">
            <v>المصيف</v>
          </cell>
          <cell r="E68">
            <v>1600</v>
          </cell>
          <cell r="F68">
            <v>0</v>
          </cell>
          <cell r="G68"/>
          <cell r="H68"/>
          <cell r="I68">
            <v>300</v>
          </cell>
          <cell r="J68">
            <v>1900</v>
          </cell>
        </row>
        <row r="69">
          <cell r="B69">
            <v>1060</v>
          </cell>
          <cell r="C69" t="str">
            <v>عبدالرحمن علي حسين قرانه</v>
          </cell>
          <cell r="D69" t="str">
            <v>المصيف</v>
          </cell>
          <cell r="E69">
            <v>2000</v>
          </cell>
          <cell r="F69">
            <v>0</v>
          </cell>
          <cell r="G69"/>
          <cell r="H69"/>
          <cell r="I69">
            <v>300</v>
          </cell>
          <cell r="J69">
            <v>2300</v>
          </cell>
        </row>
        <row r="70">
          <cell r="B70">
            <v>1061</v>
          </cell>
          <cell r="C70" t="str">
            <v>ماجد محمد يحيى السودي</v>
          </cell>
          <cell r="D70" t="str">
            <v>اليرموك</v>
          </cell>
          <cell r="E70">
            <v>2000</v>
          </cell>
          <cell r="F70">
            <v>0</v>
          </cell>
          <cell r="G70"/>
          <cell r="H70"/>
          <cell r="I70">
            <v>500</v>
          </cell>
          <cell r="J70">
            <v>2500</v>
          </cell>
        </row>
        <row r="71">
          <cell r="B71">
            <v>1062</v>
          </cell>
          <cell r="C71" t="str">
            <v>مراد علي حسن قرانه</v>
          </cell>
          <cell r="D71" t="str">
            <v>المصيف</v>
          </cell>
          <cell r="E71">
            <v>3300</v>
          </cell>
          <cell r="F71">
            <v>0</v>
          </cell>
          <cell r="G71"/>
          <cell r="H71"/>
          <cell r="I71">
            <v>0</v>
          </cell>
          <cell r="J71">
            <v>3300</v>
          </cell>
        </row>
        <row r="72">
          <cell r="B72">
            <v>1063</v>
          </cell>
          <cell r="C72" t="str">
            <v>جميل علي حسن عبدالله</v>
          </cell>
          <cell r="D72" t="str">
            <v>جملة ريال البركة</v>
          </cell>
          <cell r="E72">
            <v>2000</v>
          </cell>
          <cell r="F72">
            <v>0</v>
          </cell>
          <cell r="G72"/>
          <cell r="H72"/>
          <cell r="I72">
            <v>1300</v>
          </cell>
          <cell r="J72">
            <v>3300</v>
          </cell>
        </row>
        <row r="73">
          <cell r="B73">
            <v>1064</v>
          </cell>
          <cell r="C73" t="str">
            <v>معين الدين وحيد</v>
          </cell>
          <cell r="D73" t="str">
            <v>هاينس</v>
          </cell>
          <cell r="E73">
            <v>1400</v>
          </cell>
          <cell r="F73">
            <v>0</v>
          </cell>
          <cell r="G73"/>
          <cell r="H73"/>
          <cell r="I73">
            <v>1100</v>
          </cell>
          <cell r="J73">
            <v>2500</v>
          </cell>
        </row>
        <row r="74">
          <cell r="B74">
            <v>1065</v>
          </cell>
          <cell r="C74" t="str">
            <v>عمر محمد عبده علي السلمي</v>
          </cell>
          <cell r="D74" t="str">
            <v>الشفا</v>
          </cell>
          <cell r="E74">
            <v>2000</v>
          </cell>
          <cell r="F74">
            <v>0</v>
          </cell>
          <cell r="G74"/>
          <cell r="H74"/>
          <cell r="I74">
            <v>800</v>
          </cell>
          <cell r="J74">
            <v>2800</v>
          </cell>
        </row>
        <row r="75">
          <cell r="B75">
            <v>1066</v>
          </cell>
          <cell r="C75" t="str">
            <v>محمد عبدالله حسين محمد السيد</v>
          </cell>
          <cell r="D75" t="str">
            <v>جملة ريال البركة</v>
          </cell>
          <cell r="E75">
            <v>1300</v>
          </cell>
          <cell r="F75">
            <v>0</v>
          </cell>
          <cell r="G75"/>
          <cell r="H75"/>
          <cell r="I75">
            <v>700</v>
          </cell>
          <cell r="J75">
            <v>2000</v>
          </cell>
        </row>
        <row r="76">
          <cell r="B76">
            <v>1067</v>
          </cell>
          <cell r="C76" t="str">
            <v>شوقي النور مصطفي أحمد</v>
          </cell>
          <cell r="D76" t="str">
            <v>مستودع جملة سلطان</v>
          </cell>
          <cell r="E76">
            <v>2000</v>
          </cell>
          <cell r="F76">
            <v>0</v>
          </cell>
          <cell r="G76"/>
          <cell r="H76"/>
          <cell r="I76">
            <v>200</v>
          </cell>
          <cell r="J76">
            <v>2200</v>
          </cell>
        </row>
        <row r="77">
          <cell r="B77">
            <v>1068</v>
          </cell>
          <cell r="C77" t="str">
            <v>تهاني محمد محسن السهلي</v>
          </cell>
          <cell r="D77" t="str">
            <v>الدائري الغربي</v>
          </cell>
          <cell r="E77">
            <v>4000</v>
          </cell>
          <cell r="F77">
            <v>0</v>
          </cell>
          <cell r="G77"/>
          <cell r="H77"/>
          <cell r="I77">
            <v>500</v>
          </cell>
          <cell r="J77">
            <v>4500</v>
          </cell>
        </row>
        <row r="78">
          <cell r="B78">
            <v>1069</v>
          </cell>
          <cell r="C78" t="str">
            <v>هشام مقبل عبده علي السلمي</v>
          </cell>
          <cell r="D78" t="str">
            <v>الأندلس</v>
          </cell>
          <cell r="E78">
            <v>2000</v>
          </cell>
          <cell r="F78">
            <v>0</v>
          </cell>
          <cell r="G78"/>
          <cell r="H78"/>
          <cell r="I78">
            <v>800</v>
          </cell>
          <cell r="J78">
            <v>2800</v>
          </cell>
        </row>
        <row r="79">
          <cell r="B79">
            <v>1070</v>
          </cell>
          <cell r="C79" t="str">
            <v>مطيع صالح حمود قايد الفهد</v>
          </cell>
          <cell r="D79" t="str">
            <v>المصنع</v>
          </cell>
          <cell r="E79">
            <v>1400</v>
          </cell>
          <cell r="F79">
            <v>0</v>
          </cell>
          <cell r="G79"/>
          <cell r="H79"/>
          <cell r="I79">
            <v>600</v>
          </cell>
          <cell r="J79">
            <v>2000</v>
          </cell>
        </row>
        <row r="80">
          <cell r="B80">
            <v>1071</v>
          </cell>
          <cell r="C80" t="str">
            <v>أحمد أحمد عبدالله أحمد</v>
          </cell>
          <cell r="D80" t="str">
            <v>اليرموك</v>
          </cell>
          <cell r="E80">
            <v>2000</v>
          </cell>
          <cell r="F80">
            <v>0</v>
          </cell>
          <cell r="G80"/>
          <cell r="H80"/>
          <cell r="I80">
            <v>300</v>
          </cell>
          <cell r="J80">
            <v>2300</v>
          </cell>
        </row>
        <row r="81">
          <cell r="B81">
            <v>1072</v>
          </cell>
          <cell r="C81" t="str">
            <v>محمد أحمد محمد عبد القوي الزيادي</v>
          </cell>
          <cell r="D81" t="str">
            <v>اليرموك</v>
          </cell>
          <cell r="E81">
            <v>2000</v>
          </cell>
          <cell r="F81">
            <v>0</v>
          </cell>
          <cell r="G81"/>
          <cell r="H81"/>
          <cell r="I81">
            <v>500</v>
          </cell>
          <cell r="J81">
            <v>2500</v>
          </cell>
        </row>
        <row r="82">
          <cell r="B82">
            <v>1073</v>
          </cell>
          <cell r="C82" t="str">
            <v>محمد عباس علي</v>
          </cell>
          <cell r="D82" t="str">
            <v>غرناطة</v>
          </cell>
          <cell r="E82">
            <v>1300</v>
          </cell>
          <cell r="F82">
            <v>0</v>
          </cell>
          <cell r="G82"/>
          <cell r="H82"/>
          <cell r="I82">
            <v>600</v>
          </cell>
          <cell r="J82">
            <v>1900</v>
          </cell>
        </row>
        <row r="83">
          <cell r="B83">
            <v>1074</v>
          </cell>
          <cell r="C83" t="str">
            <v>زكريا علي صالح احمد</v>
          </cell>
          <cell r="D83" t="str">
            <v>الإدارة</v>
          </cell>
          <cell r="E83">
            <v>2500</v>
          </cell>
          <cell r="F83">
            <v>0</v>
          </cell>
          <cell r="G83"/>
          <cell r="H83"/>
          <cell r="I83">
            <v>1500</v>
          </cell>
          <cell r="J83">
            <v>4000</v>
          </cell>
        </row>
        <row r="84">
          <cell r="B84">
            <v>1075</v>
          </cell>
          <cell r="C84" t="str">
            <v>اريج مرداس عبدالله ال مسفوه اليامي</v>
          </cell>
          <cell r="D84" t="str">
            <v>الدائري الغربي</v>
          </cell>
          <cell r="E84">
            <v>4000</v>
          </cell>
          <cell r="F84">
            <v>0</v>
          </cell>
          <cell r="G84"/>
          <cell r="H84"/>
          <cell r="I84">
            <v>0</v>
          </cell>
          <cell r="J84">
            <v>4000</v>
          </cell>
        </row>
        <row r="85">
          <cell r="B85">
            <v>1076</v>
          </cell>
          <cell r="C85" t="str">
            <v>ايمان حسين</v>
          </cell>
          <cell r="D85" t="str">
            <v>مستودع جملة سلطان</v>
          </cell>
          <cell r="E85">
            <v>1200</v>
          </cell>
          <cell r="F85">
            <v>0</v>
          </cell>
          <cell r="G85"/>
          <cell r="H85"/>
          <cell r="I85">
            <v>500</v>
          </cell>
          <cell r="J85">
            <v>1700</v>
          </cell>
        </row>
        <row r="86">
          <cell r="B86">
            <v>1077</v>
          </cell>
          <cell r="C86" t="str">
            <v>رابي حسين</v>
          </cell>
          <cell r="D86" t="str">
            <v>هاينس</v>
          </cell>
          <cell r="E86">
            <v>1200</v>
          </cell>
          <cell r="F86">
            <v>0</v>
          </cell>
          <cell r="G86"/>
          <cell r="H86"/>
          <cell r="I86">
            <v>600</v>
          </cell>
          <cell r="J86">
            <v>1800</v>
          </cell>
        </row>
        <row r="87">
          <cell r="B87">
            <v>1078</v>
          </cell>
          <cell r="C87" t="str">
            <v>فكري عبدالدائم محمد عبدالرحمن</v>
          </cell>
          <cell r="D87" t="str">
            <v>مستودع عكاظ 23</v>
          </cell>
          <cell r="E87">
            <v>800</v>
          </cell>
          <cell r="F87">
            <v>0</v>
          </cell>
          <cell r="G87"/>
          <cell r="H87"/>
          <cell r="I87"/>
          <cell r="J87">
            <v>800</v>
          </cell>
        </row>
        <row r="88">
          <cell r="B88">
            <v>1079</v>
          </cell>
          <cell r="C88" t="str">
            <v>خالق عبد الرشيد</v>
          </cell>
          <cell r="D88" t="str">
            <v>الشفا</v>
          </cell>
          <cell r="E88">
            <v>1200</v>
          </cell>
          <cell r="F88">
            <v>0</v>
          </cell>
          <cell r="G88"/>
          <cell r="H88"/>
          <cell r="I88">
            <v>550</v>
          </cell>
          <cell r="J88">
            <v>1750</v>
          </cell>
        </row>
        <row r="89">
          <cell r="B89">
            <v>1080</v>
          </cell>
          <cell r="C89" t="str">
            <v>محمد السر علي الخليفة</v>
          </cell>
          <cell r="D89" t="str">
            <v>المصنع</v>
          </cell>
          <cell r="E89">
            <v>1300</v>
          </cell>
          <cell r="F89">
            <v>0</v>
          </cell>
          <cell r="G89"/>
          <cell r="H89"/>
          <cell r="I89">
            <v>600</v>
          </cell>
          <cell r="J89">
            <v>1900</v>
          </cell>
        </row>
        <row r="90">
          <cell r="B90">
            <v>1081</v>
          </cell>
          <cell r="C90" t="str">
            <v>حسام حسن عبده الحاج حزام</v>
          </cell>
          <cell r="D90" t="str">
            <v>بريدة</v>
          </cell>
          <cell r="E90">
            <v>1800</v>
          </cell>
          <cell r="F90">
            <v>0</v>
          </cell>
          <cell r="G90"/>
          <cell r="H90"/>
          <cell r="I90">
            <v>700</v>
          </cell>
          <cell r="J90">
            <v>2500</v>
          </cell>
        </row>
        <row r="91">
          <cell r="B91">
            <v>1082</v>
          </cell>
          <cell r="C91" t="str">
            <v>امجد حسين صديقي</v>
          </cell>
          <cell r="D91" t="str">
            <v>مستودع جملة سلطان</v>
          </cell>
          <cell r="E91">
            <v>1000</v>
          </cell>
          <cell r="F91">
            <v>0</v>
          </cell>
          <cell r="G91"/>
          <cell r="H91"/>
          <cell r="I91">
            <v>700</v>
          </cell>
          <cell r="J91">
            <v>1700</v>
          </cell>
        </row>
        <row r="92">
          <cell r="B92">
            <v>1083</v>
          </cell>
          <cell r="C92" t="str">
            <v>خدادين منصور</v>
          </cell>
          <cell r="D92" t="str">
            <v>جملة ريال البركة</v>
          </cell>
          <cell r="E92">
            <v>1200</v>
          </cell>
          <cell r="F92">
            <v>0</v>
          </cell>
          <cell r="G92"/>
          <cell r="H92"/>
          <cell r="I92">
            <v>500</v>
          </cell>
          <cell r="J92">
            <v>1700</v>
          </cell>
        </row>
        <row r="93">
          <cell r="B93">
            <v>1084</v>
          </cell>
          <cell r="C93" t="str">
            <v>رانجيف شيخ</v>
          </cell>
          <cell r="D93" t="str">
            <v>المصنع</v>
          </cell>
          <cell r="E93">
            <v>1200</v>
          </cell>
          <cell r="F93">
            <v>0</v>
          </cell>
          <cell r="G93"/>
          <cell r="H93"/>
          <cell r="I93">
            <v>700</v>
          </cell>
          <cell r="J93">
            <v>1900</v>
          </cell>
        </row>
        <row r="94">
          <cell r="B94">
            <v>1085</v>
          </cell>
          <cell r="C94" t="str">
            <v>شيخ احمد علام</v>
          </cell>
          <cell r="D94" t="str">
            <v>مستودع جملة سلطان</v>
          </cell>
          <cell r="E94">
            <v>1200</v>
          </cell>
          <cell r="F94">
            <v>0</v>
          </cell>
          <cell r="G94"/>
          <cell r="H94"/>
          <cell r="I94">
            <v>500</v>
          </cell>
          <cell r="J94">
            <v>1700</v>
          </cell>
        </row>
        <row r="95">
          <cell r="B95">
            <v>1086</v>
          </cell>
          <cell r="C95" t="str">
            <v>شيخ اسك</v>
          </cell>
          <cell r="D95" t="str">
            <v>أونلاين</v>
          </cell>
          <cell r="E95">
            <v>1200</v>
          </cell>
          <cell r="F95">
            <v>0</v>
          </cell>
          <cell r="G95"/>
          <cell r="H95"/>
          <cell r="I95">
            <v>500</v>
          </cell>
          <cell r="J95">
            <v>1700</v>
          </cell>
        </row>
        <row r="96">
          <cell r="B96">
            <v>1087</v>
          </cell>
          <cell r="C96" t="str">
            <v>ضيا انصاري</v>
          </cell>
          <cell r="D96" t="str">
            <v>مستودع جملة سلطان</v>
          </cell>
          <cell r="E96">
            <v>1200</v>
          </cell>
          <cell r="F96">
            <v>0</v>
          </cell>
          <cell r="G96"/>
          <cell r="H96"/>
          <cell r="I96">
            <v>500</v>
          </cell>
          <cell r="J96">
            <v>1700</v>
          </cell>
        </row>
        <row r="97">
          <cell r="B97">
            <v>1088</v>
          </cell>
          <cell r="C97" t="str">
            <v>عطا بول انصاري</v>
          </cell>
          <cell r="D97" t="str">
            <v>غرناطة</v>
          </cell>
          <cell r="E97">
            <v>1200</v>
          </cell>
          <cell r="F97">
            <v>0</v>
          </cell>
          <cell r="G97"/>
          <cell r="H97"/>
          <cell r="I97">
            <v>500</v>
          </cell>
          <cell r="J97">
            <v>1700</v>
          </cell>
        </row>
        <row r="98">
          <cell r="B98">
            <v>1089</v>
          </cell>
          <cell r="C98" t="str">
            <v>كنانين سيس</v>
          </cell>
          <cell r="D98" t="str">
            <v>المصنع</v>
          </cell>
          <cell r="E98">
            <v>1200</v>
          </cell>
          <cell r="F98">
            <v>0</v>
          </cell>
          <cell r="G98"/>
          <cell r="H98"/>
          <cell r="I98">
            <v>700</v>
          </cell>
          <cell r="J98">
            <v>1900</v>
          </cell>
        </row>
        <row r="99">
          <cell r="B99">
            <v>1090</v>
          </cell>
          <cell r="C99" t="str">
            <v>شاة بران</v>
          </cell>
          <cell r="D99" t="str">
            <v>لبن</v>
          </cell>
          <cell r="E99">
            <v>1200</v>
          </cell>
          <cell r="F99">
            <v>0</v>
          </cell>
          <cell r="G99"/>
          <cell r="H99"/>
          <cell r="I99">
            <v>500</v>
          </cell>
          <cell r="J99">
            <v>1700</v>
          </cell>
        </row>
        <row r="100">
          <cell r="B100">
            <v>1091</v>
          </cell>
          <cell r="C100" t="str">
            <v>محمد مأمون حسين</v>
          </cell>
          <cell r="D100" t="str">
            <v>الشفا</v>
          </cell>
          <cell r="E100">
            <v>1400</v>
          </cell>
          <cell r="F100">
            <v>0</v>
          </cell>
          <cell r="G100"/>
          <cell r="H100"/>
          <cell r="I100">
            <v>350</v>
          </cell>
          <cell r="J100">
            <v>1750</v>
          </cell>
        </row>
        <row r="101">
          <cell r="B101">
            <v>1092</v>
          </cell>
          <cell r="C101" t="str">
            <v>اسف علم كندي عبد الستار</v>
          </cell>
          <cell r="D101" t="str">
            <v>الإدارة</v>
          </cell>
          <cell r="E101">
            <v>1400</v>
          </cell>
          <cell r="F101">
            <v>0</v>
          </cell>
          <cell r="G101"/>
          <cell r="H101"/>
          <cell r="I101">
            <v>900</v>
          </cell>
          <cell r="J101">
            <v>2300</v>
          </cell>
        </row>
        <row r="102">
          <cell r="B102">
            <v>1093</v>
          </cell>
          <cell r="C102" t="str">
            <v>وسيم بري خان</v>
          </cell>
          <cell r="D102" t="str">
            <v>المصنع</v>
          </cell>
          <cell r="E102">
            <v>1200</v>
          </cell>
          <cell r="F102">
            <v>0</v>
          </cell>
          <cell r="G102"/>
          <cell r="H102"/>
          <cell r="I102">
            <v>600</v>
          </cell>
          <cell r="J102">
            <v>1800</v>
          </cell>
        </row>
        <row r="103">
          <cell r="B103">
            <v>1094</v>
          </cell>
          <cell r="C103" t="str">
            <v>بلال حوسان سيفال</v>
          </cell>
          <cell r="D103" t="str">
            <v>الأندلس</v>
          </cell>
          <cell r="E103">
            <v>1000</v>
          </cell>
          <cell r="F103">
            <v>0</v>
          </cell>
          <cell r="G103"/>
          <cell r="H103"/>
          <cell r="I103">
            <v>650</v>
          </cell>
          <cell r="J103">
            <v>1650</v>
          </cell>
        </row>
        <row r="104">
          <cell r="B104">
            <v>1095</v>
          </cell>
          <cell r="C104" t="str">
            <v>سري بيدان ساركار</v>
          </cell>
          <cell r="D104" t="str">
            <v>الشفا</v>
          </cell>
          <cell r="E104">
            <v>1200</v>
          </cell>
          <cell r="F104">
            <v>0</v>
          </cell>
          <cell r="G104"/>
          <cell r="H104"/>
          <cell r="I104">
            <v>550</v>
          </cell>
          <cell r="J104">
            <v>1750</v>
          </cell>
        </row>
        <row r="105">
          <cell r="B105">
            <v>1096</v>
          </cell>
          <cell r="C105" t="str">
            <v>محمد أنس علي</v>
          </cell>
          <cell r="D105" t="str">
            <v>الأندلس</v>
          </cell>
          <cell r="E105">
            <v>1200</v>
          </cell>
          <cell r="F105">
            <v>0</v>
          </cell>
          <cell r="G105"/>
          <cell r="H105"/>
          <cell r="I105">
            <v>500</v>
          </cell>
          <cell r="J105">
            <v>1700</v>
          </cell>
        </row>
        <row r="106">
          <cell r="B106">
            <v>1097</v>
          </cell>
          <cell r="C106" t="str">
            <v>مد شبوزا</v>
          </cell>
          <cell r="D106" t="str">
            <v>لبن</v>
          </cell>
          <cell r="E106">
            <v>1000</v>
          </cell>
          <cell r="F106">
            <v>0</v>
          </cell>
          <cell r="G106"/>
          <cell r="H106"/>
          <cell r="I106">
            <v>650</v>
          </cell>
          <cell r="J106">
            <v>1650</v>
          </cell>
        </row>
        <row r="107">
          <cell r="B107">
            <v>1098</v>
          </cell>
          <cell r="C107" t="str">
            <v>محمد فاروق حسين</v>
          </cell>
          <cell r="D107" t="str">
            <v>لبن</v>
          </cell>
          <cell r="E107">
            <v>1200</v>
          </cell>
          <cell r="F107">
            <v>0</v>
          </cell>
          <cell r="G107"/>
          <cell r="H107"/>
          <cell r="I107">
            <v>500</v>
          </cell>
          <cell r="J107">
            <v>1700</v>
          </cell>
        </row>
        <row r="108">
          <cell r="B108">
            <v>1099</v>
          </cell>
          <cell r="C108" t="str">
            <v>عبدالله الطحامي</v>
          </cell>
          <cell r="D108" t="str">
            <v>وكالة ممكن</v>
          </cell>
          <cell r="E108">
            <v>4000</v>
          </cell>
          <cell r="F108">
            <v>0</v>
          </cell>
          <cell r="G108">
            <v>0</v>
          </cell>
          <cell r="H108">
            <v>0</v>
          </cell>
          <cell r="I108">
            <v>2000</v>
          </cell>
          <cell r="J108">
            <v>6000</v>
          </cell>
        </row>
        <row r="109">
          <cell r="B109">
            <v>1100</v>
          </cell>
          <cell r="C109" t="str">
            <v>نوره حمد فنيس الكبرى</v>
          </cell>
          <cell r="D109" t="str">
            <v>غرناطة</v>
          </cell>
          <cell r="E109">
            <v>4000</v>
          </cell>
          <cell r="F109">
            <v>0</v>
          </cell>
          <cell r="G109"/>
          <cell r="H109"/>
          <cell r="I109">
            <v>300</v>
          </cell>
          <cell r="J109">
            <v>4300</v>
          </cell>
        </row>
        <row r="110">
          <cell r="B110">
            <v>1101</v>
          </cell>
          <cell r="C110" t="str">
            <v>فاطمة إبراهيم سعود العبودي</v>
          </cell>
          <cell r="D110" t="str">
            <v>الإدارة</v>
          </cell>
          <cell r="E110">
            <v>4000</v>
          </cell>
          <cell r="F110">
            <v>0</v>
          </cell>
          <cell r="G110"/>
          <cell r="H110"/>
          <cell r="I110">
            <v>0</v>
          </cell>
          <cell r="J110">
            <v>4000</v>
          </cell>
        </row>
        <row r="111">
          <cell r="B111">
            <v>1102</v>
          </cell>
          <cell r="C111" t="str">
            <v>مجيد مياه عبدال حنان</v>
          </cell>
          <cell r="D111" t="str">
            <v>الشفا</v>
          </cell>
          <cell r="E111">
            <v>1200</v>
          </cell>
          <cell r="F111">
            <v>0</v>
          </cell>
          <cell r="G111"/>
          <cell r="H111"/>
          <cell r="I111">
            <v>550</v>
          </cell>
          <cell r="J111">
            <v>1750</v>
          </cell>
        </row>
        <row r="112">
          <cell r="B112">
            <v>1103</v>
          </cell>
          <cell r="C112" t="str">
            <v>شهد سلطان عبدالرحمن الرزيحي</v>
          </cell>
          <cell r="D112" t="str">
            <v>الإدارة</v>
          </cell>
          <cell r="E112">
            <v>4000</v>
          </cell>
          <cell r="F112">
            <v>0</v>
          </cell>
          <cell r="G112"/>
          <cell r="H112"/>
          <cell r="I112">
            <v>0</v>
          </cell>
          <cell r="J112">
            <v>4000</v>
          </cell>
        </row>
        <row r="113">
          <cell r="B113">
            <v>1104</v>
          </cell>
          <cell r="C113" t="str">
            <v>الهنوف خالد محمد الباحوث</v>
          </cell>
          <cell r="D113" t="str">
            <v>غرناطة</v>
          </cell>
          <cell r="E113">
            <v>4000</v>
          </cell>
          <cell r="F113">
            <v>0</v>
          </cell>
          <cell r="G113"/>
          <cell r="H113"/>
          <cell r="I113">
            <v>300</v>
          </cell>
          <cell r="J113">
            <v>4300</v>
          </cell>
        </row>
        <row r="114">
          <cell r="B114">
            <v>1105</v>
          </cell>
          <cell r="C114" t="str">
            <v>حافظ محمد يحي حكمي</v>
          </cell>
          <cell r="D114" t="str">
            <v>وكالة ممكن</v>
          </cell>
          <cell r="E114">
            <v>3500</v>
          </cell>
          <cell r="F114">
            <v>0</v>
          </cell>
          <cell r="G114"/>
          <cell r="H114"/>
          <cell r="I114">
            <v>2000</v>
          </cell>
          <cell r="J114">
            <v>5500</v>
          </cell>
        </row>
        <row r="115">
          <cell r="B115">
            <v>1106</v>
          </cell>
          <cell r="C115" t="str">
            <v>محمد عبدالمنعم السيد عرفه</v>
          </cell>
          <cell r="D115" t="str">
            <v>المالك</v>
          </cell>
          <cell r="E115">
            <v>400</v>
          </cell>
          <cell r="F115">
            <v>0</v>
          </cell>
          <cell r="G115"/>
          <cell r="H115"/>
          <cell r="I115">
            <v>0</v>
          </cell>
          <cell r="J115">
            <v>400</v>
          </cell>
        </row>
        <row r="116">
          <cell r="B116">
            <v>1107</v>
          </cell>
          <cell r="C116" t="str">
            <v>عمار مختار الحناني</v>
          </cell>
          <cell r="D116" t="str">
            <v>وكالة ممكن</v>
          </cell>
          <cell r="E116">
            <v>3000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3000</v>
          </cell>
        </row>
        <row r="117">
          <cell r="B117">
            <v>1108</v>
          </cell>
          <cell r="C117" t="str">
            <v>عمر محمود محمد احمد</v>
          </cell>
          <cell r="D117" t="str">
            <v>الإدارة</v>
          </cell>
          <cell r="E117">
            <v>2400</v>
          </cell>
          <cell r="F117">
            <v>0</v>
          </cell>
          <cell r="G117"/>
          <cell r="H117"/>
          <cell r="I117">
            <v>2600</v>
          </cell>
          <cell r="J117">
            <v>5000</v>
          </cell>
        </row>
        <row r="118">
          <cell r="B118">
            <v>1109</v>
          </cell>
          <cell r="C118" t="str">
            <v>احمد سمير محمود الجندى</v>
          </cell>
          <cell r="D118" t="str">
            <v>جملة ريال البركة</v>
          </cell>
          <cell r="E118">
            <v>1600</v>
          </cell>
          <cell r="F118">
            <v>0</v>
          </cell>
          <cell r="G118"/>
          <cell r="H118"/>
          <cell r="I118">
            <v>1200</v>
          </cell>
          <cell r="J118">
            <v>2800</v>
          </cell>
        </row>
        <row r="119">
          <cell r="B119">
            <v>1110</v>
          </cell>
          <cell r="C119" t="str">
            <v>خالد محمود لالديم</v>
          </cell>
          <cell r="D119" t="str">
            <v>الإدارة</v>
          </cell>
          <cell r="E119">
            <v>2800</v>
          </cell>
          <cell r="F119">
            <v>0</v>
          </cell>
          <cell r="G119"/>
          <cell r="H119"/>
          <cell r="I119">
            <v>2200</v>
          </cell>
          <cell r="J119">
            <v>5000</v>
          </cell>
        </row>
        <row r="120">
          <cell r="B120">
            <v>1111</v>
          </cell>
          <cell r="C120" t="str">
            <v>أبو طاهر أبو الحسم</v>
          </cell>
          <cell r="D120" t="str">
            <v>الأندلس</v>
          </cell>
          <cell r="E120">
            <v>1200</v>
          </cell>
          <cell r="F120">
            <v>0</v>
          </cell>
          <cell r="G120"/>
          <cell r="H120"/>
          <cell r="I120">
            <v>450</v>
          </cell>
          <cell r="J120">
            <v>1650</v>
          </cell>
        </row>
        <row r="121">
          <cell r="B121">
            <v>1112</v>
          </cell>
          <cell r="C121" t="str">
            <v>طه اسامه طه يسين</v>
          </cell>
          <cell r="D121" t="str">
            <v>الإدارة</v>
          </cell>
          <cell r="E121">
            <v>2400</v>
          </cell>
          <cell r="F121">
            <v>0</v>
          </cell>
          <cell r="G121"/>
          <cell r="H121"/>
          <cell r="I121">
            <v>2600</v>
          </cell>
          <cell r="J121">
            <v>5000</v>
          </cell>
        </row>
        <row r="122">
          <cell r="B122">
            <v>1113</v>
          </cell>
          <cell r="C122" t="str">
            <v>عمار عبدالغني صادق حمود الجعمي</v>
          </cell>
          <cell r="D122" t="str">
            <v>أونلاين</v>
          </cell>
          <cell r="E122">
            <v>1800</v>
          </cell>
          <cell r="F122">
            <v>0</v>
          </cell>
          <cell r="G122"/>
          <cell r="H122"/>
          <cell r="I122">
            <v>800</v>
          </cell>
          <cell r="J122">
            <v>2600</v>
          </cell>
        </row>
        <row r="123">
          <cell r="B123">
            <v>1114</v>
          </cell>
          <cell r="C123" t="str">
            <v>فواز سليمان صالح المريشد</v>
          </cell>
          <cell r="D123" t="str">
            <v>وكالة ممكن</v>
          </cell>
          <cell r="E123">
            <v>4000</v>
          </cell>
          <cell r="F123">
            <v>0</v>
          </cell>
          <cell r="G123"/>
          <cell r="H123"/>
          <cell r="I123">
            <v>2500</v>
          </cell>
          <cell r="J123">
            <v>6500</v>
          </cell>
        </row>
        <row r="124">
          <cell r="B124">
            <v>1115</v>
          </cell>
          <cell r="C124" t="str">
            <v>شير محمد قلشي</v>
          </cell>
          <cell r="D124" t="str">
            <v>المالك</v>
          </cell>
          <cell r="E124">
            <v>400</v>
          </cell>
          <cell r="F124">
            <v>0</v>
          </cell>
          <cell r="G124"/>
          <cell r="H124"/>
          <cell r="I124">
            <v>0</v>
          </cell>
          <cell r="J124">
            <v>400</v>
          </cell>
        </row>
        <row r="125">
          <cell r="B125">
            <v>1116</v>
          </cell>
          <cell r="C125" t="str">
            <v>عبد الله محمد عبده حكمي</v>
          </cell>
          <cell r="D125" t="str">
            <v>المصيف</v>
          </cell>
          <cell r="E125">
            <v>4000</v>
          </cell>
          <cell r="F125">
            <v>0</v>
          </cell>
          <cell r="G125"/>
          <cell r="H125"/>
          <cell r="I125">
            <v>500</v>
          </cell>
          <cell r="J125">
            <v>4500</v>
          </cell>
        </row>
        <row r="126">
          <cell r="B126">
            <v>1117</v>
          </cell>
          <cell r="C126" t="str">
            <v>منيرة شافي هضيبان النتيفات</v>
          </cell>
          <cell r="D126" t="str">
            <v>غرناطة</v>
          </cell>
          <cell r="E126">
            <v>4000</v>
          </cell>
          <cell r="F126">
            <v>0</v>
          </cell>
          <cell r="G126"/>
          <cell r="H126"/>
          <cell r="I126">
            <v>300</v>
          </cell>
          <cell r="J126">
            <v>4300</v>
          </cell>
        </row>
        <row r="127">
          <cell r="B127">
            <v>1118</v>
          </cell>
          <cell r="C127" t="str">
            <v>إبراهيم عبد الله العلوي</v>
          </cell>
          <cell r="D127" t="str">
            <v>النسيم</v>
          </cell>
          <cell r="E127">
            <v>4000</v>
          </cell>
          <cell r="F127">
            <v>0</v>
          </cell>
          <cell r="G127"/>
          <cell r="H127"/>
          <cell r="I127">
            <v>0</v>
          </cell>
          <cell r="J127">
            <v>4000</v>
          </cell>
        </row>
        <row r="128">
          <cell r="B128">
            <v>1119</v>
          </cell>
          <cell r="C128" t="str">
            <v>شذى فرحان معاشي العنزي</v>
          </cell>
          <cell r="D128" t="str">
            <v>الدائري الغربي</v>
          </cell>
          <cell r="E128">
            <v>4000</v>
          </cell>
          <cell r="F128">
            <v>0</v>
          </cell>
          <cell r="G128"/>
          <cell r="H128"/>
          <cell r="I128">
            <v>60</v>
          </cell>
          <cell r="J128">
            <v>4060</v>
          </cell>
        </row>
        <row r="129">
          <cell r="B129">
            <v>1120</v>
          </cell>
          <cell r="C129" t="str">
            <v>أشواق سويد يحي قاصر</v>
          </cell>
          <cell r="D129" t="str">
            <v>لبن</v>
          </cell>
          <cell r="E129">
            <v>4000</v>
          </cell>
          <cell r="F129">
            <v>0</v>
          </cell>
          <cell r="G129"/>
          <cell r="H129"/>
          <cell r="I129">
            <v>500</v>
          </cell>
          <cell r="J129">
            <v>4500</v>
          </cell>
        </row>
        <row r="130">
          <cell r="B130">
            <v>1121</v>
          </cell>
          <cell r="C130" t="str">
            <v>عبدالله سعد عبدالرحمن الرزيحي</v>
          </cell>
          <cell r="D130" t="str">
            <v>الإدارة</v>
          </cell>
          <cell r="E130">
            <v>4000</v>
          </cell>
          <cell r="F130">
            <v>0</v>
          </cell>
          <cell r="G130"/>
          <cell r="H130"/>
          <cell r="I130">
            <v>0</v>
          </cell>
          <cell r="J130">
            <v>4000</v>
          </cell>
        </row>
        <row r="131">
          <cell r="B131">
            <v>1122</v>
          </cell>
          <cell r="C131" t="str">
            <v>حصه خالد يوسف الزيد</v>
          </cell>
          <cell r="D131" t="str">
            <v>الإدارة</v>
          </cell>
          <cell r="E131">
            <v>4000</v>
          </cell>
          <cell r="F131">
            <v>0</v>
          </cell>
          <cell r="G131"/>
          <cell r="H131"/>
          <cell r="I131">
            <v>0</v>
          </cell>
          <cell r="J131">
            <v>4000</v>
          </cell>
        </row>
        <row r="132">
          <cell r="B132">
            <v>1123</v>
          </cell>
          <cell r="C132" t="str">
            <v>بنين عبدالله موسي آل درويش</v>
          </cell>
          <cell r="D132" t="str">
            <v>العنود</v>
          </cell>
          <cell r="E132">
            <v>4000</v>
          </cell>
          <cell r="F132">
            <v>0</v>
          </cell>
          <cell r="G132"/>
          <cell r="H132"/>
          <cell r="I132">
            <v>300</v>
          </cell>
          <cell r="J132">
            <v>4300</v>
          </cell>
        </row>
        <row r="133">
          <cell r="B133">
            <v>1124</v>
          </cell>
          <cell r="C133" t="str">
            <v>محمد عيضة عوض المالكي</v>
          </cell>
          <cell r="D133" t="str">
            <v>اليرموك</v>
          </cell>
          <cell r="E133">
            <v>4000</v>
          </cell>
          <cell r="F133">
            <v>0</v>
          </cell>
          <cell r="G133"/>
          <cell r="H133"/>
          <cell r="I133">
            <v>500</v>
          </cell>
          <cell r="J133">
            <v>4500</v>
          </cell>
        </row>
        <row r="134">
          <cell r="B134">
            <v>1125</v>
          </cell>
          <cell r="C134" t="str">
            <v>محمد عبدالسلام محمد سيف العامري</v>
          </cell>
          <cell r="D134" t="str">
            <v>مستودع جملة سلطان</v>
          </cell>
          <cell r="E134">
            <v>2500</v>
          </cell>
          <cell r="F134">
            <v>0</v>
          </cell>
          <cell r="G134"/>
          <cell r="H134"/>
          <cell r="I134">
            <v>300</v>
          </cell>
          <cell r="J134">
            <v>2800</v>
          </cell>
        </row>
        <row r="135">
          <cell r="B135">
            <v>1126</v>
          </cell>
          <cell r="C135" t="str">
            <v>فيصل دخيل الله علي الغامدي</v>
          </cell>
          <cell r="D135" t="str">
            <v>اليرموك</v>
          </cell>
          <cell r="E135">
            <v>4000</v>
          </cell>
          <cell r="F135">
            <v>0</v>
          </cell>
          <cell r="G135"/>
          <cell r="H135"/>
          <cell r="I135">
            <v>300</v>
          </cell>
          <cell r="J135">
            <v>4300</v>
          </cell>
        </row>
        <row r="136">
          <cell r="B136">
            <v>1127</v>
          </cell>
          <cell r="C136" t="str">
            <v>اسامه عبداللطيف عمر عبداللطيف</v>
          </cell>
          <cell r="D136" t="str">
            <v>الإدارة</v>
          </cell>
          <cell r="E136">
            <v>2700</v>
          </cell>
          <cell r="F136">
            <v>0</v>
          </cell>
          <cell r="G136"/>
          <cell r="H136"/>
          <cell r="I136">
            <v>2300</v>
          </cell>
          <cell r="J136">
            <v>5000</v>
          </cell>
        </row>
        <row r="137">
          <cell r="B137">
            <v>1128</v>
          </cell>
          <cell r="C137" t="str">
            <v>ريوف عبدالله محمد الدهيمي</v>
          </cell>
          <cell r="D137" t="str">
            <v>الشفا</v>
          </cell>
          <cell r="E137">
            <v>4000</v>
          </cell>
          <cell r="F137">
            <v>0</v>
          </cell>
          <cell r="G137"/>
          <cell r="H137"/>
          <cell r="I137">
            <v>0</v>
          </cell>
          <cell r="J137">
            <v>4000</v>
          </cell>
        </row>
        <row r="138">
          <cell r="B138">
            <v>1129</v>
          </cell>
          <cell r="C138" t="str">
            <v>غدير مبارك رشود الدوسري</v>
          </cell>
          <cell r="D138" t="str">
            <v>الشفا</v>
          </cell>
          <cell r="E138">
            <v>4000</v>
          </cell>
          <cell r="F138">
            <v>0</v>
          </cell>
          <cell r="G138"/>
          <cell r="H138"/>
          <cell r="I138">
            <v>0</v>
          </cell>
          <cell r="J138">
            <v>4000</v>
          </cell>
        </row>
        <row r="139">
          <cell r="B139">
            <v>1130</v>
          </cell>
          <cell r="C139" t="str">
            <v>منيرة سالم إبراهيم المفتاح</v>
          </cell>
          <cell r="D139" t="str">
            <v>الشفا</v>
          </cell>
          <cell r="E139">
            <v>4000</v>
          </cell>
          <cell r="F139">
            <v>0</v>
          </cell>
          <cell r="G139"/>
          <cell r="H139"/>
          <cell r="I139">
            <v>0</v>
          </cell>
          <cell r="J139">
            <v>4000</v>
          </cell>
        </row>
        <row r="140">
          <cell r="B140">
            <v>1131</v>
          </cell>
          <cell r="C140" t="str">
            <v>عبد الله يحي حسن مجممي</v>
          </cell>
          <cell r="D140" t="str">
            <v>لبن</v>
          </cell>
          <cell r="E140">
            <v>4000</v>
          </cell>
          <cell r="F140">
            <v>0</v>
          </cell>
          <cell r="G140"/>
          <cell r="H140"/>
          <cell r="I140">
            <v>0</v>
          </cell>
          <cell r="J140">
            <v>4000</v>
          </cell>
        </row>
        <row r="141">
          <cell r="B141">
            <v>1132</v>
          </cell>
          <cell r="C141" t="str">
            <v>عزالدين عبدالله موسي الفكي</v>
          </cell>
          <cell r="D141" t="str">
            <v>جملة ريال البركة</v>
          </cell>
          <cell r="E141">
            <v>1800</v>
          </cell>
          <cell r="F141">
            <v>0</v>
          </cell>
          <cell r="G141"/>
          <cell r="H141"/>
          <cell r="I141">
            <v>700</v>
          </cell>
          <cell r="J141">
            <v>2500</v>
          </cell>
        </row>
        <row r="142">
          <cell r="B142">
            <v>1133</v>
          </cell>
          <cell r="C142" t="str">
            <v>محسن يحي محسن عميسان</v>
          </cell>
          <cell r="D142" t="str">
            <v>ورشة أثاث</v>
          </cell>
          <cell r="E142">
            <v>1400</v>
          </cell>
          <cell r="F142">
            <v>0</v>
          </cell>
          <cell r="G142"/>
          <cell r="H142"/>
          <cell r="I142">
            <v>3600</v>
          </cell>
          <cell r="J142">
            <v>5000</v>
          </cell>
        </row>
        <row r="143">
          <cell r="B143">
            <v>1134</v>
          </cell>
          <cell r="C143" t="str">
            <v>ضيف الله احمد عبدالله اليافعي</v>
          </cell>
          <cell r="D143" t="str">
            <v>ورشة أثاث</v>
          </cell>
          <cell r="E143">
            <v>2500</v>
          </cell>
          <cell r="F143">
            <v>0</v>
          </cell>
          <cell r="G143"/>
          <cell r="H143"/>
          <cell r="I143">
            <v>1000</v>
          </cell>
          <cell r="J143">
            <v>3500</v>
          </cell>
        </row>
        <row r="144">
          <cell r="B144">
            <v>1135</v>
          </cell>
          <cell r="C144" t="str">
            <v>اسامه عبده احمد عبدالله العبادي</v>
          </cell>
          <cell r="D144" t="str">
            <v>ورشة أثاث</v>
          </cell>
          <cell r="E144">
            <v>1200</v>
          </cell>
          <cell r="F144">
            <v>0</v>
          </cell>
          <cell r="G144"/>
          <cell r="H144"/>
          <cell r="I144">
            <v>1200</v>
          </cell>
          <cell r="J144">
            <v>2400</v>
          </cell>
        </row>
        <row r="145">
          <cell r="B145">
            <v>1136</v>
          </cell>
          <cell r="C145" t="str">
            <v>عبدالحافظ رشاد علي سعيد</v>
          </cell>
          <cell r="D145" t="str">
            <v>ورشة أثاث</v>
          </cell>
          <cell r="E145">
            <v>1500</v>
          </cell>
          <cell r="F145">
            <v>0</v>
          </cell>
          <cell r="G145"/>
          <cell r="H145"/>
          <cell r="I145">
            <v>500</v>
          </cell>
          <cell r="J145">
            <v>2000</v>
          </cell>
        </row>
        <row r="146">
          <cell r="B146">
            <v>1137</v>
          </cell>
          <cell r="C146" t="str">
            <v>حسن عبده حزام عساج</v>
          </cell>
          <cell r="D146" t="str">
            <v>ورشة أثاث</v>
          </cell>
          <cell r="E146">
            <v>1200</v>
          </cell>
          <cell r="F146">
            <v>0</v>
          </cell>
          <cell r="G146"/>
          <cell r="H146"/>
          <cell r="I146">
            <v>1600</v>
          </cell>
          <cell r="J146">
            <v>2800</v>
          </cell>
        </row>
        <row r="147">
          <cell r="B147">
            <v>1138</v>
          </cell>
          <cell r="C147" t="str">
            <v>محمد عمر سعد محمود</v>
          </cell>
          <cell r="D147" t="str">
            <v>ورشة أثاث</v>
          </cell>
          <cell r="E147">
            <v>2500</v>
          </cell>
          <cell r="F147">
            <v>0</v>
          </cell>
          <cell r="G147"/>
          <cell r="H147"/>
          <cell r="I147">
            <v>1000</v>
          </cell>
          <cell r="J147">
            <v>3500</v>
          </cell>
        </row>
        <row r="148">
          <cell r="B148">
            <v>1139</v>
          </cell>
          <cell r="C148" t="str">
            <v>صالحه علي أحمد هزازي</v>
          </cell>
          <cell r="D148" t="str">
            <v>العنود</v>
          </cell>
          <cell r="E148">
            <v>4000</v>
          </cell>
          <cell r="F148">
            <v>0</v>
          </cell>
          <cell r="G148"/>
          <cell r="H148"/>
          <cell r="I148">
            <v>300</v>
          </cell>
          <cell r="J148">
            <v>4300</v>
          </cell>
        </row>
        <row r="149">
          <cell r="B149">
            <v>1140</v>
          </cell>
          <cell r="C149" t="str">
            <v>علي سمير حسن</v>
          </cell>
          <cell r="D149" t="str">
            <v>المصنع</v>
          </cell>
          <cell r="E149">
            <v>1800</v>
          </cell>
          <cell r="F149">
            <v>0</v>
          </cell>
          <cell r="G149"/>
          <cell r="H149"/>
          <cell r="I149">
            <v>450</v>
          </cell>
          <cell r="J149">
            <v>2250</v>
          </cell>
        </row>
        <row r="150">
          <cell r="B150">
            <v>1141</v>
          </cell>
          <cell r="C150" t="str">
            <v>أحمد جابر احمد مدكور</v>
          </cell>
          <cell r="D150" t="str">
            <v>المصنع</v>
          </cell>
          <cell r="E150">
            <v>3000</v>
          </cell>
          <cell r="F150">
            <v>0</v>
          </cell>
          <cell r="G150"/>
          <cell r="H150"/>
          <cell r="I150">
            <v>2000</v>
          </cell>
          <cell r="J150">
            <v>5000</v>
          </cell>
        </row>
        <row r="151">
          <cell r="B151">
            <v>1142</v>
          </cell>
          <cell r="C151" t="str">
            <v>معتز عصام الصافي الرضي</v>
          </cell>
          <cell r="D151" t="str">
            <v>أونلاين</v>
          </cell>
          <cell r="E151">
            <v>1800</v>
          </cell>
          <cell r="F151">
            <v>0</v>
          </cell>
          <cell r="G151"/>
          <cell r="H151"/>
          <cell r="I151">
            <v>700</v>
          </cell>
          <cell r="J151">
            <v>2500</v>
          </cell>
        </row>
        <row r="152">
          <cell r="B152">
            <v>1143</v>
          </cell>
          <cell r="C152" t="str">
            <v>AMIR ALAM WARKOTAY KHAN</v>
          </cell>
          <cell r="D152" t="str">
            <v>المالك</v>
          </cell>
          <cell r="E152">
            <v>1500</v>
          </cell>
          <cell r="F152">
            <v>0</v>
          </cell>
          <cell r="G152"/>
          <cell r="H152"/>
          <cell r="I152">
            <v>500</v>
          </cell>
          <cell r="J152">
            <v>2000</v>
          </cell>
        </row>
        <row r="153">
          <cell r="B153">
            <v>1144</v>
          </cell>
          <cell r="C153" t="str">
            <v>صالحة محمد أحمد عتين</v>
          </cell>
          <cell r="D153" t="str">
            <v>جملة سلطان/السويلم</v>
          </cell>
          <cell r="E153">
            <v>4000</v>
          </cell>
          <cell r="F153">
            <v>0</v>
          </cell>
          <cell r="G153"/>
          <cell r="H153"/>
          <cell r="I153">
            <v>550</v>
          </cell>
          <cell r="J153">
            <v>4550</v>
          </cell>
        </row>
        <row r="154">
          <cell r="B154">
            <v>1148</v>
          </cell>
          <cell r="C154" t="str">
            <v>مرام ناصر عبدالرحمن السلمان</v>
          </cell>
          <cell r="D154" t="str">
            <v>الإدارة</v>
          </cell>
          <cell r="E154">
            <v>4000</v>
          </cell>
          <cell r="F154">
            <v>0</v>
          </cell>
          <cell r="G154"/>
          <cell r="H154"/>
          <cell r="I154">
            <v>0</v>
          </cell>
          <cell r="J154">
            <v>4000</v>
          </cell>
        </row>
        <row r="155">
          <cell r="B155">
            <v>1145</v>
          </cell>
          <cell r="C155" t="str">
            <v>مرام عبدالوهاب الخولاني</v>
          </cell>
          <cell r="D155" t="str">
            <v>وكالة ممكن</v>
          </cell>
          <cell r="E155">
            <v>2000</v>
          </cell>
          <cell r="F155">
            <v>0</v>
          </cell>
          <cell r="G155"/>
          <cell r="H155"/>
          <cell r="I155">
            <v>0</v>
          </cell>
          <cell r="J155">
            <v>2000</v>
          </cell>
        </row>
        <row r="156">
          <cell r="B156">
            <v>1146</v>
          </cell>
          <cell r="C156" t="str">
            <v>مشاعل زيد زيدان الهلالي</v>
          </cell>
          <cell r="D156" t="str">
            <v>الإدارة</v>
          </cell>
          <cell r="E156">
            <v>4000</v>
          </cell>
          <cell r="F156">
            <v>0</v>
          </cell>
          <cell r="G156"/>
          <cell r="H156"/>
          <cell r="I156">
            <v>0</v>
          </cell>
          <cell r="J156">
            <v>4000</v>
          </cell>
        </row>
        <row r="157">
          <cell r="B157">
            <v>1147</v>
          </cell>
          <cell r="C157" t="str">
            <v>منيره حسن عبدالله قعود</v>
          </cell>
          <cell r="D157" t="str">
            <v>الإدارة</v>
          </cell>
          <cell r="E157">
            <v>4000</v>
          </cell>
          <cell r="F157">
            <v>0</v>
          </cell>
          <cell r="G157"/>
          <cell r="H157"/>
          <cell r="I157">
            <v>0</v>
          </cell>
          <cell r="J157">
            <v>4000</v>
          </cell>
        </row>
        <row r="158">
          <cell r="B158">
            <v>1148</v>
          </cell>
          <cell r="C158" t="str">
            <v>مرام ناصر عبدالرحمن السلمان</v>
          </cell>
          <cell r="D158" t="str">
            <v>الإدارة</v>
          </cell>
          <cell r="E158">
            <v>4000</v>
          </cell>
          <cell r="F158">
            <v>0</v>
          </cell>
          <cell r="G158"/>
          <cell r="H158"/>
          <cell r="I158">
            <v>0</v>
          </cell>
          <cell r="J158">
            <v>4000</v>
          </cell>
        </row>
        <row r="159">
          <cell r="B159">
            <v>1149</v>
          </cell>
          <cell r="C159" t="str">
            <v>أميرة احمد محمد السميح</v>
          </cell>
          <cell r="D159" t="str">
            <v>ورشة أثاث</v>
          </cell>
          <cell r="E159">
            <v>4000</v>
          </cell>
          <cell r="F159">
            <v>0</v>
          </cell>
          <cell r="G159"/>
          <cell r="H159"/>
          <cell r="I159">
            <v>0</v>
          </cell>
          <cell r="J159">
            <v>4000</v>
          </cell>
        </row>
        <row r="160">
          <cell r="B160">
            <v>1150</v>
          </cell>
          <cell r="C160" t="str">
            <v>نوره عبدالعزيز حسين ابوساق</v>
          </cell>
          <cell r="D160" t="str">
            <v>ورشة أثاث</v>
          </cell>
          <cell r="E160">
            <v>4000</v>
          </cell>
          <cell r="F160">
            <v>0</v>
          </cell>
          <cell r="G160"/>
          <cell r="H160"/>
          <cell r="I160">
            <v>0</v>
          </cell>
          <cell r="J160">
            <v>4000</v>
          </cell>
        </row>
        <row r="161">
          <cell r="B161">
            <v>1151</v>
          </cell>
          <cell r="C161" t="str">
            <v>ريم عبدالعزيز حسين أبوساق</v>
          </cell>
          <cell r="D161" t="str">
            <v>الإدارة</v>
          </cell>
          <cell r="E161">
            <v>4000</v>
          </cell>
          <cell r="F161">
            <v>0</v>
          </cell>
          <cell r="G161"/>
          <cell r="H161"/>
          <cell r="I161">
            <v>0</v>
          </cell>
          <cell r="J161">
            <v>4000</v>
          </cell>
        </row>
        <row r="162">
          <cell r="B162">
            <v>1152</v>
          </cell>
          <cell r="C162" t="str">
            <v>سجاء علي عبدالله المحيميد</v>
          </cell>
          <cell r="D162" t="str">
            <v>الأندلس</v>
          </cell>
          <cell r="E162">
            <v>4000</v>
          </cell>
          <cell r="F162">
            <v>0</v>
          </cell>
          <cell r="G162"/>
          <cell r="H162"/>
          <cell r="I162">
            <v>0</v>
          </cell>
          <cell r="J162">
            <v>4000</v>
          </cell>
        </row>
        <row r="163">
          <cell r="B163">
            <v>1153</v>
          </cell>
          <cell r="C163" t="str">
            <v>سارة عدنان علي الصالح</v>
          </cell>
          <cell r="D163" t="str">
            <v>الأندلس</v>
          </cell>
          <cell r="E163">
            <v>4000</v>
          </cell>
          <cell r="F163">
            <v>0</v>
          </cell>
          <cell r="G163"/>
          <cell r="H163"/>
          <cell r="I163">
            <v>0</v>
          </cell>
          <cell r="J163">
            <v>4000</v>
          </cell>
        </row>
        <row r="164">
          <cell r="B164">
            <v>1154</v>
          </cell>
          <cell r="C164" t="str">
            <v>فاطمه علي عبدالله المطوع</v>
          </cell>
          <cell r="D164" t="str">
            <v>الأندلس</v>
          </cell>
          <cell r="E164">
            <v>4000</v>
          </cell>
          <cell r="F164">
            <v>0</v>
          </cell>
          <cell r="G164"/>
          <cell r="H164"/>
          <cell r="I164">
            <v>0</v>
          </cell>
          <cell r="J164">
            <v>4000</v>
          </cell>
        </row>
        <row r="165">
          <cell r="B165">
            <v>1155</v>
          </cell>
          <cell r="C165" t="str">
            <v>ساره ناصر سليمان الوهيبي</v>
          </cell>
          <cell r="D165" t="str">
            <v>ورشة أثاث</v>
          </cell>
          <cell r="E165">
            <v>4000</v>
          </cell>
          <cell r="F165">
            <v>0</v>
          </cell>
          <cell r="G165"/>
          <cell r="H165"/>
          <cell r="I165">
            <v>0</v>
          </cell>
          <cell r="J165">
            <v>4000</v>
          </cell>
        </row>
        <row r="166">
          <cell r="B166">
            <v>1156</v>
          </cell>
          <cell r="C166" t="str">
            <v>هديل سليمان صالح المريشد</v>
          </cell>
          <cell r="D166" t="str">
            <v>الإدارة</v>
          </cell>
          <cell r="E166">
            <v>4000</v>
          </cell>
          <cell r="F166">
            <v>0</v>
          </cell>
          <cell r="G166"/>
          <cell r="H166"/>
          <cell r="I166">
            <v>0</v>
          </cell>
          <cell r="J166">
            <v>4000</v>
          </cell>
        </row>
        <row r="167">
          <cell r="B167">
            <v>1157</v>
          </cell>
          <cell r="C167" t="str">
            <v>نور محمد حسين الحدب</v>
          </cell>
          <cell r="D167" t="str">
            <v>الأندلس</v>
          </cell>
          <cell r="E167">
            <v>4000</v>
          </cell>
          <cell r="F167">
            <v>0</v>
          </cell>
          <cell r="G167"/>
          <cell r="H167"/>
          <cell r="I167">
            <v>0</v>
          </cell>
          <cell r="J167">
            <v>4000</v>
          </cell>
        </row>
        <row r="168">
          <cell r="B168">
            <v>1158</v>
          </cell>
          <cell r="C168" t="str">
            <v>محمد كوثر</v>
          </cell>
          <cell r="D168" t="str">
            <v>المدير العام</v>
          </cell>
          <cell r="E168">
            <v>1500</v>
          </cell>
          <cell r="F168">
            <v>0</v>
          </cell>
          <cell r="G168"/>
          <cell r="H168"/>
          <cell r="I168">
            <v>300</v>
          </cell>
          <cell r="J168">
            <v>1800</v>
          </cell>
        </row>
        <row r="169">
          <cell r="B169">
            <v>1159</v>
          </cell>
          <cell r="C169" t="str">
            <v>سيف أحمد محسن اليمني</v>
          </cell>
          <cell r="D169" t="str">
            <v>مستودع الغنامية</v>
          </cell>
          <cell r="E169">
            <v>1000</v>
          </cell>
          <cell r="F169">
            <v>0</v>
          </cell>
          <cell r="G169"/>
          <cell r="H169"/>
          <cell r="I169">
            <v>0</v>
          </cell>
          <cell r="J169">
            <v>1000</v>
          </cell>
        </row>
        <row r="170">
          <cell r="B170">
            <v>1160</v>
          </cell>
          <cell r="C170" t="str">
            <v>غدير راشد محمد السبيعي</v>
          </cell>
          <cell r="D170" t="str">
            <v>الشفا</v>
          </cell>
          <cell r="E170">
            <v>4000</v>
          </cell>
          <cell r="F170">
            <v>0</v>
          </cell>
          <cell r="G170"/>
          <cell r="H170"/>
          <cell r="I170">
            <v>0</v>
          </cell>
          <cell r="J170">
            <v>4000</v>
          </cell>
        </row>
        <row r="171">
          <cell r="B171">
            <v>1161</v>
          </cell>
          <cell r="C171" t="str">
            <v>عبدالمجيد محمد عبدالله النمي</v>
          </cell>
          <cell r="D171" t="str">
            <v>الإدارة</v>
          </cell>
          <cell r="E171">
            <v>4000</v>
          </cell>
          <cell r="F171">
            <v>0</v>
          </cell>
          <cell r="G171"/>
          <cell r="H171"/>
          <cell r="I171">
            <v>0</v>
          </cell>
          <cell r="J171">
            <v>4000</v>
          </cell>
        </row>
        <row r="172">
          <cell r="B172">
            <v>1162</v>
          </cell>
          <cell r="C172" t="str">
            <v>ريم عبدالرحمن صالح الفنتوخ</v>
          </cell>
          <cell r="D172" t="str">
            <v>ورشة أثاث</v>
          </cell>
          <cell r="E172">
            <v>4000</v>
          </cell>
          <cell r="F172">
            <v>0</v>
          </cell>
          <cell r="G172"/>
          <cell r="H172"/>
          <cell r="I172">
            <v>0</v>
          </cell>
          <cell r="J172">
            <v>4000</v>
          </cell>
        </row>
        <row r="173">
          <cell r="B173">
            <v>1163</v>
          </cell>
          <cell r="C173" t="str">
            <v>لطيفه عبدالله عبدالرحمن رشيد</v>
          </cell>
          <cell r="D173" t="str">
            <v>الإدارة</v>
          </cell>
          <cell r="E173">
            <v>4000</v>
          </cell>
          <cell r="F173">
            <v>0</v>
          </cell>
          <cell r="G173"/>
          <cell r="H173"/>
          <cell r="I173">
            <v>0</v>
          </cell>
          <cell r="J173">
            <v>4000</v>
          </cell>
        </row>
        <row r="174">
          <cell r="B174">
            <v>1164</v>
          </cell>
          <cell r="C174" t="str">
            <v>جيهان عبد ماطر المطيري</v>
          </cell>
          <cell r="D174" t="str">
            <v>لبن</v>
          </cell>
          <cell r="E174">
            <v>4000</v>
          </cell>
          <cell r="F174">
            <v>0</v>
          </cell>
          <cell r="G174"/>
          <cell r="H174"/>
          <cell r="I174">
            <v>0</v>
          </cell>
          <cell r="J174">
            <v>4000</v>
          </cell>
        </row>
        <row r="175">
          <cell r="B175">
            <v>1165</v>
          </cell>
          <cell r="C175" t="str">
            <v>رفاه ماطر علي اليامي</v>
          </cell>
          <cell r="D175" t="str">
            <v>الدائري الغربي</v>
          </cell>
          <cell r="E175">
            <v>4000</v>
          </cell>
          <cell r="F175">
            <v>0</v>
          </cell>
          <cell r="G175"/>
          <cell r="H175"/>
          <cell r="I175">
            <v>0</v>
          </cell>
          <cell r="J175">
            <v>4000</v>
          </cell>
        </row>
        <row r="176">
          <cell r="B176">
            <v>1166</v>
          </cell>
          <cell r="C176" t="str">
            <v>مرسلين مد شفيق الإسلام</v>
          </cell>
          <cell r="D176" t="str">
            <v>النسيم</v>
          </cell>
          <cell r="E176">
            <v>1600</v>
          </cell>
          <cell r="F176">
            <v>0</v>
          </cell>
          <cell r="G176"/>
          <cell r="H176"/>
          <cell r="I176">
            <v>0</v>
          </cell>
          <cell r="J176">
            <v>1600</v>
          </cell>
        </row>
        <row r="177">
          <cell r="B177">
            <v>1167</v>
          </cell>
          <cell r="C177" t="str">
            <v>حمزه قايد غالب المليكي</v>
          </cell>
          <cell r="D177" t="str">
            <v>لبن</v>
          </cell>
          <cell r="E177">
            <v>2000</v>
          </cell>
          <cell r="F177">
            <v>0</v>
          </cell>
          <cell r="G177"/>
          <cell r="H177"/>
          <cell r="I177">
            <v>0</v>
          </cell>
          <cell r="J177">
            <v>2000</v>
          </cell>
        </row>
        <row r="178">
          <cell r="B178">
            <v>1168</v>
          </cell>
          <cell r="C178" t="str">
            <v>ليون مياه</v>
          </cell>
          <cell r="D178" t="str">
            <v>هاينس</v>
          </cell>
          <cell r="E178">
            <v>1200</v>
          </cell>
          <cell r="F178">
            <v>0</v>
          </cell>
          <cell r="G178"/>
          <cell r="H178"/>
          <cell r="I178">
            <v>400</v>
          </cell>
          <cell r="J178">
            <v>1600</v>
          </cell>
        </row>
        <row r="179">
          <cell r="B179">
            <v>1169</v>
          </cell>
          <cell r="C179" t="str">
            <v>مد راسل</v>
          </cell>
          <cell r="D179" t="str">
            <v>هاينس</v>
          </cell>
          <cell r="E179">
            <v>1200</v>
          </cell>
          <cell r="F179">
            <v>0</v>
          </cell>
          <cell r="G179"/>
          <cell r="H179"/>
          <cell r="I179">
            <v>400</v>
          </cell>
          <cell r="J179">
            <v>1600</v>
          </cell>
        </row>
        <row r="180">
          <cell r="B180">
            <v>1170</v>
          </cell>
          <cell r="C180" t="str">
            <v>ياسين عرفات</v>
          </cell>
          <cell r="D180" t="str">
            <v>هاينس</v>
          </cell>
          <cell r="E180">
            <v>1200</v>
          </cell>
          <cell r="F180">
            <v>0</v>
          </cell>
          <cell r="G180"/>
          <cell r="H180"/>
          <cell r="I180">
            <v>400</v>
          </cell>
          <cell r="J180">
            <v>1600</v>
          </cell>
        </row>
        <row r="181">
          <cell r="B181">
            <v>1171</v>
          </cell>
          <cell r="C181" t="str">
            <v>صفايات حسين</v>
          </cell>
          <cell r="D181" t="str">
            <v>هاينس</v>
          </cell>
          <cell r="E181">
            <v>1200</v>
          </cell>
          <cell r="F181">
            <v>0</v>
          </cell>
          <cell r="G181"/>
          <cell r="H181"/>
          <cell r="I181">
            <v>400</v>
          </cell>
          <cell r="J181">
            <v>1600</v>
          </cell>
        </row>
        <row r="182">
          <cell r="B182">
            <v>1172</v>
          </cell>
          <cell r="C182" t="str">
            <v>نجود محمد جبران سفياني</v>
          </cell>
          <cell r="D182" t="str">
            <v>الدائري الغربي</v>
          </cell>
          <cell r="E182">
            <v>4000</v>
          </cell>
          <cell r="F182">
            <v>0</v>
          </cell>
          <cell r="G182"/>
          <cell r="H182"/>
          <cell r="I182">
            <v>0</v>
          </cell>
          <cell r="J182">
            <v>4000</v>
          </cell>
        </row>
        <row r="183">
          <cell r="B183">
            <v>1173</v>
          </cell>
          <cell r="C183" t="str">
            <v>اسامه عبدالقوي محسن احمد القاضي</v>
          </cell>
          <cell r="D183" t="str">
            <v>مستودع جملة سلطان</v>
          </cell>
          <cell r="E183">
            <v>2000</v>
          </cell>
          <cell r="F183">
            <v>0</v>
          </cell>
          <cell r="G183"/>
          <cell r="H183"/>
          <cell r="I183">
            <v>200</v>
          </cell>
          <cell r="J183">
            <v>2200</v>
          </cell>
        </row>
        <row r="184">
          <cell r="B184">
            <v>1174</v>
          </cell>
          <cell r="C184" t="str">
            <v>وجدان محمود صالح ال كاظم</v>
          </cell>
          <cell r="D184" t="str">
            <v>العنود</v>
          </cell>
          <cell r="E184">
            <v>4000</v>
          </cell>
          <cell r="F184">
            <v>0</v>
          </cell>
          <cell r="G184"/>
          <cell r="H184"/>
          <cell r="I184">
            <v>0</v>
          </cell>
          <cell r="J184">
            <v>4000</v>
          </cell>
        </row>
        <row r="185">
          <cell r="B185">
            <v>1175</v>
          </cell>
          <cell r="C185" t="str">
            <v>فارس الدخيل</v>
          </cell>
          <cell r="D185" t="str">
            <v>اليرموك</v>
          </cell>
          <cell r="E185">
            <v>4000</v>
          </cell>
          <cell r="F185">
            <v>0</v>
          </cell>
          <cell r="G185"/>
          <cell r="H185"/>
          <cell r="I185">
            <v>0</v>
          </cell>
          <cell r="J185">
            <v>4000</v>
          </cell>
        </row>
        <row r="186">
          <cell r="B186">
            <v>1176</v>
          </cell>
          <cell r="C186" t="str">
            <v>سويل كمال أوسين</v>
          </cell>
          <cell r="D186" t="str">
            <v>العنود</v>
          </cell>
          <cell r="E186">
            <v>1200</v>
          </cell>
          <cell r="F186">
            <v>0</v>
          </cell>
          <cell r="G186"/>
          <cell r="H186"/>
          <cell r="I186">
            <v>400</v>
          </cell>
          <cell r="J186">
            <v>1600</v>
          </cell>
        </row>
        <row r="187">
          <cell r="B187">
            <v>1177</v>
          </cell>
          <cell r="C187" t="str">
            <v>محفوظ ال رحمان</v>
          </cell>
          <cell r="D187" t="str">
            <v>هاينس</v>
          </cell>
          <cell r="E187">
            <v>1200</v>
          </cell>
          <cell r="F187">
            <v>0</v>
          </cell>
          <cell r="G187"/>
          <cell r="H187"/>
          <cell r="I187">
            <v>400</v>
          </cell>
          <cell r="J187">
            <v>1600</v>
          </cell>
        </row>
        <row r="188">
          <cell r="B188">
            <v>1178</v>
          </cell>
          <cell r="C188" t="str">
            <v>محمد حمود محمد علي الراعي</v>
          </cell>
          <cell r="D188" t="str">
            <v>جملة ريال البركة</v>
          </cell>
          <cell r="E188">
            <v>2000</v>
          </cell>
          <cell r="F188">
            <v>0</v>
          </cell>
          <cell r="G188"/>
          <cell r="H188"/>
          <cell r="I188">
            <v>500</v>
          </cell>
          <cell r="J188">
            <v>2500</v>
          </cell>
        </row>
        <row r="189">
          <cell r="B189">
            <v>1179</v>
          </cell>
          <cell r="C189" t="str">
            <v>عبد المجيد الدخيل</v>
          </cell>
          <cell r="D189" t="str">
            <v>المصيف</v>
          </cell>
          <cell r="E189">
            <v>4000</v>
          </cell>
          <cell r="F189">
            <v>0</v>
          </cell>
          <cell r="G189"/>
          <cell r="H189"/>
          <cell r="I189">
            <v>0</v>
          </cell>
          <cell r="J189">
            <v>4000</v>
          </cell>
        </row>
        <row r="190">
          <cell r="B190">
            <v>1180</v>
          </cell>
          <cell r="C190" t="str">
            <v>محمد عبدالعزيز علي المحيمد</v>
          </cell>
          <cell r="D190" t="str">
            <v>النسيم</v>
          </cell>
          <cell r="E190">
            <v>4000</v>
          </cell>
          <cell r="F190">
            <v>0</v>
          </cell>
          <cell r="G190"/>
          <cell r="H190"/>
          <cell r="I190">
            <v>0</v>
          </cell>
          <cell r="J190">
            <v>4000</v>
          </cell>
        </row>
        <row r="191">
          <cell r="B191">
            <v>1181</v>
          </cell>
          <cell r="C191" t="str">
            <v>أحمد سليمان محمد عبد المنعم</v>
          </cell>
          <cell r="D191" t="str">
            <v>وكالة ممكن</v>
          </cell>
          <cell r="E191">
            <v>4000</v>
          </cell>
          <cell r="F191">
            <v>0</v>
          </cell>
          <cell r="G191"/>
          <cell r="H191"/>
          <cell r="I191">
            <v>3000</v>
          </cell>
          <cell r="J191">
            <v>7000</v>
          </cell>
        </row>
        <row r="192">
          <cell r="B192">
            <v>1182</v>
          </cell>
          <cell r="C192" t="str">
            <v>مد زكريا مد ربي الله</v>
          </cell>
          <cell r="D192" t="str">
            <v>الدائري الغربي</v>
          </cell>
          <cell r="E192">
            <v>1200</v>
          </cell>
          <cell r="F192">
            <v>0</v>
          </cell>
          <cell r="G192"/>
          <cell r="H192"/>
          <cell r="I192">
            <v>700</v>
          </cell>
          <cell r="J192">
            <v>1900</v>
          </cell>
        </row>
        <row r="193">
          <cell r="B193">
            <v>1183</v>
          </cell>
          <cell r="C193" t="str">
            <v>زكرياء تعلي</v>
          </cell>
          <cell r="D193" t="str">
            <v>هاينس</v>
          </cell>
          <cell r="E193">
            <v>4000</v>
          </cell>
          <cell r="F193">
            <v>0</v>
          </cell>
          <cell r="G193"/>
          <cell r="H193"/>
          <cell r="I193">
            <v>0</v>
          </cell>
          <cell r="J193">
            <v>4000</v>
          </cell>
        </row>
        <row r="194">
          <cell r="B194">
            <v>1184</v>
          </cell>
          <cell r="C194" t="str">
            <v>يوسف ناجي حزام فازع</v>
          </cell>
          <cell r="D194" t="str">
            <v>وكالة ممكن</v>
          </cell>
          <cell r="E194">
            <v>4000</v>
          </cell>
          <cell r="F194">
            <v>0</v>
          </cell>
          <cell r="G194"/>
          <cell r="H194"/>
          <cell r="I194">
            <v>2000</v>
          </cell>
          <cell r="J194">
            <v>6000</v>
          </cell>
        </row>
        <row r="195">
          <cell r="B195">
            <v>1185</v>
          </cell>
          <cell r="C195" t="str">
            <v>سيف الدين مصطفي معوض محمد</v>
          </cell>
          <cell r="D195" t="str">
            <v>وكالة ممكن</v>
          </cell>
          <cell r="E195">
            <v>4000</v>
          </cell>
          <cell r="F195">
            <v>0</v>
          </cell>
          <cell r="G195"/>
          <cell r="H195"/>
          <cell r="I195">
            <v>3000</v>
          </cell>
          <cell r="J195">
            <v>7000</v>
          </cell>
        </row>
        <row r="196">
          <cell r="B196">
            <v>1186</v>
          </cell>
          <cell r="C196" t="str">
            <v>ميد أنعام ال حقي</v>
          </cell>
          <cell r="D196" t="str">
            <v>هاينس</v>
          </cell>
          <cell r="E196">
            <v>1200</v>
          </cell>
          <cell r="F196">
            <v>0</v>
          </cell>
          <cell r="G196"/>
          <cell r="H196"/>
          <cell r="I196">
            <v>600</v>
          </cell>
          <cell r="J196">
            <v>1800</v>
          </cell>
        </row>
        <row r="197">
          <cell r="B197">
            <v>1187</v>
          </cell>
          <cell r="C197" t="str">
            <v>مد إبراهيم هارون رشيد</v>
          </cell>
          <cell r="D197" t="str">
            <v>هاينس</v>
          </cell>
          <cell r="E197">
            <v>1200</v>
          </cell>
          <cell r="F197">
            <v>0</v>
          </cell>
          <cell r="G197"/>
          <cell r="H197"/>
          <cell r="I197">
            <v>400</v>
          </cell>
          <cell r="J197">
            <v>1600</v>
          </cell>
        </row>
        <row r="198">
          <cell r="B198">
            <v>1188</v>
          </cell>
          <cell r="C198" t="str">
            <v>نازميل حسين حسين حسين</v>
          </cell>
          <cell r="D198" t="str">
            <v>المصيف</v>
          </cell>
          <cell r="E198">
            <v>1200</v>
          </cell>
          <cell r="F198">
            <v>0</v>
          </cell>
          <cell r="G198"/>
          <cell r="H198"/>
          <cell r="I198">
            <v>400</v>
          </cell>
          <cell r="J198">
            <v>1600</v>
          </cell>
        </row>
        <row r="199">
          <cell r="B199">
            <v>1189</v>
          </cell>
          <cell r="C199" t="str">
            <v>مصعب سلطان عبدالرحمن الرزيحي</v>
          </cell>
          <cell r="D199" t="str">
            <v>المالك</v>
          </cell>
          <cell r="E199">
            <v>2000</v>
          </cell>
          <cell r="F199">
            <v>0</v>
          </cell>
          <cell r="G199"/>
          <cell r="H199"/>
          <cell r="I199">
            <v>0</v>
          </cell>
          <cell r="J199">
            <v>2000</v>
          </cell>
        </row>
        <row r="200">
          <cell r="B200">
            <v>1190</v>
          </cell>
          <cell r="C200" t="str">
            <v>منصور آيت بنكوهية</v>
          </cell>
          <cell r="D200" t="str">
            <v>هاينس</v>
          </cell>
          <cell r="E200">
            <v>1200</v>
          </cell>
          <cell r="F200">
            <v>0</v>
          </cell>
          <cell r="G200"/>
          <cell r="H200"/>
          <cell r="I200">
            <v>1800</v>
          </cell>
          <cell r="J200">
            <v>3000</v>
          </cell>
        </row>
        <row r="201">
          <cell r="B201">
            <v>1191</v>
          </cell>
          <cell r="C201" t="str">
            <v>JASHIM UDDIN</v>
          </cell>
          <cell r="D201" t="str">
            <v>المالك</v>
          </cell>
          <cell r="E201">
            <v>1500</v>
          </cell>
          <cell r="F201">
            <v>0</v>
          </cell>
          <cell r="G201"/>
          <cell r="H201"/>
          <cell r="I201">
            <v>500</v>
          </cell>
          <cell r="J201">
            <v>2000</v>
          </cell>
        </row>
        <row r="202">
          <cell r="B202">
            <v>1192</v>
          </cell>
          <cell r="C202" t="str">
            <v>JENNYLYN PAMISA VISORDE</v>
          </cell>
          <cell r="D202" t="str">
            <v>المالك</v>
          </cell>
          <cell r="E202"/>
          <cell r="F202"/>
          <cell r="G202"/>
          <cell r="H202"/>
          <cell r="I202"/>
          <cell r="J202">
            <v>0</v>
          </cell>
        </row>
        <row r="203">
          <cell r="B203">
            <v>1193</v>
          </cell>
          <cell r="C203" t="str">
            <v>طارق محمد محمد علوان الخضر</v>
          </cell>
          <cell r="D203" t="str">
            <v>ورشة أثاث</v>
          </cell>
          <cell r="E203">
            <v>1200</v>
          </cell>
          <cell r="F203">
            <v>0</v>
          </cell>
          <cell r="G203"/>
          <cell r="H203"/>
          <cell r="I203">
            <v>1500</v>
          </cell>
          <cell r="J203">
            <v>2700</v>
          </cell>
        </row>
        <row r="204">
          <cell r="B204">
            <v>1194</v>
          </cell>
          <cell r="C204" t="str">
            <v>محمد عبدالله سعد آل مرعي الشهري</v>
          </cell>
          <cell r="D204" t="str">
            <v>هاينس</v>
          </cell>
          <cell r="E204">
            <v>4000</v>
          </cell>
          <cell r="F204">
            <v>0</v>
          </cell>
          <cell r="G204"/>
          <cell r="H204"/>
          <cell r="I204">
            <v>0</v>
          </cell>
          <cell r="J204">
            <v>4000</v>
          </cell>
        </row>
        <row r="205">
          <cell r="B205">
            <v>1195</v>
          </cell>
          <cell r="C205" t="str">
            <v>فهد محمد نايف الميموني المطيري</v>
          </cell>
          <cell r="D205" t="str">
            <v>هاينس</v>
          </cell>
          <cell r="E205">
            <v>4000</v>
          </cell>
          <cell r="F205">
            <v>0</v>
          </cell>
          <cell r="G205"/>
          <cell r="H205"/>
          <cell r="I205">
            <v>500</v>
          </cell>
          <cell r="J205">
            <v>4500</v>
          </cell>
        </row>
        <row r="206">
          <cell r="B206">
            <v>1196</v>
          </cell>
          <cell r="C206" t="str">
            <v>عبد الله عبد العزيز محمد السويح</v>
          </cell>
          <cell r="D206" t="str">
            <v>هاينس</v>
          </cell>
          <cell r="E206">
            <v>4000</v>
          </cell>
          <cell r="F206">
            <v>0</v>
          </cell>
          <cell r="G206"/>
          <cell r="H206"/>
          <cell r="I206">
            <v>500</v>
          </cell>
          <cell r="J206">
            <v>4500</v>
          </cell>
        </row>
        <row r="207">
          <cell r="B207">
            <v>1197</v>
          </cell>
          <cell r="C207" t="str">
            <v>محمد مطلق نائف النفيعي العتيبي</v>
          </cell>
          <cell r="D207" t="str">
            <v>هاينس</v>
          </cell>
          <cell r="E207">
            <v>4000</v>
          </cell>
          <cell r="F207">
            <v>0</v>
          </cell>
          <cell r="G207"/>
          <cell r="H207">
            <v>-2250</v>
          </cell>
          <cell r="I207">
            <v>500</v>
          </cell>
          <cell r="J207">
            <v>2250</v>
          </cell>
        </row>
        <row r="208">
          <cell r="B208">
            <v>1198</v>
          </cell>
          <cell r="C208" t="str">
            <v>عبد المجيد هاني سعد الهباد</v>
          </cell>
          <cell r="D208" t="str">
            <v>هاينس</v>
          </cell>
          <cell r="E208">
            <v>4000</v>
          </cell>
          <cell r="F208">
            <v>0</v>
          </cell>
          <cell r="G208"/>
          <cell r="H208"/>
          <cell r="I208">
            <v>500</v>
          </cell>
          <cell r="J208">
            <v>4500</v>
          </cell>
        </row>
        <row r="209">
          <cell r="B209">
            <v>1199</v>
          </cell>
          <cell r="C209" t="str">
            <v>سعد خالد عبدالله العنزان</v>
          </cell>
          <cell r="D209" t="str">
            <v>هاينس</v>
          </cell>
          <cell r="E209">
            <v>3000</v>
          </cell>
          <cell r="F209">
            <v>0</v>
          </cell>
          <cell r="G209"/>
          <cell r="H209"/>
          <cell r="I209">
            <v>0</v>
          </cell>
          <cell r="J209">
            <v>3000</v>
          </cell>
        </row>
        <row r="210">
          <cell r="B210">
            <v>1200</v>
          </cell>
          <cell r="C210" t="str">
            <v>راشد فهد راشد صبيح</v>
          </cell>
          <cell r="D210" t="str">
            <v>هاينس</v>
          </cell>
          <cell r="E210">
            <v>4000</v>
          </cell>
          <cell r="F210">
            <v>0</v>
          </cell>
          <cell r="G210"/>
          <cell r="H210"/>
          <cell r="I210">
            <v>0</v>
          </cell>
          <cell r="J210">
            <v>4000</v>
          </cell>
        </row>
        <row r="211">
          <cell r="B211">
            <v>1201</v>
          </cell>
          <cell r="C211" t="str">
            <v>جاسم عبدالكريم محمد قميش</v>
          </cell>
          <cell r="D211" t="str">
            <v>هاينس</v>
          </cell>
          <cell r="E211">
            <v>4000</v>
          </cell>
          <cell r="F211">
            <v>0</v>
          </cell>
          <cell r="G211"/>
          <cell r="H211"/>
          <cell r="I211">
            <v>500</v>
          </cell>
          <cell r="J211">
            <v>4500</v>
          </cell>
        </row>
        <row r="212">
          <cell r="B212">
            <v>1202</v>
          </cell>
          <cell r="C212" t="str">
            <v>اثير إبراهيم سعود العبودي</v>
          </cell>
          <cell r="D212" t="str">
            <v>الإدارة</v>
          </cell>
          <cell r="E212">
            <v>4000</v>
          </cell>
          <cell r="F212">
            <v>0</v>
          </cell>
          <cell r="G212"/>
          <cell r="H212"/>
          <cell r="I212">
            <v>0</v>
          </cell>
          <cell r="J212">
            <v>4000</v>
          </cell>
        </row>
        <row r="213">
          <cell r="B213">
            <v>1203</v>
          </cell>
          <cell r="C213" t="str">
            <v>منال عبدالعزيز ابراهيم الطلاسي</v>
          </cell>
          <cell r="D213" t="str">
            <v>الإدارة</v>
          </cell>
          <cell r="E213">
            <v>4000</v>
          </cell>
          <cell r="F213">
            <v>0</v>
          </cell>
          <cell r="G213"/>
          <cell r="H213"/>
          <cell r="I213">
            <v>0</v>
          </cell>
          <cell r="J213">
            <v>4000</v>
          </cell>
        </row>
        <row r="214">
          <cell r="B214">
            <v>1204</v>
          </cell>
          <cell r="C214" t="str">
            <v>جهاد سعد محمد العشبي</v>
          </cell>
          <cell r="D214" t="str">
            <v>ورشة أثاث</v>
          </cell>
          <cell r="E214">
            <v>1200</v>
          </cell>
          <cell r="F214"/>
          <cell r="G214"/>
          <cell r="H214"/>
          <cell r="I214">
            <v>1300</v>
          </cell>
          <cell r="J214">
            <v>2500</v>
          </cell>
        </row>
        <row r="215">
          <cell r="B215">
            <v>1205</v>
          </cell>
          <cell r="C215" t="str">
            <v>هاني ناجي علي محمد عثمان</v>
          </cell>
          <cell r="D215" t="str">
            <v>ورشة أثاث</v>
          </cell>
          <cell r="E215">
            <v>1200</v>
          </cell>
          <cell r="F215"/>
          <cell r="G215"/>
          <cell r="H215"/>
          <cell r="I215">
            <v>800</v>
          </cell>
          <cell r="J215">
            <v>2000</v>
          </cell>
        </row>
        <row r="216">
          <cell r="B216">
            <v>1206</v>
          </cell>
          <cell r="C216" t="str">
            <v>حسين علي محمد علي</v>
          </cell>
          <cell r="D216" t="str">
            <v>ورشة أثاث</v>
          </cell>
          <cell r="E216">
            <v>1200</v>
          </cell>
          <cell r="F216"/>
          <cell r="G216"/>
          <cell r="H216"/>
          <cell r="I216">
            <v>800</v>
          </cell>
          <cell r="J216">
            <v>2000</v>
          </cell>
        </row>
        <row r="217">
          <cell r="B217">
            <v>1207</v>
          </cell>
          <cell r="C217" t="str">
            <v>زياد شايف عبدالله عبده</v>
          </cell>
          <cell r="D217" t="str">
            <v>ورشة أثاث</v>
          </cell>
          <cell r="E217">
            <v>1200</v>
          </cell>
          <cell r="F217"/>
          <cell r="G217"/>
          <cell r="H217"/>
          <cell r="I217">
            <v>1100</v>
          </cell>
          <cell r="J217">
            <v>2300</v>
          </cell>
        </row>
        <row r="218">
          <cell r="B218">
            <v>1208</v>
          </cell>
          <cell r="C218" t="str">
            <v>عبد الاله محسن هزاع ناجي</v>
          </cell>
          <cell r="D218" t="str">
            <v>ورشة أثاث</v>
          </cell>
          <cell r="E218">
            <v>1200</v>
          </cell>
          <cell r="F218"/>
          <cell r="G218"/>
          <cell r="H218"/>
          <cell r="I218">
            <v>800</v>
          </cell>
          <cell r="J218">
            <v>2000</v>
          </cell>
        </row>
        <row r="219">
          <cell r="B219">
            <v>1209</v>
          </cell>
          <cell r="C219" t="str">
            <v>بكر عثمان صالح الرعدي</v>
          </cell>
          <cell r="D219" t="str">
            <v>ورشة أثاث</v>
          </cell>
          <cell r="E219">
            <v>1200</v>
          </cell>
          <cell r="F219"/>
          <cell r="G219"/>
          <cell r="H219"/>
          <cell r="I219">
            <v>1600</v>
          </cell>
          <cell r="J219">
            <v>2800</v>
          </cell>
        </row>
        <row r="220">
          <cell r="B220">
            <v>1210</v>
          </cell>
          <cell r="C220" t="str">
            <v>محمد نجيب علي اليافعي</v>
          </cell>
          <cell r="D220" t="str">
            <v>ورشة أثاث</v>
          </cell>
          <cell r="E220">
            <v>1200</v>
          </cell>
          <cell r="F220"/>
          <cell r="G220"/>
          <cell r="H220"/>
          <cell r="I220">
            <v>1100</v>
          </cell>
          <cell r="J220">
            <v>2300</v>
          </cell>
        </row>
        <row r="221">
          <cell r="B221">
            <v>1211</v>
          </cell>
          <cell r="C221" t="str">
            <v>عبدالغفار الزمان</v>
          </cell>
          <cell r="D221" t="str">
            <v>ورشة أثاث</v>
          </cell>
          <cell r="E221">
            <v>1200</v>
          </cell>
          <cell r="F221"/>
          <cell r="G221"/>
          <cell r="H221"/>
          <cell r="I221">
            <v>3000</v>
          </cell>
          <cell r="J221">
            <v>4200</v>
          </cell>
        </row>
        <row r="222">
          <cell r="B222">
            <v>1212</v>
          </cell>
          <cell r="C222" t="str">
            <v>خالد علي احمد الخطيب</v>
          </cell>
          <cell r="D222" t="str">
            <v>ورشة أثاث</v>
          </cell>
          <cell r="E222">
            <v>1200</v>
          </cell>
          <cell r="F222"/>
          <cell r="G222"/>
          <cell r="H222"/>
          <cell r="I222">
            <v>2100</v>
          </cell>
          <cell r="J222">
            <v>3300</v>
          </cell>
        </row>
        <row r="223">
          <cell r="B223">
            <v>1213</v>
          </cell>
          <cell r="C223" t="str">
            <v>جميل يحي محسن عميسان</v>
          </cell>
          <cell r="D223" t="str">
            <v>ورشة أثاث</v>
          </cell>
          <cell r="E223">
            <v>1200</v>
          </cell>
          <cell r="F223"/>
          <cell r="G223"/>
          <cell r="H223"/>
          <cell r="I223">
            <v>4800</v>
          </cell>
          <cell r="J223">
            <v>6000</v>
          </cell>
        </row>
        <row r="224">
          <cell r="B224">
            <v>1214</v>
          </cell>
          <cell r="C224" t="str">
            <v>علاء أبو السعود محمد عبدالجواد</v>
          </cell>
          <cell r="D224" t="str">
            <v>ورشة أثاث</v>
          </cell>
          <cell r="E224">
            <v>1200</v>
          </cell>
          <cell r="F224">
            <v>0</v>
          </cell>
          <cell r="G224"/>
          <cell r="H224"/>
          <cell r="I224">
            <v>1300</v>
          </cell>
          <cell r="J224">
            <v>2500</v>
          </cell>
        </row>
        <row r="225">
          <cell r="B225">
            <v>1215</v>
          </cell>
          <cell r="C225" t="str">
            <v>سكينة ناجي منصور الحرز</v>
          </cell>
          <cell r="D225" t="str">
            <v>العنود</v>
          </cell>
          <cell r="E225">
            <v>4000</v>
          </cell>
          <cell r="F225">
            <v>0</v>
          </cell>
          <cell r="G225"/>
          <cell r="H225"/>
          <cell r="I225">
            <v>300</v>
          </cell>
          <cell r="J225">
            <v>4300</v>
          </cell>
        </row>
        <row r="226">
          <cell r="B226">
            <v>1216</v>
          </cell>
          <cell r="C226" t="str">
            <v>بسمه محمد يحيى هارون</v>
          </cell>
          <cell r="D226" t="str">
            <v>الشفا</v>
          </cell>
          <cell r="E226">
            <v>4000</v>
          </cell>
          <cell r="F226">
            <v>0</v>
          </cell>
          <cell r="G226"/>
          <cell r="H226"/>
          <cell r="I226">
            <v>0</v>
          </cell>
          <cell r="J226">
            <v>4000</v>
          </cell>
        </row>
        <row r="227">
          <cell r="B227">
            <v>1217</v>
          </cell>
          <cell r="C227" t="str">
            <v>وعد محمد سعد الدليل الدوسري</v>
          </cell>
          <cell r="D227" t="str">
            <v>الشفا</v>
          </cell>
          <cell r="E227">
            <v>4000</v>
          </cell>
          <cell r="F227">
            <v>0</v>
          </cell>
          <cell r="G227"/>
          <cell r="H227"/>
          <cell r="I227">
            <v>0</v>
          </cell>
          <cell r="J227">
            <v>4000</v>
          </cell>
        </row>
        <row r="228">
          <cell r="B228">
            <v>1218</v>
          </cell>
          <cell r="C228" t="str">
            <v>كليم حسين أي بي رشيد</v>
          </cell>
          <cell r="D228" t="str">
            <v>هاينس</v>
          </cell>
          <cell r="E228">
            <v>1200</v>
          </cell>
          <cell r="F228"/>
          <cell r="G228"/>
          <cell r="H228"/>
          <cell r="I228">
            <v>400</v>
          </cell>
          <cell r="J228">
            <v>1600</v>
          </cell>
        </row>
        <row r="229">
          <cell r="B229">
            <v>1219</v>
          </cell>
          <cell r="C229" t="str">
            <v>جايد حسن</v>
          </cell>
          <cell r="D229" t="str">
            <v>هاينس</v>
          </cell>
          <cell r="E229">
            <v>1200</v>
          </cell>
          <cell r="F229"/>
          <cell r="G229"/>
          <cell r="H229"/>
          <cell r="I229">
            <v>400</v>
          </cell>
          <cell r="J229">
            <v>1600</v>
          </cell>
        </row>
        <row r="230">
          <cell r="B230">
            <v>1220</v>
          </cell>
          <cell r="C230" t="str">
            <v>مد جمال أوسين</v>
          </cell>
          <cell r="D230" t="str">
            <v>هاينس</v>
          </cell>
          <cell r="E230">
            <v>1200</v>
          </cell>
          <cell r="F230"/>
          <cell r="G230"/>
          <cell r="H230"/>
          <cell r="I230">
            <v>400</v>
          </cell>
          <cell r="J230">
            <v>1600</v>
          </cell>
        </row>
        <row r="231">
          <cell r="B231">
            <v>1221</v>
          </cell>
          <cell r="C231" t="str">
            <v>محمد طارق مد مياه</v>
          </cell>
          <cell r="D231" t="str">
            <v>هاينس</v>
          </cell>
          <cell r="E231">
            <v>1200</v>
          </cell>
          <cell r="F231"/>
          <cell r="G231"/>
          <cell r="H231"/>
          <cell r="I231">
            <v>400</v>
          </cell>
          <cell r="J231">
            <v>1600</v>
          </cell>
        </row>
        <row r="232">
          <cell r="B232">
            <v>1222</v>
          </cell>
          <cell r="C232" t="str">
            <v>رافت رافت حسين حسين</v>
          </cell>
          <cell r="D232" t="str">
            <v>هاينس</v>
          </cell>
          <cell r="E232">
            <v>1200</v>
          </cell>
          <cell r="F232"/>
          <cell r="G232"/>
          <cell r="H232"/>
          <cell r="I232">
            <v>400</v>
          </cell>
          <cell r="J232">
            <v>1600</v>
          </cell>
        </row>
        <row r="233">
          <cell r="B233">
            <v>1223</v>
          </cell>
          <cell r="C233" t="str">
            <v>عبدالعزيز عبدالواحد لطف الشلفي</v>
          </cell>
          <cell r="D233" t="str">
            <v>هاينس</v>
          </cell>
          <cell r="E233">
            <v>1200</v>
          </cell>
          <cell r="F233">
            <v>0</v>
          </cell>
          <cell r="G233"/>
          <cell r="H233"/>
          <cell r="I233">
            <v>1100</v>
          </cell>
          <cell r="J233">
            <v>2300</v>
          </cell>
        </row>
        <row r="234">
          <cell r="B234">
            <v>1224</v>
          </cell>
          <cell r="C234" t="str">
            <v>بسمه عبدالعزيز عبدالله عون</v>
          </cell>
          <cell r="D234" t="str">
            <v>الشفا</v>
          </cell>
          <cell r="E234">
            <v>4000</v>
          </cell>
          <cell r="F234">
            <v>0</v>
          </cell>
          <cell r="G234"/>
          <cell r="H234"/>
          <cell r="I234">
            <v>0</v>
          </cell>
          <cell r="J234">
            <v>4000</v>
          </cell>
        </row>
        <row r="235">
          <cell r="B235">
            <v>1225</v>
          </cell>
          <cell r="C235" t="str">
            <v>غيداء سليمان صالح المريشد</v>
          </cell>
          <cell r="D235" t="str">
            <v>وكالة ممكن</v>
          </cell>
          <cell r="E235">
            <v>1200</v>
          </cell>
          <cell r="F235">
            <v>0</v>
          </cell>
          <cell r="G235"/>
          <cell r="H235"/>
          <cell r="I235">
            <v>800</v>
          </cell>
          <cell r="J235">
            <v>2000</v>
          </cell>
        </row>
        <row r="236">
          <cell r="B236">
            <v>1226</v>
          </cell>
          <cell r="C236" t="str">
            <v xml:space="preserve">محمد المبارك ( أبو سامي) </v>
          </cell>
          <cell r="D236" t="str">
            <v>الشفا</v>
          </cell>
          <cell r="E236">
            <v>5000</v>
          </cell>
          <cell r="F236">
            <v>0</v>
          </cell>
          <cell r="G236"/>
          <cell r="H236"/>
          <cell r="I236">
            <v>0</v>
          </cell>
          <cell r="J236">
            <v>5000</v>
          </cell>
        </row>
        <row r="237">
          <cell r="B237">
            <v>1227</v>
          </cell>
          <cell r="C237" t="str">
            <v>محمد ريدوري</v>
          </cell>
          <cell r="D237" t="str">
            <v>النسيم 2</v>
          </cell>
          <cell r="E237">
            <v>1200</v>
          </cell>
          <cell r="F237"/>
          <cell r="G237"/>
          <cell r="H237"/>
          <cell r="I237">
            <v>400</v>
          </cell>
          <cell r="J237">
            <v>1600</v>
          </cell>
        </row>
        <row r="238">
          <cell r="B238">
            <v>1228</v>
          </cell>
          <cell r="C238" t="str">
            <v>مد تان</v>
          </cell>
          <cell r="D238" t="str">
            <v>هاينس</v>
          </cell>
          <cell r="E238">
            <v>1200</v>
          </cell>
          <cell r="F238"/>
          <cell r="G238"/>
          <cell r="H238"/>
          <cell r="I238">
            <v>400</v>
          </cell>
          <cell r="J238">
            <v>1600</v>
          </cell>
        </row>
        <row r="239">
          <cell r="B239">
            <v>1229</v>
          </cell>
          <cell r="C239" t="str">
            <v>عريف الرحمن</v>
          </cell>
          <cell r="D239" t="str">
            <v>هاينس</v>
          </cell>
          <cell r="E239">
            <v>1200</v>
          </cell>
          <cell r="F239"/>
          <cell r="G239"/>
          <cell r="H239"/>
          <cell r="I239">
            <v>400</v>
          </cell>
          <cell r="J239">
            <v>1600</v>
          </cell>
        </row>
        <row r="240">
          <cell r="B240">
            <v>1230</v>
          </cell>
          <cell r="C240" t="str">
            <v>رياض أوسين</v>
          </cell>
          <cell r="D240" t="str">
            <v>هاينس</v>
          </cell>
          <cell r="E240">
            <v>1200</v>
          </cell>
          <cell r="F240"/>
          <cell r="G240"/>
          <cell r="H240"/>
          <cell r="I240">
            <v>400</v>
          </cell>
          <cell r="J240">
            <v>1600</v>
          </cell>
        </row>
        <row r="241">
          <cell r="B241">
            <v>1231</v>
          </cell>
          <cell r="C241" t="str">
            <v>يعقوب نبي</v>
          </cell>
          <cell r="D241" t="str">
            <v>هاينس</v>
          </cell>
          <cell r="E241">
            <v>1200</v>
          </cell>
          <cell r="F241"/>
          <cell r="G241"/>
          <cell r="H241"/>
          <cell r="I241">
            <v>400</v>
          </cell>
          <cell r="J241">
            <v>1600</v>
          </cell>
        </row>
        <row r="242">
          <cell r="B242">
            <v>1232</v>
          </cell>
          <cell r="C242" t="str">
            <v>مسعود علام</v>
          </cell>
          <cell r="D242" t="str">
            <v>هاينس</v>
          </cell>
          <cell r="E242">
            <v>1200</v>
          </cell>
          <cell r="F242"/>
          <cell r="G242"/>
          <cell r="H242"/>
          <cell r="I242">
            <v>400</v>
          </cell>
          <cell r="J242">
            <v>1600</v>
          </cell>
        </row>
        <row r="243">
          <cell r="B243">
            <v>1233</v>
          </cell>
          <cell r="C243" t="str">
            <v>حبيب آل ارحمن</v>
          </cell>
          <cell r="D243" t="str">
            <v>هاينس</v>
          </cell>
          <cell r="E243">
            <v>1200</v>
          </cell>
          <cell r="F243"/>
          <cell r="G243"/>
          <cell r="H243"/>
          <cell r="I243">
            <v>400</v>
          </cell>
          <cell r="J243">
            <v>1600</v>
          </cell>
        </row>
        <row r="244">
          <cell r="B244">
            <v>1234</v>
          </cell>
          <cell r="C244" t="str">
            <v>فيصل عيضه عوض الوهبي المالكي</v>
          </cell>
          <cell r="D244" t="str">
            <v>النسيم</v>
          </cell>
          <cell r="E244">
            <v>4000</v>
          </cell>
          <cell r="F244"/>
          <cell r="G244"/>
          <cell r="H244"/>
          <cell r="I244">
            <v>0</v>
          </cell>
          <cell r="J244">
            <v>4000</v>
          </cell>
        </row>
        <row r="245">
          <cell r="B245">
            <v>1235</v>
          </cell>
          <cell r="C245" t="str">
            <v>محمد علي محمد الشطنان الرشيدي</v>
          </cell>
          <cell r="D245" t="str">
            <v>المصيف</v>
          </cell>
          <cell r="E245">
            <v>4000</v>
          </cell>
          <cell r="F245"/>
          <cell r="G245"/>
          <cell r="H245"/>
          <cell r="I245">
            <v>0</v>
          </cell>
          <cell r="J245">
            <v>4000</v>
          </cell>
        </row>
        <row r="246">
          <cell r="B246">
            <v>1236</v>
          </cell>
          <cell r="C246" t="str">
            <v>بندر فيحان حمدي الشيباني العتيبي</v>
          </cell>
          <cell r="D246" t="str">
            <v>اليرموك</v>
          </cell>
          <cell r="E246">
            <v>4000</v>
          </cell>
          <cell r="F246"/>
          <cell r="G246"/>
          <cell r="H246"/>
          <cell r="I246">
            <v>0</v>
          </cell>
          <cell r="J246">
            <v>4000</v>
          </cell>
        </row>
        <row r="247">
          <cell r="B247">
            <v>1237</v>
          </cell>
          <cell r="C247" t="str">
            <v>فاطمة إبراهيم حدور آل عيسى</v>
          </cell>
          <cell r="D247" t="str">
            <v>الدائري الغربي</v>
          </cell>
          <cell r="E247">
            <v>4000</v>
          </cell>
          <cell r="F247"/>
          <cell r="G247"/>
          <cell r="H247"/>
          <cell r="I247">
            <v>0</v>
          </cell>
          <cell r="J247">
            <v>4000</v>
          </cell>
        </row>
        <row r="248">
          <cell r="B248">
            <v>1238</v>
          </cell>
          <cell r="C248" t="str">
            <v>بكر عبد القادر محمد عبدالقوي</v>
          </cell>
          <cell r="D248" t="str">
            <v>اليرموك</v>
          </cell>
          <cell r="E248">
            <v>1900</v>
          </cell>
          <cell r="F248"/>
          <cell r="G248"/>
          <cell r="H248"/>
          <cell r="I248">
            <v>0</v>
          </cell>
          <cell r="J248">
            <v>1900</v>
          </cell>
        </row>
        <row r="249">
          <cell r="B249">
            <v>1239</v>
          </cell>
          <cell r="C249" t="str">
            <v>جابر محمد ناجي علي مراد</v>
          </cell>
          <cell r="D249" t="str">
            <v>الشفا</v>
          </cell>
          <cell r="E249">
            <v>1900</v>
          </cell>
          <cell r="F249"/>
          <cell r="G249"/>
          <cell r="H249"/>
          <cell r="I249">
            <v>0</v>
          </cell>
          <cell r="J249">
            <v>1900</v>
          </cell>
        </row>
        <row r="250">
          <cell r="B250">
            <v>1240</v>
          </cell>
          <cell r="C250" t="str">
            <v>كريم مجد علي عباس</v>
          </cell>
          <cell r="D250" t="str">
            <v>ورشة أثاث</v>
          </cell>
          <cell r="E250">
            <v>1200</v>
          </cell>
          <cell r="F250"/>
          <cell r="G250"/>
          <cell r="H250"/>
          <cell r="I250">
            <v>1600</v>
          </cell>
          <cell r="J250">
            <v>2800</v>
          </cell>
        </row>
        <row r="251">
          <cell r="B251">
            <v>1241</v>
          </cell>
          <cell r="C251" t="str">
            <v>خليل نجيب اليافعي</v>
          </cell>
          <cell r="D251" t="str">
            <v>ورشة أثاث</v>
          </cell>
          <cell r="E251">
            <v>1200</v>
          </cell>
          <cell r="F251"/>
          <cell r="G251"/>
          <cell r="H251"/>
          <cell r="I251">
            <v>500</v>
          </cell>
          <cell r="J251">
            <v>1700</v>
          </cell>
        </row>
        <row r="252">
          <cell r="B252">
            <v>1242</v>
          </cell>
          <cell r="C252" t="str">
            <v>فهد القحطاني</v>
          </cell>
          <cell r="D252" t="str">
            <v>ورشة أثاث</v>
          </cell>
          <cell r="E252">
            <v>2000</v>
          </cell>
          <cell r="F252"/>
          <cell r="G252"/>
          <cell r="H252"/>
          <cell r="I252">
            <v>0</v>
          </cell>
          <cell r="J252">
            <v>2000</v>
          </cell>
        </row>
        <row r="253">
          <cell r="B253">
            <v>1243</v>
          </cell>
          <cell r="C253" t="str">
            <v>مبارك عبدالله مبارك دليم</v>
          </cell>
          <cell r="D253" t="str">
            <v>هاينس</v>
          </cell>
          <cell r="E253">
            <v>4000</v>
          </cell>
          <cell r="F253"/>
          <cell r="G253"/>
          <cell r="H253"/>
          <cell r="I253">
            <v>500</v>
          </cell>
          <cell r="J253">
            <v>4500</v>
          </cell>
        </row>
        <row r="254">
          <cell r="B254">
            <v>1244</v>
          </cell>
          <cell r="C254" t="str">
            <v>عمر عبد القادر حسن</v>
          </cell>
          <cell r="D254" t="str">
            <v>وكالة ممكن</v>
          </cell>
          <cell r="E254">
            <v>1800</v>
          </cell>
          <cell r="F254"/>
          <cell r="G254"/>
          <cell r="H254"/>
          <cell r="I254">
            <v>0</v>
          </cell>
          <cell r="J254">
            <v>1800</v>
          </cell>
        </row>
        <row r="255">
          <cell r="B255">
            <v>1245</v>
          </cell>
          <cell r="C255" t="str">
            <v>منيرة عبدالرحمن صالح الفهيد الدوسري</v>
          </cell>
          <cell r="D255" t="str">
            <v>هاينس</v>
          </cell>
          <cell r="E255">
            <v>4000</v>
          </cell>
          <cell r="F255"/>
          <cell r="G255"/>
          <cell r="H255"/>
          <cell r="I255">
            <v>0</v>
          </cell>
          <cell r="J255">
            <v>4000</v>
          </cell>
        </row>
        <row r="256">
          <cell r="B256">
            <v>1246</v>
          </cell>
          <cell r="C256" t="str">
            <v>رزان فهد راشد خثران</v>
          </cell>
          <cell r="D256" t="str">
            <v>هاينس</v>
          </cell>
          <cell r="E256">
            <v>4000</v>
          </cell>
          <cell r="F256"/>
          <cell r="G256"/>
          <cell r="H256"/>
          <cell r="I256">
            <v>0</v>
          </cell>
          <cell r="J256">
            <v>4000</v>
          </cell>
        </row>
        <row r="257">
          <cell r="B257">
            <v>1247</v>
          </cell>
          <cell r="C257" t="str">
            <v>منيره دحيم مبارك آل صارم الدوسري</v>
          </cell>
          <cell r="D257" t="str">
            <v>هاينس</v>
          </cell>
          <cell r="E257">
            <v>4000</v>
          </cell>
          <cell r="F257"/>
          <cell r="G257"/>
          <cell r="H257"/>
          <cell r="I257">
            <v>0</v>
          </cell>
          <cell r="J257">
            <v>4000</v>
          </cell>
        </row>
        <row r="258">
          <cell r="B258">
            <v>1248</v>
          </cell>
          <cell r="C258" t="str">
            <v>سعد محمد سعد الشبرمي</v>
          </cell>
          <cell r="D258" t="str">
            <v>النسيم</v>
          </cell>
          <cell r="E258">
            <v>4000</v>
          </cell>
          <cell r="F258"/>
          <cell r="G258"/>
          <cell r="H258"/>
          <cell r="I258">
            <v>0</v>
          </cell>
          <cell r="J258">
            <v>4000</v>
          </cell>
        </row>
        <row r="259">
          <cell r="B259">
            <v>1249</v>
          </cell>
          <cell r="C259" t="str">
            <v>هديل مصبح</v>
          </cell>
          <cell r="D259" t="str">
            <v>وكالة ممكن</v>
          </cell>
          <cell r="E259">
            <v>1879</v>
          </cell>
          <cell r="F259"/>
          <cell r="G259"/>
          <cell r="H259"/>
          <cell r="I259">
            <v>0</v>
          </cell>
          <cell r="J259">
            <v>1879</v>
          </cell>
        </row>
        <row r="260">
          <cell r="B260">
            <v>1250</v>
          </cell>
          <cell r="C260" t="str">
            <v>ريناد العمري</v>
          </cell>
          <cell r="D260" t="str">
            <v>وكالة ممكن</v>
          </cell>
          <cell r="E260">
            <v>3000</v>
          </cell>
          <cell r="F260"/>
          <cell r="G260"/>
          <cell r="H260"/>
          <cell r="I260">
            <v>0</v>
          </cell>
          <cell r="J260">
            <v>3000</v>
          </cell>
        </row>
        <row r="261">
          <cell r="B261">
            <v>1251</v>
          </cell>
          <cell r="C261" t="str">
            <v>أحمد السيد</v>
          </cell>
          <cell r="D261" t="str">
            <v>وكالة ممكن</v>
          </cell>
          <cell r="E261">
            <v>1500</v>
          </cell>
          <cell r="F261"/>
          <cell r="G261"/>
          <cell r="H261"/>
          <cell r="I261">
            <v>0</v>
          </cell>
          <cell r="J261">
            <v>1500</v>
          </cell>
        </row>
        <row r="262">
          <cell r="B262">
            <v>1252</v>
          </cell>
          <cell r="C262" t="str">
            <v>مد لامين</v>
          </cell>
          <cell r="D262" t="str">
            <v>هاينس</v>
          </cell>
          <cell r="E262">
            <v>1200</v>
          </cell>
          <cell r="F262"/>
          <cell r="G262"/>
          <cell r="H262"/>
          <cell r="I262">
            <v>400</v>
          </cell>
          <cell r="J262">
            <v>1600</v>
          </cell>
        </row>
        <row r="263">
          <cell r="B263">
            <v>1253</v>
          </cell>
          <cell r="C263" t="str">
            <v>معاذ عبد العزيز عبد الواحد الشلفي</v>
          </cell>
          <cell r="D263" t="str">
            <v>اليرموك</v>
          </cell>
          <cell r="E263">
            <v>1200</v>
          </cell>
          <cell r="F263"/>
          <cell r="G263"/>
          <cell r="H263"/>
          <cell r="I263">
            <v>700</v>
          </cell>
          <cell r="J263">
            <v>1900</v>
          </cell>
        </row>
        <row r="264">
          <cell r="B264">
            <v>1254</v>
          </cell>
          <cell r="C264" t="str">
            <v>نوف حسن عبدالله قعود</v>
          </cell>
          <cell r="D264" t="str">
            <v>الإدارة</v>
          </cell>
          <cell r="E264">
            <v>4000</v>
          </cell>
          <cell r="F264"/>
          <cell r="G264"/>
          <cell r="H264"/>
          <cell r="I264">
            <v>0</v>
          </cell>
          <cell r="J264">
            <v>4000</v>
          </cell>
        </row>
        <row r="265">
          <cell r="B265">
            <v>1255</v>
          </cell>
          <cell r="C265" t="str">
            <v>فهد فيحان حمدي الشيباني العتيبي</v>
          </cell>
          <cell r="D265" t="str">
            <v>النسيم</v>
          </cell>
          <cell r="E265">
            <v>4000</v>
          </cell>
          <cell r="F265"/>
          <cell r="G265"/>
          <cell r="H265"/>
          <cell r="I265">
            <v>0</v>
          </cell>
          <cell r="J265">
            <v>4000</v>
          </cell>
        </row>
        <row r="266">
          <cell r="B266">
            <v>1256</v>
          </cell>
          <cell r="C266" t="str">
            <v>فتون تركي مهدي ال سالم</v>
          </cell>
          <cell r="D266" t="str">
            <v>العنود</v>
          </cell>
          <cell r="E266">
            <v>4000</v>
          </cell>
          <cell r="F266"/>
          <cell r="G266"/>
          <cell r="H266"/>
          <cell r="I266">
            <v>0</v>
          </cell>
          <cell r="J266">
            <v>4000</v>
          </cell>
        </row>
        <row r="267">
          <cell r="B267">
            <v>1257</v>
          </cell>
          <cell r="C267" t="str">
            <v>فيصل سعد عيظه سيلان</v>
          </cell>
          <cell r="D267" t="str">
            <v>هاينس</v>
          </cell>
          <cell r="E267">
            <v>1200</v>
          </cell>
          <cell r="F267"/>
          <cell r="G267"/>
          <cell r="H267"/>
          <cell r="I267">
            <v>2800</v>
          </cell>
          <cell r="J267">
            <v>4000</v>
          </cell>
        </row>
        <row r="268">
          <cell r="B268">
            <v>1258</v>
          </cell>
          <cell r="C268" t="str">
            <v>نظم أل حسن</v>
          </cell>
          <cell r="D268" t="str">
            <v>هاينس</v>
          </cell>
          <cell r="E268">
            <v>1200</v>
          </cell>
          <cell r="F268"/>
          <cell r="G268"/>
          <cell r="H268"/>
          <cell r="I268">
            <v>400</v>
          </cell>
          <cell r="J268">
            <v>1600</v>
          </cell>
        </row>
        <row r="269">
          <cell r="B269">
            <v>1259</v>
          </cell>
          <cell r="C269" t="str">
            <v xml:space="preserve">محمد كوثر </v>
          </cell>
          <cell r="D269" t="str">
            <v>هاينس</v>
          </cell>
          <cell r="E269">
            <v>1200</v>
          </cell>
          <cell r="F269"/>
          <cell r="G269"/>
          <cell r="H269"/>
          <cell r="I269">
            <v>400</v>
          </cell>
          <cell r="J269">
            <v>1600</v>
          </cell>
        </row>
        <row r="270">
          <cell r="B270">
            <v>1260</v>
          </cell>
          <cell r="C270" t="str">
            <v>محمود حسن</v>
          </cell>
          <cell r="D270" t="str">
            <v>هاينس</v>
          </cell>
          <cell r="E270">
            <v>1200</v>
          </cell>
          <cell r="F270"/>
          <cell r="G270"/>
          <cell r="H270"/>
          <cell r="I270">
            <v>400</v>
          </cell>
          <cell r="J270">
            <v>1600</v>
          </cell>
        </row>
        <row r="271">
          <cell r="B271">
            <v>1261</v>
          </cell>
          <cell r="C271" t="str">
            <v>مد طارق</v>
          </cell>
          <cell r="D271" t="str">
            <v>هاينس</v>
          </cell>
          <cell r="E271">
            <v>1200</v>
          </cell>
          <cell r="F271"/>
          <cell r="G271"/>
          <cell r="H271"/>
          <cell r="I271">
            <v>400</v>
          </cell>
          <cell r="J271">
            <v>1600</v>
          </cell>
        </row>
        <row r="272">
          <cell r="B272">
            <v>1262</v>
          </cell>
          <cell r="C272" t="str">
            <v>غرام عبدالله ناصر الحداني العنزي</v>
          </cell>
          <cell r="D272" t="str">
            <v>هاينس</v>
          </cell>
          <cell r="E272">
            <v>4000</v>
          </cell>
          <cell r="F272"/>
          <cell r="G272"/>
          <cell r="H272"/>
          <cell r="I272">
            <v>500</v>
          </cell>
          <cell r="J272">
            <v>4500</v>
          </cell>
        </row>
        <row r="273">
          <cell r="B273">
            <v>1263</v>
          </cell>
          <cell r="C273" t="str">
            <v>شكيل كازي</v>
          </cell>
          <cell r="D273" t="str">
            <v>هاينس</v>
          </cell>
          <cell r="E273">
            <v>1200</v>
          </cell>
          <cell r="F273"/>
          <cell r="G273"/>
          <cell r="H273"/>
          <cell r="I273">
            <v>400</v>
          </cell>
          <cell r="J273">
            <v>1600</v>
          </cell>
        </row>
        <row r="274">
          <cell r="B274">
            <v>1264</v>
          </cell>
          <cell r="C274" t="str">
            <v>راشد عبدالعزيز احمد الراشد</v>
          </cell>
          <cell r="D274" t="str">
            <v>هاينس</v>
          </cell>
          <cell r="E274">
            <v>1200</v>
          </cell>
          <cell r="F274"/>
          <cell r="G274"/>
          <cell r="H274"/>
          <cell r="I274">
            <v>2400</v>
          </cell>
          <cell r="J274">
            <v>3600</v>
          </cell>
        </row>
        <row r="275">
          <cell r="B275">
            <v>1265</v>
          </cell>
          <cell r="C275" t="str">
            <v>نادر محمد عبدالله احمد السامعي</v>
          </cell>
          <cell r="D275" t="str">
            <v>ورشة أثاث</v>
          </cell>
          <cell r="E275">
            <v>1200</v>
          </cell>
          <cell r="F275"/>
          <cell r="G275"/>
          <cell r="H275"/>
          <cell r="I275">
            <v>1000</v>
          </cell>
          <cell r="J275">
            <v>2200</v>
          </cell>
        </row>
        <row r="276">
          <cell r="B276">
            <v>1266</v>
          </cell>
          <cell r="C276" t="str">
            <v>وداد إبراهيم حسن شواق</v>
          </cell>
          <cell r="D276" t="str">
            <v>الدائري الغربي</v>
          </cell>
          <cell r="E276">
            <v>4000</v>
          </cell>
          <cell r="F276"/>
          <cell r="G276"/>
          <cell r="H276"/>
          <cell r="I276">
            <v>0</v>
          </cell>
          <cell r="J276">
            <v>4000</v>
          </cell>
        </row>
        <row r="277">
          <cell r="B277">
            <v>1267</v>
          </cell>
          <cell r="C277" t="str">
            <v>محمد سيد عبدالعظيم سليمان</v>
          </cell>
          <cell r="D277" t="str">
            <v>وكالة ممكن</v>
          </cell>
          <cell r="E277">
            <v>4000</v>
          </cell>
          <cell r="F277"/>
          <cell r="G277"/>
          <cell r="H277"/>
          <cell r="I277">
            <v>1500</v>
          </cell>
          <cell r="J277">
            <v>5500</v>
          </cell>
        </row>
        <row r="278">
          <cell r="B278">
            <v>1268</v>
          </cell>
          <cell r="C278" t="str">
            <v>أحمد صبري محمد جعلوص</v>
          </cell>
          <cell r="D278" t="str">
            <v>وكالة ممكن</v>
          </cell>
          <cell r="E278">
            <v>6000</v>
          </cell>
          <cell r="F278">
            <v>500</v>
          </cell>
          <cell r="G278">
            <v>500</v>
          </cell>
          <cell r="H278"/>
          <cell r="I278">
            <v>1000</v>
          </cell>
          <cell r="J278">
            <v>8000</v>
          </cell>
        </row>
        <row r="279">
          <cell r="B279">
            <v>1269</v>
          </cell>
          <cell r="C279" t="str">
            <v>فارس ترحيب عبدالله المزيني الحربي</v>
          </cell>
          <cell r="D279" t="str">
            <v>هاينس</v>
          </cell>
          <cell r="E279">
            <v>4000</v>
          </cell>
          <cell r="F279"/>
          <cell r="G279"/>
          <cell r="H279"/>
          <cell r="I279">
            <v>0</v>
          </cell>
          <cell r="J279">
            <v>4000</v>
          </cell>
        </row>
        <row r="280">
          <cell r="B280">
            <v>1270</v>
          </cell>
          <cell r="C280" t="str">
            <v>شهاب الدين عبد الرحمن  عاشور</v>
          </cell>
          <cell r="D280" t="str">
            <v>وكالة ممكن</v>
          </cell>
          <cell r="E280">
            <v>1500</v>
          </cell>
          <cell r="F280"/>
          <cell r="G280"/>
          <cell r="H280"/>
          <cell r="I280">
            <v>0</v>
          </cell>
          <cell r="J280">
            <v>1500</v>
          </cell>
        </row>
        <row r="281">
          <cell r="B281">
            <v>1271</v>
          </cell>
          <cell r="C281" t="str">
            <v>عبد الله محمد عبدالله النشار</v>
          </cell>
          <cell r="D281" t="str">
            <v>وكالة ممكن</v>
          </cell>
          <cell r="E281">
            <v>1500</v>
          </cell>
          <cell r="F281"/>
          <cell r="G281"/>
          <cell r="H281"/>
          <cell r="I281">
            <v>0</v>
          </cell>
          <cell r="J281">
            <v>1500</v>
          </cell>
        </row>
        <row r="282">
          <cell r="B282">
            <v>1272</v>
          </cell>
          <cell r="C282" t="str">
            <v>سعد محمد القرني</v>
          </cell>
          <cell r="D282" t="str">
            <v>وكالة ممكن</v>
          </cell>
          <cell r="E282">
            <v>4000</v>
          </cell>
          <cell r="F282"/>
          <cell r="G282"/>
          <cell r="H282"/>
          <cell r="I282">
            <v>4000</v>
          </cell>
          <cell r="J282">
            <v>8000</v>
          </cell>
        </row>
        <row r="283">
          <cell r="B283">
            <v>1273</v>
          </cell>
          <cell r="C283" t="str">
            <v>مد يعقوب حسين</v>
          </cell>
          <cell r="D283" t="str">
            <v>اليرموك</v>
          </cell>
          <cell r="E283">
            <v>1200</v>
          </cell>
          <cell r="F283"/>
          <cell r="G283"/>
          <cell r="H283"/>
          <cell r="I283">
            <v>400</v>
          </cell>
          <cell r="J283">
            <v>1600</v>
          </cell>
        </row>
        <row r="284">
          <cell r="B284">
            <v>1274</v>
          </cell>
          <cell r="C284" t="str">
            <v>منصور محمد يحي حكمي</v>
          </cell>
          <cell r="D284" t="str">
            <v>الإدارة</v>
          </cell>
          <cell r="E284">
            <v>4000</v>
          </cell>
          <cell r="F284"/>
          <cell r="G284"/>
          <cell r="H284"/>
          <cell r="I284">
            <v>0</v>
          </cell>
          <cell r="J284">
            <v>4000</v>
          </cell>
        </row>
        <row r="285">
          <cell r="B285">
            <v>1275</v>
          </cell>
          <cell r="C285" t="str">
            <v>صالح علي</v>
          </cell>
          <cell r="D285" t="str">
            <v>هاينس</v>
          </cell>
          <cell r="E285">
            <v>1200</v>
          </cell>
          <cell r="F285"/>
          <cell r="G285"/>
          <cell r="H285"/>
          <cell r="I285">
            <v>1800</v>
          </cell>
          <cell r="J285">
            <v>3000</v>
          </cell>
        </row>
        <row r="286">
          <cell r="B286">
            <v>1276</v>
          </cell>
          <cell r="C286" t="str">
            <v>احمد محمد علي احمد العبدلي</v>
          </cell>
          <cell r="D286" t="str">
            <v>هاينس</v>
          </cell>
          <cell r="E286">
            <v>1200</v>
          </cell>
          <cell r="F286">
            <v>500</v>
          </cell>
          <cell r="G286">
            <v>500</v>
          </cell>
          <cell r="H286"/>
          <cell r="I286">
            <v>3300</v>
          </cell>
          <cell r="J286">
            <v>5500</v>
          </cell>
        </row>
        <row r="287">
          <cell r="B287">
            <v>1277</v>
          </cell>
          <cell r="C287" t="str">
            <v>منى احمد محمد السميح</v>
          </cell>
          <cell r="D287" t="str">
            <v>الإدارة</v>
          </cell>
          <cell r="E287">
            <v>4000</v>
          </cell>
          <cell r="F287"/>
          <cell r="G287"/>
          <cell r="H287"/>
          <cell r="I287">
            <v>0</v>
          </cell>
          <cell r="J287">
            <v>4000</v>
          </cell>
        </row>
        <row r="288">
          <cell r="B288">
            <v>1278</v>
          </cell>
          <cell r="C288" t="str">
            <v>حصه عبدالرحمن غائب الغائب</v>
          </cell>
          <cell r="D288" t="str">
            <v>هاينس</v>
          </cell>
          <cell r="E288">
            <v>4000</v>
          </cell>
          <cell r="F288"/>
          <cell r="G288"/>
          <cell r="H288"/>
          <cell r="I288">
            <v>0</v>
          </cell>
          <cell r="J288">
            <v>4000</v>
          </cell>
        </row>
        <row r="289">
          <cell r="B289">
            <v>1279</v>
          </cell>
          <cell r="C289" t="str">
            <v>نواف ابراهيم سعود العبودي</v>
          </cell>
          <cell r="D289" t="str">
            <v>هاينس</v>
          </cell>
          <cell r="E289">
            <v>4000</v>
          </cell>
          <cell r="F289"/>
          <cell r="G289"/>
          <cell r="H289"/>
          <cell r="I289">
            <v>500</v>
          </cell>
          <cell r="J289">
            <v>4500</v>
          </cell>
        </row>
        <row r="290">
          <cell r="B290">
            <v>1280</v>
          </cell>
          <cell r="C290" t="str">
            <v>بياترس دينا منيازي</v>
          </cell>
          <cell r="D290" t="str">
            <v>المالك</v>
          </cell>
          <cell r="E290">
            <v>0</v>
          </cell>
          <cell r="F290"/>
          <cell r="G290"/>
          <cell r="H290"/>
          <cell r="I290">
            <v>0</v>
          </cell>
          <cell r="J290">
            <v>0</v>
          </cell>
        </row>
        <row r="291">
          <cell r="B291">
            <v>1281</v>
          </cell>
          <cell r="C291" t="str">
            <v>اصيل عبدالله علي احمد</v>
          </cell>
          <cell r="D291" t="str">
            <v>ورشة أثاث</v>
          </cell>
          <cell r="E291">
            <v>1200</v>
          </cell>
          <cell r="F291"/>
          <cell r="G291"/>
          <cell r="H291"/>
          <cell r="I291">
            <v>1100</v>
          </cell>
          <cell r="J291">
            <v>2300</v>
          </cell>
        </row>
        <row r="292">
          <cell r="B292">
            <v>1282</v>
          </cell>
          <cell r="C292" t="str">
            <v>إبراهيم إبراهيم محمد أبو شنب</v>
          </cell>
          <cell r="D292" t="str">
            <v>المصنع</v>
          </cell>
          <cell r="E292">
            <v>3500</v>
          </cell>
          <cell r="F292">
            <v>1000</v>
          </cell>
          <cell r="G292"/>
          <cell r="H292">
            <v>300</v>
          </cell>
          <cell r="I292">
            <v>200</v>
          </cell>
          <cell r="J292">
            <v>5000</v>
          </cell>
        </row>
        <row r="293">
          <cell r="B293">
            <v>1283</v>
          </cell>
          <cell r="C293" t="str">
            <v>ساميه جابر احمد هزازي</v>
          </cell>
          <cell r="D293" t="str">
            <v>الدائري الغربي</v>
          </cell>
          <cell r="E293">
            <v>4000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4000</v>
          </cell>
        </row>
        <row r="294">
          <cell r="B294">
            <v>1284</v>
          </cell>
          <cell r="C294" t="str">
            <v>نوره محمد عبدالله النمي</v>
          </cell>
          <cell r="D294" t="str">
            <v>الإدارة</v>
          </cell>
          <cell r="E294">
            <v>4000</v>
          </cell>
          <cell r="F294"/>
          <cell r="G294"/>
          <cell r="H294"/>
          <cell r="I294">
            <v>0</v>
          </cell>
          <cell r="J294">
            <v>4000</v>
          </cell>
        </row>
        <row r="295">
          <cell r="B295">
            <v>1285</v>
          </cell>
          <cell r="C295" t="str">
            <v>بندر محمد احمد ازيبي</v>
          </cell>
          <cell r="D295" t="str">
            <v>المصيف</v>
          </cell>
          <cell r="E295">
            <v>4000</v>
          </cell>
          <cell r="F295"/>
          <cell r="G295"/>
          <cell r="H295"/>
          <cell r="I295">
            <v>0</v>
          </cell>
          <cell r="J295">
            <v>4000</v>
          </cell>
        </row>
        <row r="296">
          <cell r="B296">
            <v>1286</v>
          </cell>
          <cell r="C296" t="str">
            <v>محمد عبدالله عبدالرحمن الشهري</v>
          </cell>
          <cell r="D296" t="str">
            <v>اليرموك</v>
          </cell>
          <cell r="E296">
            <v>4000</v>
          </cell>
          <cell r="F296"/>
          <cell r="G296"/>
          <cell r="H296"/>
          <cell r="I296">
            <v>0</v>
          </cell>
          <cell r="J296">
            <v>4000</v>
          </cell>
        </row>
        <row r="297">
          <cell r="B297">
            <v>1287</v>
          </cell>
          <cell r="C297" t="str">
            <v>صالح سعيد عوظه الشهري</v>
          </cell>
          <cell r="D297" t="str">
            <v>اليرموك</v>
          </cell>
          <cell r="E297">
            <v>4000</v>
          </cell>
          <cell r="F297"/>
          <cell r="G297"/>
          <cell r="H297"/>
          <cell r="I297">
            <v>0</v>
          </cell>
          <cell r="J297">
            <v>4000</v>
          </cell>
        </row>
        <row r="298">
          <cell r="B298">
            <v>1288</v>
          </cell>
          <cell r="C298" t="str">
            <v>محمد بلال حسين</v>
          </cell>
          <cell r="D298" t="str">
            <v>الإدارة</v>
          </cell>
          <cell r="E298">
            <v>1200</v>
          </cell>
          <cell r="F298"/>
          <cell r="G298"/>
          <cell r="H298"/>
          <cell r="I298">
            <v>800</v>
          </cell>
          <cell r="J298">
            <v>2000</v>
          </cell>
        </row>
        <row r="299">
          <cell r="B299">
            <v>1289</v>
          </cell>
          <cell r="C299" t="str">
            <v>محمود صالح حسن عبدالله</v>
          </cell>
          <cell r="D299" t="str">
            <v>هاينس</v>
          </cell>
          <cell r="E299">
            <v>5000</v>
          </cell>
          <cell r="F299"/>
          <cell r="G299"/>
          <cell r="H299"/>
          <cell r="I299">
            <v>500</v>
          </cell>
          <cell r="J299">
            <v>5500</v>
          </cell>
        </row>
        <row r="300">
          <cell r="B300">
            <v>1290</v>
          </cell>
          <cell r="C300" t="str">
            <v>شهيد خان سودير خان</v>
          </cell>
          <cell r="D300" t="str">
            <v>المصنع</v>
          </cell>
          <cell r="E300">
            <v>1200</v>
          </cell>
          <cell r="F300"/>
          <cell r="G300"/>
          <cell r="H300"/>
          <cell r="I300">
            <v>1600</v>
          </cell>
          <cell r="J300">
            <v>2800</v>
          </cell>
        </row>
        <row r="301">
          <cell r="B301">
            <v>1291</v>
          </cell>
          <cell r="C301" t="str">
            <v>وائل معوض حفناوي الحفناوي</v>
          </cell>
          <cell r="D301" t="str">
            <v>وكالة ممكن</v>
          </cell>
          <cell r="E301">
            <v>4000</v>
          </cell>
          <cell r="F301"/>
          <cell r="G301"/>
          <cell r="H301"/>
          <cell r="I301">
            <v>500</v>
          </cell>
          <cell r="J301">
            <v>4500</v>
          </cell>
        </row>
        <row r="302">
          <cell r="B302">
            <v>1292</v>
          </cell>
          <cell r="C302" t="str">
            <v>مد راسل شيخ</v>
          </cell>
          <cell r="D302" t="str">
            <v>العنود</v>
          </cell>
          <cell r="E302">
            <v>1200</v>
          </cell>
          <cell r="F302"/>
          <cell r="G302"/>
          <cell r="H302"/>
          <cell r="I302">
            <v>400</v>
          </cell>
          <cell r="J302">
            <v>1600</v>
          </cell>
        </row>
        <row r="303">
          <cell r="B303">
            <v>1293</v>
          </cell>
          <cell r="C303" t="str">
            <v>محمد ضيف الله محمد يحيى</v>
          </cell>
          <cell r="D303" t="str">
            <v>النسيم 2</v>
          </cell>
          <cell r="E303">
            <v>1200</v>
          </cell>
          <cell r="F303"/>
          <cell r="G303"/>
          <cell r="H303"/>
          <cell r="I303">
            <v>700</v>
          </cell>
          <cell r="J303">
            <v>1900</v>
          </cell>
        </row>
        <row r="304">
          <cell r="B304">
            <v>1294</v>
          </cell>
          <cell r="C304" t="str">
            <v>عبدالعزيز صالح محمد الغوينم</v>
          </cell>
          <cell r="D304" t="str">
            <v>هاينس</v>
          </cell>
          <cell r="E304">
            <v>4000</v>
          </cell>
          <cell r="F304"/>
          <cell r="G304"/>
          <cell r="H304"/>
          <cell r="I304">
            <v>0</v>
          </cell>
          <cell r="J304">
            <v>4000</v>
          </cell>
        </row>
        <row r="305">
          <cell r="B305">
            <v>1295</v>
          </cell>
          <cell r="C305" t="str">
            <v>الزيتوني عسيلة</v>
          </cell>
          <cell r="D305" t="str">
            <v>هاينس</v>
          </cell>
          <cell r="E305">
            <v>7650</v>
          </cell>
          <cell r="F305">
            <v>3000</v>
          </cell>
          <cell r="G305">
            <v>1350</v>
          </cell>
          <cell r="H305"/>
          <cell r="I305"/>
          <cell r="J305">
            <v>12000</v>
          </cell>
        </row>
        <row r="306">
          <cell r="B306">
            <v>1296</v>
          </cell>
          <cell r="C306" t="str">
            <v>اثير عبدالله مبارك ابوسباع الدوسري</v>
          </cell>
          <cell r="D306" t="str">
            <v>هاينس</v>
          </cell>
          <cell r="E306">
            <v>4000</v>
          </cell>
          <cell r="F306"/>
          <cell r="G306"/>
          <cell r="H306"/>
          <cell r="I306">
            <v>0</v>
          </cell>
          <cell r="J306">
            <v>4000</v>
          </cell>
        </row>
        <row r="307">
          <cell r="B307">
            <v>1297</v>
          </cell>
          <cell r="C307" t="str">
            <v>لطيفه ابراهيم عبدالعزيز بن عمير</v>
          </cell>
          <cell r="D307" t="str">
            <v>الشفا</v>
          </cell>
          <cell r="E307">
            <v>4000</v>
          </cell>
          <cell r="F307"/>
          <cell r="G307"/>
          <cell r="H307"/>
          <cell r="I307">
            <v>0</v>
          </cell>
          <cell r="J307">
            <v>4000</v>
          </cell>
        </row>
        <row r="308">
          <cell r="B308">
            <v>1298</v>
          </cell>
          <cell r="C308" t="str">
            <v>احلام ذياب يوسف الزهراني</v>
          </cell>
          <cell r="D308" t="str">
            <v>الإدارة</v>
          </cell>
          <cell r="E308">
            <v>4000</v>
          </cell>
          <cell r="F308"/>
          <cell r="G308"/>
          <cell r="H308"/>
          <cell r="I308">
            <v>0</v>
          </cell>
          <cell r="J308">
            <v>4000</v>
          </cell>
        </row>
        <row r="309">
          <cell r="B309">
            <v>1299</v>
          </cell>
          <cell r="C309" t="str">
            <v xml:space="preserve">رجب صلاح ابراهيم فتح الباب </v>
          </cell>
          <cell r="D309" t="str">
            <v>جملة ريال البركة</v>
          </cell>
          <cell r="E309">
            <v>1200</v>
          </cell>
          <cell r="F309"/>
          <cell r="G309"/>
          <cell r="H309"/>
          <cell r="I309">
            <v>1300</v>
          </cell>
          <cell r="J309">
            <v>2500</v>
          </cell>
        </row>
        <row r="310">
          <cell r="B310">
            <v>1300</v>
          </cell>
          <cell r="C310" t="str">
            <v>خالد فوزي عنبر معتوق</v>
          </cell>
          <cell r="D310" t="str">
            <v>المصيف</v>
          </cell>
          <cell r="E310">
            <v>4000</v>
          </cell>
          <cell r="F310"/>
          <cell r="G310"/>
          <cell r="H310"/>
          <cell r="I310">
            <v>0</v>
          </cell>
          <cell r="J310">
            <v>4000</v>
          </cell>
        </row>
        <row r="311">
          <cell r="B311">
            <v>1301</v>
          </cell>
          <cell r="C311" t="str">
            <v>وعد سعد عبدالله الهويمل</v>
          </cell>
          <cell r="D311" t="str">
            <v>الإدارة</v>
          </cell>
          <cell r="E311">
            <v>4000</v>
          </cell>
          <cell r="F311"/>
          <cell r="G311"/>
          <cell r="H311"/>
          <cell r="I311">
            <v>0</v>
          </cell>
          <cell r="J311">
            <v>4000</v>
          </cell>
        </row>
        <row r="312">
          <cell r="B312">
            <v>1302</v>
          </cell>
          <cell r="C312" t="str">
            <v>خلود عبدالرحمن سعود الجبيرى</v>
          </cell>
          <cell r="D312" t="str">
            <v>الإدارة</v>
          </cell>
          <cell r="E312">
            <v>4000</v>
          </cell>
          <cell r="F312"/>
          <cell r="G312"/>
          <cell r="H312"/>
          <cell r="I312">
            <v>0</v>
          </cell>
          <cell r="J312">
            <v>4000</v>
          </cell>
        </row>
        <row r="313">
          <cell r="B313">
            <v>1303</v>
          </cell>
          <cell r="C313" t="str">
            <v>فيصل ناصر معتق الشهراني</v>
          </cell>
          <cell r="D313" t="str">
            <v>المصيف</v>
          </cell>
          <cell r="E313">
            <v>4000</v>
          </cell>
          <cell r="F313"/>
          <cell r="G313"/>
          <cell r="H313"/>
          <cell r="I313">
            <v>0</v>
          </cell>
          <cell r="J313">
            <v>4000</v>
          </cell>
        </row>
        <row r="314">
          <cell r="B314">
            <v>1304</v>
          </cell>
          <cell r="C314" t="str">
            <v>احمد عبد العزيز محمد الشمراني</v>
          </cell>
          <cell r="D314" t="str">
            <v>اليرموك</v>
          </cell>
          <cell r="E314">
            <v>4000</v>
          </cell>
          <cell r="F314"/>
          <cell r="G314"/>
          <cell r="H314"/>
          <cell r="I314">
            <v>0</v>
          </cell>
          <cell r="J314">
            <v>4000</v>
          </cell>
        </row>
        <row r="315">
          <cell r="B315">
            <v>1305</v>
          </cell>
          <cell r="C315" t="str">
            <v>منى عيدان ابن احمد الغامدي</v>
          </cell>
          <cell r="D315" t="str">
            <v>الدائري الغربي</v>
          </cell>
          <cell r="E315">
            <v>4000</v>
          </cell>
          <cell r="F315"/>
          <cell r="G315"/>
          <cell r="H315"/>
          <cell r="I315">
            <v>0</v>
          </cell>
          <cell r="J315">
            <v>4000</v>
          </cell>
        </row>
        <row r="316">
          <cell r="B316">
            <v>1306</v>
          </cell>
          <cell r="C316" t="str">
            <v>الهام سليمان فهد الطريمان</v>
          </cell>
          <cell r="D316" t="str">
            <v>الإدارة</v>
          </cell>
          <cell r="E316">
            <v>4000</v>
          </cell>
          <cell r="F316"/>
          <cell r="G316"/>
          <cell r="H316"/>
          <cell r="I316">
            <v>0</v>
          </cell>
          <cell r="J316">
            <v>4000</v>
          </cell>
        </row>
        <row r="317">
          <cell r="B317">
            <v>1307</v>
          </cell>
          <cell r="C317" t="str">
            <v>وفاء عبدالرحمن سعود الجبيرى</v>
          </cell>
          <cell r="D317" t="str">
            <v>الإدارة</v>
          </cell>
          <cell r="E317">
            <v>4000</v>
          </cell>
          <cell r="F317"/>
          <cell r="G317"/>
          <cell r="H317"/>
          <cell r="I317">
            <v>0</v>
          </cell>
          <cell r="J317">
            <v>4000</v>
          </cell>
        </row>
        <row r="318">
          <cell r="B318">
            <v>1308</v>
          </cell>
          <cell r="C318" t="str">
            <v>رولا سعد عبدالله بن هويمل</v>
          </cell>
          <cell r="D318" t="str">
            <v>الإدارة</v>
          </cell>
          <cell r="E318">
            <v>4000</v>
          </cell>
          <cell r="F318"/>
          <cell r="G318"/>
          <cell r="H318"/>
          <cell r="I318">
            <v>0</v>
          </cell>
          <cell r="J318">
            <v>4000</v>
          </cell>
        </row>
        <row r="319">
          <cell r="B319">
            <v>1309</v>
          </cell>
          <cell r="C319" t="str">
            <v>عارف علي حسين علي قرانه</v>
          </cell>
          <cell r="D319" t="str">
            <v>اليرموك</v>
          </cell>
          <cell r="E319">
            <v>1200</v>
          </cell>
          <cell r="F319"/>
          <cell r="G319"/>
          <cell r="H319"/>
          <cell r="I319">
            <v>700</v>
          </cell>
          <cell r="J319">
            <v>1900</v>
          </cell>
        </row>
        <row r="320">
          <cell r="B320">
            <v>1310</v>
          </cell>
          <cell r="C320" t="str">
            <v>عبد السلام لطف الله ناصر شمسان</v>
          </cell>
          <cell r="D320" t="str">
            <v>المصنع</v>
          </cell>
          <cell r="E320">
            <v>4000</v>
          </cell>
          <cell r="F320"/>
          <cell r="G320"/>
          <cell r="H320"/>
          <cell r="I320"/>
          <cell r="J320">
            <v>4000</v>
          </cell>
        </row>
        <row r="321">
          <cell r="B321">
            <v>1311</v>
          </cell>
          <cell r="C321" t="str">
            <v>خالد محمد عاصم عبدالفتاح فراج</v>
          </cell>
          <cell r="D321" t="str">
            <v>هاينس</v>
          </cell>
          <cell r="E321">
            <v>3000</v>
          </cell>
          <cell r="F321"/>
          <cell r="G321"/>
          <cell r="H321"/>
          <cell r="I321">
            <v>500</v>
          </cell>
          <cell r="J321">
            <v>3500</v>
          </cell>
        </row>
        <row r="322">
          <cell r="B322">
            <v>1312</v>
          </cell>
          <cell r="C322" t="str">
            <v>عبد العزيز احمد طيب عواجي</v>
          </cell>
          <cell r="D322" t="str">
            <v>المصيف</v>
          </cell>
          <cell r="E322">
            <v>4000</v>
          </cell>
          <cell r="F322"/>
          <cell r="G322"/>
          <cell r="H322"/>
          <cell r="I322">
            <v>0</v>
          </cell>
          <cell r="J322">
            <v>4000</v>
          </cell>
        </row>
        <row r="323">
          <cell r="B323">
            <v>1313</v>
          </cell>
          <cell r="C323" t="str">
            <v>مشاري حسن صالح ال مساعد الشهري</v>
          </cell>
          <cell r="D323" t="str">
            <v>المصيف</v>
          </cell>
          <cell r="E323">
            <v>4000</v>
          </cell>
          <cell r="F323"/>
          <cell r="G323"/>
          <cell r="H323"/>
          <cell r="I323">
            <v>0</v>
          </cell>
          <cell r="J323">
            <v>4000</v>
          </cell>
        </row>
        <row r="324">
          <cell r="B324">
            <v>1314</v>
          </cell>
          <cell r="C324" t="str">
            <v>حنين عبدالله عطية ال محمد الشمراني</v>
          </cell>
          <cell r="D324" t="str">
            <v>العنود</v>
          </cell>
          <cell r="E324">
            <v>4000</v>
          </cell>
          <cell r="F324"/>
          <cell r="G324"/>
          <cell r="H324"/>
          <cell r="I324">
            <v>0</v>
          </cell>
          <cell r="J324">
            <v>4000</v>
          </cell>
        </row>
        <row r="325">
          <cell r="B325">
            <v>1315</v>
          </cell>
          <cell r="C325" t="str">
            <v>معاذ احمد محمد سيف</v>
          </cell>
          <cell r="D325" t="str">
            <v>المصنع</v>
          </cell>
          <cell r="E325">
            <v>2000</v>
          </cell>
          <cell r="F325">
            <v>1000</v>
          </cell>
          <cell r="G325"/>
          <cell r="H325"/>
          <cell r="I325">
            <v>500</v>
          </cell>
          <cell r="J325">
            <v>3500</v>
          </cell>
        </row>
        <row r="326">
          <cell r="B326">
            <v>1316</v>
          </cell>
          <cell r="C326" t="str">
            <v>شروق عبدالرحمن عواد العواد</v>
          </cell>
          <cell r="D326" t="str">
            <v>وكالة ممكن</v>
          </cell>
          <cell r="E326">
            <v>4000</v>
          </cell>
          <cell r="F326"/>
          <cell r="G326"/>
          <cell r="H326"/>
          <cell r="I326">
            <v>500</v>
          </cell>
          <cell r="J326">
            <v>4500</v>
          </cell>
        </row>
        <row r="327">
          <cell r="B327">
            <v>1317</v>
          </cell>
          <cell r="C327" t="str">
            <v>عصام سعيد علي عبده احمد</v>
          </cell>
          <cell r="D327" t="str">
            <v>ورشة أثاث</v>
          </cell>
          <cell r="E327"/>
          <cell r="F327"/>
          <cell r="G327"/>
          <cell r="H327"/>
          <cell r="I327"/>
          <cell r="J327">
            <v>0</v>
          </cell>
        </row>
        <row r="328">
          <cell r="B328">
            <v>1318</v>
          </cell>
          <cell r="C328" t="str">
            <v>ميالدين حافظ أحمد</v>
          </cell>
          <cell r="D328" t="str">
            <v>لبن</v>
          </cell>
          <cell r="E328">
            <v>1200</v>
          </cell>
          <cell r="F328"/>
          <cell r="G328"/>
          <cell r="H328"/>
          <cell r="I328">
            <v>400</v>
          </cell>
          <cell r="J328">
            <v>1600</v>
          </cell>
        </row>
        <row r="329">
          <cell r="B329">
            <v>1319</v>
          </cell>
          <cell r="C329" t="str">
            <v>شؤيف أوسين</v>
          </cell>
          <cell r="D329" t="str">
            <v>هاينس</v>
          </cell>
          <cell r="E329">
            <v>1200</v>
          </cell>
          <cell r="F329"/>
          <cell r="G329"/>
          <cell r="H329"/>
          <cell r="I329">
            <v>400</v>
          </cell>
          <cell r="J329">
            <v>1600</v>
          </cell>
        </row>
        <row r="330">
          <cell r="B330">
            <v>1320</v>
          </cell>
          <cell r="C330" t="str">
            <v>مد راسل فرازي</v>
          </cell>
          <cell r="D330" t="str">
            <v>هاينس</v>
          </cell>
          <cell r="E330">
            <v>1200</v>
          </cell>
          <cell r="F330"/>
          <cell r="G330"/>
          <cell r="H330"/>
          <cell r="I330">
            <v>400</v>
          </cell>
          <cell r="J330">
            <v>1600</v>
          </cell>
        </row>
        <row r="331">
          <cell r="B331">
            <v>1321</v>
          </cell>
          <cell r="C331" t="str">
            <v>نوره شباب  محمد السبيعي</v>
          </cell>
          <cell r="D331" t="str">
            <v>الدائري الغربي</v>
          </cell>
          <cell r="E331">
            <v>4000</v>
          </cell>
          <cell r="F331"/>
          <cell r="G331"/>
          <cell r="H331"/>
          <cell r="I331">
            <v>0</v>
          </cell>
          <cell r="J331">
            <v>4000</v>
          </cell>
        </row>
        <row r="332">
          <cell r="B332">
            <v>1322</v>
          </cell>
          <cell r="C332" t="str">
            <v>عبير الحسين علي حماطى</v>
          </cell>
          <cell r="D332" t="str">
            <v>الدائري الغربي</v>
          </cell>
          <cell r="E332">
            <v>4000</v>
          </cell>
          <cell r="F332"/>
          <cell r="G332"/>
          <cell r="H332"/>
          <cell r="I332">
            <v>0</v>
          </cell>
          <cell r="J332">
            <v>4000</v>
          </cell>
        </row>
        <row r="333">
          <cell r="B333">
            <v>1323</v>
          </cell>
          <cell r="C333" t="str">
            <v>شمس الدين زايال بوريال</v>
          </cell>
          <cell r="D333" t="str">
            <v>النسيم 2</v>
          </cell>
          <cell r="E333">
            <v>1200</v>
          </cell>
          <cell r="F333"/>
          <cell r="G333"/>
          <cell r="H333"/>
          <cell r="I333">
            <v>800</v>
          </cell>
          <cell r="J333">
            <v>2000</v>
          </cell>
        </row>
        <row r="334">
          <cell r="B334">
            <v>1324</v>
          </cell>
          <cell r="C334" t="str">
            <v>محمد زيدان محمد زيدان</v>
          </cell>
          <cell r="D334" t="str">
            <v>المصنع</v>
          </cell>
          <cell r="E334">
            <v>1200</v>
          </cell>
          <cell r="F334">
            <v>1125</v>
          </cell>
          <cell r="G334">
            <v>500</v>
          </cell>
          <cell r="H334"/>
          <cell r="I334">
            <v>1675</v>
          </cell>
          <cell r="J334">
            <v>4500</v>
          </cell>
        </row>
        <row r="335">
          <cell r="B335">
            <v>1325</v>
          </cell>
          <cell r="C335" t="str">
            <v>سجيب سو ليمان</v>
          </cell>
          <cell r="D335" t="str">
            <v>هاينس</v>
          </cell>
          <cell r="E335">
            <v>1200</v>
          </cell>
          <cell r="F335"/>
          <cell r="G335"/>
          <cell r="H335"/>
          <cell r="I335">
            <v>400</v>
          </cell>
          <cell r="J335">
            <v>1600</v>
          </cell>
        </row>
        <row r="336">
          <cell r="B336">
            <v>1326</v>
          </cell>
          <cell r="C336" t="str">
            <v>فهد دلوار أوسين</v>
          </cell>
          <cell r="D336" t="str">
            <v>هاينس</v>
          </cell>
          <cell r="E336">
            <v>1200</v>
          </cell>
          <cell r="F336"/>
          <cell r="G336"/>
          <cell r="H336"/>
          <cell r="I336">
            <v>400</v>
          </cell>
          <cell r="J336">
            <v>1600</v>
          </cell>
        </row>
        <row r="337">
          <cell r="B337">
            <v>1327</v>
          </cell>
          <cell r="C337" t="str">
            <v>محمد جي بقاء ال</v>
          </cell>
          <cell r="D337" t="str">
            <v>هاينس</v>
          </cell>
          <cell r="E337">
            <v>1200</v>
          </cell>
          <cell r="F337"/>
          <cell r="G337"/>
          <cell r="H337"/>
          <cell r="I337">
            <v>400</v>
          </cell>
          <cell r="J337">
            <v>1600</v>
          </cell>
        </row>
        <row r="338">
          <cell r="B338">
            <v>1328</v>
          </cell>
          <cell r="C338" t="str">
            <v>محمد نازمال اسلام</v>
          </cell>
          <cell r="D338" t="str">
            <v>هاينس</v>
          </cell>
          <cell r="E338">
            <v>1200</v>
          </cell>
          <cell r="F338"/>
          <cell r="G338"/>
          <cell r="H338"/>
          <cell r="I338">
            <v>400</v>
          </cell>
          <cell r="J338">
            <v>1600</v>
          </cell>
        </row>
        <row r="339">
          <cell r="B339">
            <v>1329</v>
          </cell>
          <cell r="C339" t="str">
            <v>مد أبو بكر صديق</v>
          </cell>
          <cell r="D339" t="str">
            <v>هاينس</v>
          </cell>
          <cell r="E339">
            <v>1200</v>
          </cell>
          <cell r="F339"/>
          <cell r="G339"/>
          <cell r="H339"/>
          <cell r="I339">
            <v>400</v>
          </cell>
          <cell r="J339">
            <v>1600</v>
          </cell>
        </row>
        <row r="340">
          <cell r="B340">
            <v>1330</v>
          </cell>
          <cell r="C340" t="str">
            <v>مؤمن باكاول</v>
          </cell>
          <cell r="D340" t="str">
            <v>هاينس</v>
          </cell>
          <cell r="E340">
            <v>1200</v>
          </cell>
          <cell r="F340"/>
          <cell r="G340"/>
          <cell r="H340"/>
          <cell r="I340">
            <v>400</v>
          </cell>
          <cell r="J340">
            <v>1600</v>
          </cell>
        </row>
        <row r="341">
          <cell r="B341">
            <v>1331</v>
          </cell>
          <cell r="C341" t="str">
            <v>سميرة عبدالله كريوين النفيعي العتيبي</v>
          </cell>
          <cell r="D341" t="str">
            <v>وكالة ممكن</v>
          </cell>
          <cell r="E341">
            <v>4000</v>
          </cell>
          <cell r="F341"/>
          <cell r="G341"/>
          <cell r="H341"/>
          <cell r="I341">
            <v>2500</v>
          </cell>
          <cell r="J341">
            <v>6500</v>
          </cell>
        </row>
        <row r="342">
          <cell r="B342">
            <v>1332</v>
          </cell>
          <cell r="C342" t="str">
            <v>منيرة فهد علي مديهش</v>
          </cell>
          <cell r="D342" t="str">
            <v>وكالة ممكن</v>
          </cell>
          <cell r="E342">
            <v>4000</v>
          </cell>
          <cell r="F342"/>
          <cell r="G342"/>
          <cell r="H342"/>
          <cell r="I342">
            <v>500</v>
          </cell>
          <cell r="J342">
            <v>4500</v>
          </cell>
        </row>
        <row r="343">
          <cell r="B343">
            <v>1333</v>
          </cell>
          <cell r="C343" t="str">
            <v>زينب علي مهدي سماني</v>
          </cell>
          <cell r="D343" t="str">
            <v>وكالة ممكن</v>
          </cell>
          <cell r="E343">
            <v>4000</v>
          </cell>
          <cell r="F343"/>
          <cell r="G343"/>
          <cell r="H343"/>
          <cell r="I343">
            <v>500</v>
          </cell>
          <cell r="J343">
            <v>4500</v>
          </cell>
        </row>
        <row r="344">
          <cell r="B344">
            <v>1334</v>
          </cell>
          <cell r="C344" t="str">
            <v>عائشة محمد عبدالرزاق الدهام</v>
          </cell>
          <cell r="D344" t="str">
            <v>وكالة ممكن</v>
          </cell>
          <cell r="E344">
            <v>4000</v>
          </cell>
          <cell r="F344"/>
          <cell r="G344"/>
          <cell r="H344"/>
          <cell r="I344">
            <v>500</v>
          </cell>
          <cell r="J344">
            <v>4500</v>
          </cell>
        </row>
        <row r="345">
          <cell r="B345">
            <v>1335</v>
          </cell>
          <cell r="C345" t="str">
            <v>اسامه محمد تركي ال جراد</v>
          </cell>
          <cell r="D345" t="str">
            <v>المصيف</v>
          </cell>
          <cell r="E345">
            <v>4000</v>
          </cell>
          <cell r="F345"/>
          <cell r="G345"/>
          <cell r="H345"/>
          <cell r="I345">
            <v>0</v>
          </cell>
          <cell r="J345">
            <v>4000</v>
          </cell>
        </row>
        <row r="346">
          <cell r="B346">
            <v>1336</v>
          </cell>
          <cell r="C346" t="str">
            <v>أسامه سعيد سعد الشهراني</v>
          </cell>
          <cell r="D346" t="str">
            <v>المصيف</v>
          </cell>
          <cell r="E346">
            <v>4000</v>
          </cell>
          <cell r="F346"/>
          <cell r="G346"/>
          <cell r="H346"/>
          <cell r="I346">
            <v>0</v>
          </cell>
          <cell r="J346">
            <v>4000</v>
          </cell>
        </row>
        <row r="347">
          <cell r="B347">
            <v>1337</v>
          </cell>
          <cell r="C347" t="str">
            <v>وليد عيظة يحيى عميشان</v>
          </cell>
          <cell r="D347" t="str">
            <v>المصنع</v>
          </cell>
          <cell r="E347">
            <v>1200</v>
          </cell>
          <cell r="F347">
            <v>500</v>
          </cell>
          <cell r="G347"/>
          <cell r="H347"/>
          <cell r="I347">
            <v>2300</v>
          </cell>
          <cell r="J347">
            <v>4000</v>
          </cell>
        </row>
        <row r="348">
          <cell r="B348">
            <v>1338</v>
          </cell>
          <cell r="C348" t="str">
            <v>مد رضاء ال كريم</v>
          </cell>
          <cell r="D348" t="str">
            <v>هاينس</v>
          </cell>
          <cell r="E348">
            <v>1200</v>
          </cell>
          <cell r="F348"/>
          <cell r="G348"/>
          <cell r="H348"/>
          <cell r="I348">
            <v>400</v>
          </cell>
          <cell r="J348">
            <v>1600</v>
          </cell>
        </row>
        <row r="349">
          <cell r="B349">
            <v>1339</v>
          </cell>
          <cell r="C349" t="str">
            <v>عبد الحميد محمد ذكى عتيم</v>
          </cell>
          <cell r="D349" t="str">
            <v>ورشة أثاث</v>
          </cell>
          <cell r="E349">
            <v>1200</v>
          </cell>
          <cell r="F349"/>
          <cell r="G349"/>
          <cell r="H349"/>
          <cell r="I349">
            <v>800</v>
          </cell>
          <cell r="J349">
            <v>2000</v>
          </cell>
        </row>
        <row r="350">
          <cell r="B350">
            <v>1340</v>
          </cell>
          <cell r="C350" t="str">
            <v>محمد حسن علي الرعوي</v>
          </cell>
          <cell r="D350" t="str">
            <v>أونلاين</v>
          </cell>
          <cell r="E350">
            <v>1200</v>
          </cell>
          <cell r="F350"/>
          <cell r="G350"/>
          <cell r="H350"/>
          <cell r="I350">
            <v>1300</v>
          </cell>
          <cell r="J350">
            <v>2500</v>
          </cell>
        </row>
        <row r="351">
          <cell r="B351">
            <v>1341</v>
          </cell>
          <cell r="C351" t="str">
            <v>عبدالرحمن خالد اسماعيل خليفة</v>
          </cell>
          <cell r="D351" t="str">
            <v>وكالة ممكن</v>
          </cell>
          <cell r="E351">
            <v>2000</v>
          </cell>
          <cell r="F351"/>
          <cell r="G351"/>
          <cell r="H351"/>
          <cell r="I351">
            <v>1000</v>
          </cell>
          <cell r="J351">
            <v>3000</v>
          </cell>
        </row>
        <row r="352">
          <cell r="B352">
            <v>1342</v>
          </cell>
          <cell r="C352" t="str">
            <v>PUTHIYA PURAYIL RAJU</v>
          </cell>
          <cell r="D352" t="str">
            <v>المدير العام</v>
          </cell>
          <cell r="E352">
            <v>0</v>
          </cell>
          <cell r="F352"/>
          <cell r="G352"/>
          <cell r="H352"/>
          <cell r="I352"/>
          <cell r="J352">
            <v>0</v>
          </cell>
        </row>
        <row r="353">
          <cell r="B353">
            <v>1343</v>
          </cell>
          <cell r="C353" t="str">
            <v>جانجير حسين حسين</v>
          </cell>
          <cell r="D353" t="str">
            <v>الدائري الغربي</v>
          </cell>
          <cell r="E353">
            <v>1200</v>
          </cell>
          <cell r="F353"/>
          <cell r="G353"/>
          <cell r="H353"/>
          <cell r="I353">
            <v>400</v>
          </cell>
          <cell r="J353">
            <v>1600</v>
          </cell>
        </row>
        <row r="354">
          <cell r="B354">
            <v>1344</v>
          </cell>
          <cell r="C354" t="str">
            <v>اسامة احمد محمد الكامل</v>
          </cell>
          <cell r="D354" t="str">
            <v>وكالة ممكن</v>
          </cell>
          <cell r="E354">
            <v>1500</v>
          </cell>
          <cell r="F354"/>
          <cell r="G354"/>
          <cell r="H354"/>
          <cell r="I354">
            <v>3000</v>
          </cell>
          <cell r="J354">
            <v>4500</v>
          </cell>
        </row>
        <row r="355">
          <cell r="B355">
            <v>1345</v>
          </cell>
          <cell r="C355" t="str">
            <v>اوس فيصل ناجي الرعوي</v>
          </cell>
          <cell r="D355" t="str">
            <v>هاينس</v>
          </cell>
          <cell r="E355">
            <v>1200</v>
          </cell>
          <cell r="F355"/>
          <cell r="G355"/>
          <cell r="H355"/>
          <cell r="I355">
            <v>800</v>
          </cell>
          <cell r="J355">
            <v>2000</v>
          </cell>
        </row>
        <row r="356">
          <cell r="B356">
            <v>1346</v>
          </cell>
          <cell r="C356" t="str">
            <v>محمد رمزان محمد نفيس</v>
          </cell>
          <cell r="D356" t="str">
            <v>الإدارة</v>
          </cell>
          <cell r="E356"/>
          <cell r="F356"/>
          <cell r="G356"/>
          <cell r="H356"/>
          <cell r="I356"/>
          <cell r="J356">
            <v>0</v>
          </cell>
        </row>
        <row r="357">
          <cell r="B357">
            <v>1347</v>
          </cell>
          <cell r="C357" t="str">
            <v>عمرو ماجد عبده علي الرعوي</v>
          </cell>
          <cell r="D357" t="str">
            <v>مستودع جملة سلطان</v>
          </cell>
          <cell r="E357"/>
          <cell r="F357"/>
          <cell r="G357"/>
          <cell r="H357"/>
          <cell r="I357"/>
          <cell r="J357">
            <v>0</v>
          </cell>
        </row>
        <row r="358">
          <cell r="B358">
            <v>1348</v>
          </cell>
          <cell r="C358" t="str">
            <v>اثير يحيى علي حكمي</v>
          </cell>
          <cell r="D358" t="str">
            <v>وكالة ممكن</v>
          </cell>
          <cell r="E358">
            <v>4000</v>
          </cell>
          <cell r="F358"/>
          <cell r="G358"/>
          <cell r="H358"/>
          <cell r="I358">
            <v>500</v>
          </cell>
          <cell r="J358">
            <v>4500</v>
          </cell>
        </row>
        <row r="359">
          <cell r="B359">
            <v>1349</v>
          </cell>
          <cell r="C359" t="str">
            <v>صلاح اديب يحيى الشامي</v>
          </cell>
          <cell r="D359" t="str">
            <v>مزبوط الشاي</v>
          </cell>
          <cell r="E359">
            <v>1200</v>
          </cell>
          <cell r="F359"/>
          <cell r="G359"/>
          <cell r="H359"/>
          <cell r="I359">
            <v>800</v>
          </cell>
          <cell r="J359">
            <v>2000</v>
          </cell>
        </row>
        <row r="360">
          <cell r="B360">
            <v>1350</v>
          </cell>
          <cell r="C360" t="str">
            <v>رقيه علي مهدي سماني</v>
          </cell>
          <cell r="D360" t="str">
            <v>الإدارة</v>
          </cell>
          <cell r="E360">
            <v>4000</v>
          </cell>
          <cell r="F360"/>
          <cell r="G360"/>
          <cell r="H360"/>
          <cell r="I360">
            <v>0</v>
          </cell>
          <cell r="J360">
            <v>4000</v>
          </cell>
        </row>
        <row r="361">
          <cell r="B361">
            <v>1351</v>
          </cell>
          <cell r="C361" t="str">
            <v>مصطفي سعيد محمد خالد الجعدي</v>
          </cell>
          <cell r="D361" t="str">
            <v>ورشة أثاث</v>
          </cell>
          <cell r="E361">
            <v>1200</v>
          </cell>
          <cell r="F361"/>
          <cell r="G361"/>
          <cell r="H361"/>
          <cell r="I361">
            <v>800</v>
          </cell>
          <cell r="J361">
            <v>2000</v>
          </cell>
        </row>
        <row r="362">
          <cell r="B362">
            <v>1352</v>
          </cell>
          <cell r="C362" t="str">
            <v>حصه فيصل مبارك ال حميد الدوسري</v>
          </cell>
          <cell r="D362" t="str">
            <v>الشفا</v>
          </cell>
          <cell r="E362">
            <v>4000</v>
          </cell>
          <cell r="F362"/>
          <cell r="G362"/>
          <cell r="H362"/>
          <cell r="I362"/>
          <cell r="J362">
            <v>4000</v>
          </cell>
        </row>
        <row r="363">
          <cell r="B363">
            <v>1353</v>
          </cell>
          <cell r="C363" t="str">
            <v>منصور عبدالعزيز ماشع المشرافي المطيري</v>
          </cell>
          <cell r="D363" t="str">
            <v>اليرموك</v>
          </cell>
          <cell r="E363">
            <v>4000</v>
          </cell>
          <cell r="F363"/>
          <cell r="G363"/>
          <cell r="H363"/>
          <cell r="I363"/>
          <cell r="J363">
            <v>4000</v>
          </cell>
        </row>
        <row r="364">
          <cell r="B364">
            <v>1354</v>
          </cell>
          <cell r="C364" t="str">
            <v>الوليد خالد عبدالله بن دبل</v>
          </cell>
          <cell r="D364" t="str">
            <v>هاينس</v>
          </cell>
          <cell r="E364">
            <v>4000</v>
          </cell>
          <cell r="F364"/>
          <cell r="G364"/>
          <cell r="H364"/>
          <cell r="I364">
            <v>500</v>
          </cell>
          <cell r="J364">
            <v>4500</v>
          </cell>
        </row>
        <row r="365">
          <cell r="B365">
            <v>1355</v>
          </cell>
          <cell r="C365" t="str">
            <v>شهد فهد إبراهيم الرزيحي</v>
          </cell>
          <cell r="D365" t="str">
            <v>الإدارة</v>
          </cell>
          <cell r="E365">
            <v>4000</v>
          </cell>
          <cell r="F365"/>
          <cell r="G365"/>
          <cell r="H365"/>
          <cell r="I365"/>
          <cell r="J365">
            <v>4000</v>
          </cell>
        </row>
        <row r="366">
          <cell r="B366">
            <v>1356</v>
          </cell>
          <cell r="C366" t="str">
            <v>دانه أحمد صالح المبيريك</v>
          </cell>
          <cell r="D366" t="str">
            <v>الإدارة</v>
          </cell>
          <cell r="E366">
            <v>4000</v>
          </cell>
          <cell r="F366"/>
          <cell r="G366"/>
          <cell r="H366"/>
          <cell r="I366"/>
          <cell r="J366">
            <v>4000</v>
          </cell>
        </row>
        <row r="367">
          <cell r="B367">
            <v>1357</v>
          </cell>
          <cell r="C367" t="str">
            <v>راويه محمد بن عبده رياني</v>
          </cell>
          <cell r="D367" t="str">
            <v>الإدارة</v>
          </cell>
          <cell r="E367">
            <v>4000</v>
          </cell>
          <cell r="F367"/>
          <cell r="G367"/>
          <cell r="H367"/>
          <cell r="I367"/>
          <cell r="J367">
            <v>4000</v>
          </cell>
        </row>
        <row r="368">
          <cell r="B368">
            <v>1358</v>
          </cell>
          <cell r="C368" t="str">
            <v>بيان صالح عبدالعزيز العجيان</v>
          </cell>
          <cell r="D368" t="str">
            <v>الإدارة</v>
          </cell>
          <cell r="E368">
            <v>4000</v>
          </cell>
          <cell r="F368"/>
          <cell r="G368"/>
          <cell r="H368"/>
          <cell r="I368"/>
          <cell r="J368">
            <v>4000</v>
          </cell>
        </row>
        <row r="369">
          <cell r="B369">
            <v>1359</v>
          </cell>
          <cell r="C369" t="str">
            <v>سهام احمد محمد السميح</v>
          </cell>
          <cell r="D369" t="str">
            <v>الإدارة</v>
          </cell>
          <cell r="E369">
            <v>4000</v>
          </cell>
          <cell r="F369"/>
          <cell r="G369"/>
          <cell r="H369"/>
          <cell r="I369"/>
          <cell r="J369">
            <v>4000</v>
          </cell>
        </row>
        <row r="370">
          <cell r="B370">
            <v>1360</v>
          </cell>
          <cell r="C370" t="str">
            <v>محمد رسيل مياح مياح</v>
          </cell>
          <cell r="D370" t="str">
            <v>الأندلس</v>
          </cell>
          <cell r="E370">
            <v>1200</v>
          </cell>
          <cell r="F370"/>
          <cell r="G370"/>
          <cell r="H370"/>
          <cell r="I370">
            <v>400</v>
          </cell>
          <cell r="J370">
            <v>1600</v>
          </cell>
        </row>
        <row r="371">
          <cell r="B371">
            <v>1361</v>
          </cell>
          <cell r="C371" t="str">
            <v>مد فاهد ال اسلام</v>
          </cell>
          <cell r="D371" t="str">
            <v>لبن</v>
          </cell>
          <cell r="E371">
            <v>1200</v>
          </cell>
          <cell r="F371"/>
          <cell r="G371"/>
          <cell r="H371"/>
          <cell r="I371">
            <v>400</v>
          </cell>
          <cell r="J371">
            <v>1600</v>
          </cell>
        </row>
        <row r="372">
          <cell r="B372">
            <v>1362</v>
          </cell>
          <cell r="C372" t="str">
            <v>مد شكيل اوسين</v>
          </cell>
          <cell r="D372" t="str">
            <v>الدائري الغربي</v>
          </cell>
          <cell r="E372">
            <v>1200</v>
          </cell>
          <cell r="F372"/>
          <cell r="G372"/>
          <cell r="H372"/>
          <cell r="I372">
            <v>400</v>
          </cell>
          <cell r="J372">
            <v>1600</v>
          </cell>
        </row>
        <row r="373">
          <cell r="B373">
            <v>1363</v>
          </cell>
          <cell r="C373" t="str">
            <v>ليتون ساردار</v>
          </cell>
          <cell r="D373" t="str">
            <v>هاينس</v>
          </cell>
          <cell r="E373">
            <v>1200</v>
          </cell>
          <cell r="F373"/>
          <cell r="G373"/>
          <cell r="H373"/>
          <cell r="I373">
            <v>400</v>
          </cell>
          <cell r="J373">
            <v>1600</v>
          </cell>
        </row>
        <row r="374">
          <cell r="B374">
            <v>1364</v>
          </cell>
          <cell r="C374" t="str">
            <v>عاشق ال رحمن</v>
          </cell>
          <cell r="D374" t="str">
            <v>مزبوط الشاي</v>
          </cell>
          <cell r="E374">
            <v>1200</v>
          </cell>
          <cell r="F374"/>
          <cell r="G374"/>
          <cell r="H374"/>
          <cell r="I374">
            <v>400</v>
          </cell>
          <cell r="J374">
            <v>1600</v>
          </cell>
        </row>
        <row r="375">
          <cell r="B375">
            <v>1365</v>
          </cell>
          <cell r="C375" t="str">
            <v>مد شفيق ال اسلام</v>
          </cell>
          <cell r="D375" t="str">
            <v>هاينس</v>
          </cell>
          <cell r="E375">
            <v>1200</v>
          </cell>
          <cell r="F375"/>
          <cell r="G375"/>
          <cell r="H375"/>
          <cell r="I375">
            <v>400</v>
          </cell>
          <cell r="J375">
            <v>1600</v>
          </cell>
        </row>
        <row r="376">
          <cell r="B376">
            <v>1366</v>
          </cell>
          <cell r="C376" t="str">
            <v>مد اقبال حسين</v>
          </cell>
          <cell r="D376" t="str">
            <v>وكالة ممكن</v>
          </cell>
          <cell r="E376">
            <v>1200</v>
          </cell>
          <cell r="F376"/>
          <cell r="G376"/>
          <cell r="H376"/>
          <cell r="I376">
            <v>600</v>
          </cell>
          <cell r="J376">
            <v>1800</v>
          </cell>
        </row>
        <row r="377">
          <cell r="B377">
            <v>1367</v>
          </cell>
          <cell r="C377" t="str">
            <v>نجد سعد زيد الشايقي</v>
          </cell>
          <cell r="D377" t="str">
            <v>الإدارة</v>
          </cell>
          <cell r="E377">
            <v>4000</v>
          </cell>
          <cell r="F377"/>
          <cell r="G377"/>
          <cell r="H377"/>
          <cell r="I377"/>
          <cell r="J377">
            <v>4000</v>
          </cell>
        </row>
        <row r="378">
          <cell r="B378">
            <v>1368</v>
          </cell>
          <cell r="C378" t="str">
            <v>شوق مرشد عبدالله ال خرعان</v>
          </cell>
          <cell r="D378" t="str">
            <v>الإدارة</v>
          </cell>
          <cell r="E378">
            <v>4000</v>
          </cell>
          <cell r="F378"/>
          <cell r="G378"/>
          <cell r="H378"/>
          <cell r="I378"/>
          <cell r="J378">
            <v>4000</v>
          </cell>
        </row>
        <row r="379">
          <cell r="B379">
            <v>1369</v>
          </cell>
          <cell r="C379" t="str">
            <v>حسن حسن حسن عطوة</v>
          </cell>
          <cell r="D379" t="str">
            <v>ورشة أثاث</v>
          </cell>
          <cell r="E379">
            <v>1200</v>
          </cell>
          <cell r="F379"/>
          <cell r="G379"/>
          <cell r="H379"/>
          <cell r="I379">
            <v>2100</v>
          </cell>
          <cell r="J379">
            <v>3300</v>
          </cell>
        </row>
        <row r="380">
          <cell r="B380">
            <v>1370</v>
          </cell>
          <cell r="C380" t="str">
            <v>رغد زيد سلطان الكثيري</v>
          </cell>
          <cell r="D380" t="str">
            <v>الإدارة</v>
          </cell>
          <cell r="E380">
            <v>4000</v>
          </cell>
          <cell r="F380"/>
          <cell r="G380"/>
          <cell r="H380"/>
          <cell r="I380"/>
          <cell r="J380">
            <v>4000</v>
          </cell>
        </row>
        <row r="381">
          <cell r="B381">
            <v>1371</v>
          </cell>
          <cell r="C381" t="str">
            <v>لينا ناصر بن محمد المنقور</v>
          </cell>
          <cell r="D381" t="str">
            <v>الإدارة</v>
          </cell>
          <cell r="E381">
            <v>4000</v>
          </cell>
          <cell r="F381"/>
          <cell r="G381"/>
          <cell r="H381"/>
          <cell r="I381"/>
          <cell r="J381">
            <v>4000</v>
          </cell>
        </row>
        <row r="382">
          <cell r="B382">
            <v>1372</v>
          </cell>
          <cell r="C382" t="str">
            <v>لولوه ناصر محمد الخنين</v>
          </cell>
          <cell r="D382" t="str">
            <v>الإدارة</v>
          </cell>
          <cell r="E382">
            <v>4000</v>
          </cell>
          <cell r="F382"/>
          <cell r="G382"/>
          <cell r="H382"/>
          <cell r="I382"/>
          <cell r="J382">
            <v>4000</v>
          </cell>
        </row>
        <row r="383">
          <cell r="B383">
            <v>1373</v>
          </cell>
          <cell r="C383" t="str">
            <v>مد معراج حسن</v>
          </cell>
          <cell r="D383" t="str">
            <v>الدائري الغربي</v>
          </cell>
          <cell r="E383">
            <v>1200</v>
          </cell>
          <cell r="F383"/>
          <cell r="G383"/>
          <cell r="H383"/>
          <cell r="I383">
            <v>400</v>
          </cell>
          <cell r="J383">
            <v>1600</v>
          </cell>
        </row>
        <row r="384">
          <cell r="B384">
            <v>1374</v>
          </cell>
          <cell r="C384" t="str">
            <v>زهراء مطاعن محمد شيخين</v>
          </cell>
          <cell r="D384" t="str">
            <v>الإدارة</v>
          </cell>
          <cell r="E384">
            <v>4000</v>
          </cell>
          <cell r="F384"/>
          <cell r="G384"/>
          <cell r="H384"/>
          <cell r="I384"/>
          <cell r="J384">
            <v>4000</v>
          </cell>
        </row>
        <row r="385">
          <cell r="B385">
            <v>1375</v>
          </cell>
          <cell r="C385" t="str">
            <v>ريناد احمد محمد جرشي مجرشي</v>
          </cell>
          <cell r="D385" t="str">
            <v>الإدارة</v>
          </cell>
          <cell r="E385">
            <v>4000</v>
          </cell>
          <cell r="F385"/>
          <cell r="G385"/>
          <cell r="H385"/>
          <cell r="I385"/>
          <cell r="J385">
            <v>4000</v>
          </cell>
        </row>
        <row r="386">
          <cell r="B386">
            <v>1376</v>
          </cell>
          <cell r="C386" t="str">
            <v>ساره عبدالله بن علي الغامدي</v>
          </cell>
          <cell r="D386" t="str">
            <v>الإدارة</v>
          </cell>
          <cell r="E386">
            <v>4000</v>
          </cell>
          <cell r="F386"/>
          <cell r="G386"/>
          <cell r="H386"/>
          <cell r="I386"/>
          <cell r="J386">
            <v>4000</v>
          </cell>
        </row>
        <row r="387">
          <cell r="B387">
            <v>1377</v>
          </cell>
          <cell r="C387" t="str">
            <v>نوره مرشد عبد الله ال خرعان</v>
          </cell>
          <cell r="D387" t="str">
            <v>الإدارة</v>
          </cell>
          <cell r="E387">
            <v>4000</v>
          </cell>
          <cell r="F387"/>
          <cell r="G387"/>
          <cell r="H387"/>
          <cell r="I387"/>
          <cell r="J387">
            <v>4000</v>
          </cell>
        </row>
        <row r="388">
          <cell r="B388">
            <v>1378</v>
          </cell>
          <cell r="C388" t="str">
            <v>سلمى مرسال سعيد الفواز</v>
          </cell>
          <cell r="D388" t="str">
            <v>الدائري الغربي</v>
          </cell>
          <cell r="E388">
            <v>4000</v>
          </cell>
          <cell r="F388"/>
          <cell r="G388"/>
          <cell r="H388"/>
          <cell r="I388"/>
          <cell r="J388">
            <v>4000</v>
          </cell>
        </row>
        <row r="389">
          <cell r="B389">
            <v>1379</v>
          </cell>
          <cell r="C389" t="str">
            <v>موضي راشد حمد بن دهيش</v>
          </cell>
          <cell r="D389" t="str">
            <v>الإدارة</v>
          </cell>
          <cell r="E389">
            <v>4000</v>
          </cell>
          <cell r="F389"/>
          <cell r="G389"/>
          <cell r="H389"/>
          <cell r="I389"/>
          <cell r="J389">
            <v>4000</v>
          </cell>
        </row>
        <row r="390">
          <cell r="B390">
            <v>1380</v>
          </cell>
          <cell r="C390" t="str">
            <v>روابي راشد حمد بن دهيش</v>
          </cell>
          <cell r="D390" t="str">
            <v>الإدارة</v>
          </cell>
          <cell r="E390">
            <v>4000</v>
          </cell>
          <cell r="F390"/>
          <cell r="G390"/>
          <cell r="H390"/>
          <cell r="I390"/>
          <cell r="J390">
            <v>4000</v>
          </cell>
        </row>
        <row r="391">
          <cell r="B391">
            <v>1381</v>
          </cell>
          <cell r="C391" t="str">
            <v>يحي احمد مامون مسلماني</v>
          </cell>
          <cell r="D391" t="str">
            <v>وكالة ممكن</v>
          </cell>
          <cell r="E391">
            <v>1200</v>
          </cell>
          <cell r="F391"/>
          <cell r="G391"/>
          <cell r="H391"/>
          <cell r="I391">
            <v>1800</v>
          </cell>
          <cell r="J391">
            <v>3000</v>
          </cell>
        </row>
        <row r="392">
          <cell r="B392">
            <v>1382</v>
          </cell>
          <cell r="C392" t="str">
            <v>تهاني ناصر فهاد الدوسري</v>
          </cell>
          <cell r="D392" t="str">
            <v>الدائري الغربي</v>
          </cell>
          <cell r="E392">
            <v>4000</v>
          </cell>
          <cell r="F392"/>
          <cell r="G392"/>
          <cell r="H392"/>
          <cell r="I392">
            <v>0</v>
          </cell>
          <cell r="J392">
            <v>4000</v>
          </cell>
        </row>
        <row r="393">
          <cell r="B393">
            <v>1383</v>
          </cell>
          <cell r="C393" t="str">
            <v>ياسر شباب خالد العصيمي العتيبي</v>
          </cell>
          <cell r="D393" t="str">
            <v>المصيف</v>
          </cell>
          <cell r="E393">
            <v>4000</v>
          </cell>
          <cell r="F393"/>
          <cell r="G393"/>
          <cell r="H393"/>
          <cell r="I393">
            <v>0</v>
          </cell>
          <cell r="J393">
            <v>4000</v>
          </cell>
        </row>
        <row r="394">
          <cell r="B394">
            <v>1384</v>
          </cell>
          <cell r="C394" t="str">
            <v>ساره عبدالمحسن عبدالله البجادي</v>
          </cell>
          <cell r="D394" t="str">
            <v>الإدارة</v>
          </cell>
          <cell r="E394">
            <v>4000</v>
          </cell>
          <cell r="F394"/>
          <cell r="G394"/>
          <cell r="H394"/>
          <cell r="I394"/>
          <cell r="J394">
            <v>4000</v>
          </cell>
        </row>
        <row r="395">
          <cell r="B395">
            <v>1385</v>
          </cell>
          <cell r="C395" t="str">
            <v>فاطمه ابراهيم محمد السريبي</v>
          </cell>
          <cell r="D395" t="str">
            <v>الإدارة</v>
          </cell>
          <cell r="E395">
            <v>4000</v>
          </cell>
          <cell r="F395"/>
          <cell r="G395"/>
          <cell r="H395"/>
          <cell r="I395"/>
          <cell r="J395">
            <v>4000</v>
          </cell>
        </row>
        <row r="396">
          <cell r="B396">
            <v>1386</v>
          </cell>
          <cell r="C396" t="str">
            <v>مي ابراهيم محمد السريبي</v>
          </cell>
          <cell r="D396" t="str">
            <v>الإدارة</v>
          </cell>
          <cell r="E396">
            <v>4000</v>
          </cell>
          <cell r="F396"/>
          <cell r="G396"/>
          <cell r="H396"/>
          <cell r="I396"/>
          <cell r="J396">
            <v>4000</v>
          </cell>
        </row>
        <row r="397">
          <cell r="B397">
            <v>1387</v>
          </cell>
          <cell r="C397" t="str">
            <v>شيخه حسن بن عبيد الدوسري</v>
          </cell>
          <cell r="D397" t="str">
            <v>الشفا</v>
          </cell>
          <cell r="E397">
            <v>4000</v>
          </cell>
          <cell r="F397"/>
          <cell r="G397"/>
          <cell r="H397"/>
          <cell r="I397"/>
          <cell r="J397">
            <v>4000</v>
          </cell>
        </row>
        <row r="398">
          <cell r="B398">
            <v>1388</v>
          </cell>
          <cell r="C398" t="str">
            <v>خديجة مطاعن محمد شيخين</v>
          </cell>
          <cell r="D398" t="str">
            <v>الإدارة</v>
          </cell>
          <cell r="E398">
            <v>4000</v>
          </cell>
          <cell r="F398"/>
          <cell r="G398"/>
          <cell r="H398"/>
          <cell r="I398"/>
          <cell r="J398">
            <v>4000</v>
          </cell>
        </row>
        <row r="399">
          <cell r="B399">
            <v>1389</v>
          </cell>
          <cell r="C399" t="str">
            <v>افنان صالح بن محمد الحمدي</v>
          </cell>
          <cell r="D399" t="str">
            <v>الإدارة</v>
          </cell>
          <cell r="E399">
            <v>4000</v>
          </cell>
          <cell r="F399"/>
          <cell r="G399"/>
          <cell r="H399"/>
          <cell r="I399"/>
          <cell r="J399">
            <v>4000</v>
          </cell>
        </row>
        <row r="400">
          <cell r="B400">
            <v>1390</v>
          </cell>
          <cell r="C400" t="str">
            <v>صيته فهد بن مرشد الهزاني</v>
          </cell>
          <cell r="D400" t="str">
            <v>الإدارة</v>
          </cell>
          <cell r="E400">
            <v>4000</v>
          </cell>
          <cell r="F400"/>
          <cell r="G400"/>
          <cell r="H400"/>
          <cell r="I400"/>
          <cell r="J400">
            <v>4000</v>
          </cell>
        </row>
        <row r="401">
          <cell r="B401">
            <v>1391</v>
          </cell>
          <cell r="C401" t="str">
            <v>عيسى مسعد دبوان حمزة</v>
          </cell>
          <cell r="D401" t="str">
            <v>اليرموك</v>
          </cell>
          <cell r="E401">
            <v>1200</v>
          </cell>
          <cell r="F401"/>
          <cell r="G401"/>
          <cell r="H401"/>
          <cell r="I401">
            <v>700</v>
          </cell>
          <cell r="J401">
            <v>1900</v>
          </cell>
        </row>
        <row r="402">
          <cell r="B402">
            <v>1392</v>
          </cell>
          <cell r="C402" t="str">
            <v>زينب محمد مغيض الحايطي</v>
          </cell>
          <cell r="D402" t="str">
            <v>الإدارة</v>
          </cell>
          <cell r="E402">
            <v>4000</v>
          </cell>
          <cell r="F402"/>
          <cell r="G402"/>
          <cell r="H402"/>
          <cell r="I402"/>
          <cell r="J402">
            <v>4000</v>
          </cell>
        </row>
        <row r="403">
          <cell r="B403">
            <v>1393</v>
          </cell>
          <cell r="C403" t="str">
            <v>ناصر سماري سعد السمارى</v>
          </cell>
          <cell r="D403" t="str">
            <v>هاينس</v>
          </cell>
          <cell r="E403">
            <v>4000</v>
          </cell>
          <cell r="F403"/>
          <cell r="G403"/>
          <cell r="H403"/>
          <cell r="I403">
            <v>500</v>
          </cell>
          <cell r="J403">
            <v>4500</v>
          </cell>
        </row>
        <row r="404">
          <cell r="B404">
            <v>1394</v>
          </cell>
          <cell r="C404" t="str">
            <v>سامي قنديل محمد المكاوي</v>
          </cell>
          <cell r="D404" t="str">
            <v>جملة ريال البركة</v>
          </cell>
          <cell r="E404">
            <v>2000</v>
          </cell>
          <cell r="F404"/>
          <cell r="G404"/>
          <cell r="H404"/>
          <cell r="I404">
            <v>1500</v>
          </cell>
          <cell r="J404">
            <v>3500</v>
          </cell>
        </row>
        <row r="405">
          <cell r="B405">
            <v>1395</v>
          </cell>
          <cell r="C405" t="str">
            <v>سنان محمد</v>
          </cell>
          <cell r="D405" t="str">
            <v>المصنع</v>
          </cell>
          <cell r="E405">
            <v>1200</v>
          </cell>
          <cell r="F405"/>
          <cell r="G405"/>
          <cell r="H405"/>
          <cell r="I405">
            <v>800</v>
          </cell>
          <cell r="J405">
            <v>2000</v>
          </cell>
        </row>
        <row r="406">
          <cell r="B406">
            <v>1396</v>
          </cell>
          <cell r="C406" t="str">
            <v xml:space="preserve">جاسم كاجم الدين  </v>
          </cell>
          <cell r="D406" t="str">
            <v>الشفا</v>
          </cell>
          <cell r="E406">
            <v>1200</v>
          </cell>
          <cell r="F406"/>
          <cell r="G406"/>
          <cell r="H406"/>
          <cell r="I406">
            <v>400</v>
          </cell>
          <cell r="J406">
            <v>1600</v>
          </cell>
        </row>
        <row r="407">
          <cell r="B407">
            <v>1397</v>
          </cell>
          <cell r="C407" t="str">
            <v>شذى خالد بن محمد سويد</v>
          </cell>
          <cell r="D407" t="str">
            <v>وكالة ممكن</v>
          </cell>
          <cell r="E407">
            <v>4000</v>
          </cell>
          <cell r="F407"/>
          <cell r="G407"/>
          <cell r="H407"/>
          <cell r="I407">
            <v>500</v>
          </cell>
          <cell r="J407">
            <v>4500</v>
          </cell>
        </row>
        <row r="408">
          <cell r="B408">
            <v>1398</v>
          </cell>
          <cell r="C408" t="str">
            <v>نظم ال اسلام</v>
          </cell>
          <cell r="D408" t="str">
            <v>المصنع</v>
          </cell>
          <cell r="E408">
            <v>1200</v>
          </cell>
          <cell r="F408"/>
          <cell r="G408"/>
          <cell r="H408"/>
          <cell r="I408">
            <v>400</v>
          </cell>
          <cell r="J408">
            <v>1600</v>
          </cell>
        </row>
        <row r="409">
          <cell r="B409">
            <v>1399</v>
          </cell>
          <cell r="C409" t="str">
            <v xml:space="preserve">عمر خالد منصر شمسان </v>
          </cell>
          <cell r="D409" t="str">
            <v>المصنع</v>
          </cell>
          <cell r="E409">
            <v>1200</v>
          </cell>
          <cell r="F409"/>
          <cell r="G409"/>
          <cell r="H409"/>
          <cell r="I409">
            <v>800</v>
          </cell>
          <cell r="J409">
            <v>2000</v>
          </cell>
        </row>
        <row r="410">
          <cell r="B410">
            <v>1400</v>
          </cell>
          <cell r="C410" t="str">
            <v>مد رابي حسين</v>
          </cell>
          <cell r="D410" t="str">
            <v>المصنع</v>
          </cell>
          <cell r="E410">
            <v>1200</v>
          </cell>
          <cell r="F410"/>
          <cell r="G410"/>
          <cell r="H410"/>
          <cell r="I410">
            <v>400</v>
          </cell>
          <cell r="J410">
            <v>1600</v>
          </cell>
        </row>
        <row r="411">
          <cell r="B411">
            <v>1401</v>
          </cell>
          <cell r="C411" t="str">
            <v>سوهيل رانا</v>
          </cell>
          <cell r="D411" t="str">
            <v>المصنع</v>
          </cell>
          <cell r="E411">
            <v>1200</v>
          </cell>
          <cell r="F411"/>
          <cell r="G411"/>
          <cell r="H411"/>
          <cell r="I411">
            <v>400</v>
          </cell>
          <cell r="J411">
            <v>1600</v>
          </cell>
        </row>
        <row r="412">
          <cell r="B412">
            <v>1402</v>
          </cell>
          <cell r="C412" t="str">
            <v>مد هومين كوبير</v>
          </cell>
          <cell r="D412" t="str">
            <v>المصنع</v>
          </cell>
          <cell r="E412">
            <v>1200</v>
          </cell>
          <cell r="F412"/>
          <cell r="G412"/>
          <cell r="H412"/>
          <cell r="I412">
            <v>400</v>
          </cell>
          <cell r="J412">
            <v>1600</v>
          </cell>
        </row>
        <row r="413">
          <cell r="B413">
            <v>1403</v>
          </cell>
          <cell r="C413" t="str">
            <v>مد ميدي حسن</v>
          </cell>
          <cell r="D413" t="str">
            <v>الدائري الغربي</v>
          </cell>
          <cell r="E413">
            <v>1200</v>
          </cell>
          <cell r="F413"/>
          <cell r="G413"/>
          <cell r="H413"/>
          <cell r="I413">
            <v>400</v>
          </cell>
          <cell r="J413">
            <v>1600</v>
          </cell>
        </row>
        <row r="414">
          <cell r="B414">
            <v>1404</v>
          </cell>
          <cell r="C414" t="str">
            <v>ريان بكيل علي محمد محفوظ</v>
          </cell>
          <cell r="D414" t="str">
            <v>المصنع</v>
          </cell>
          <cell r="E414">
            <v>1200</v>
          </cell>
          <cell r="F414"/>
          <cell r="G414"/>
          <cell r="H414"/>
          <cell r="I414">
            <v>800</v>
          </cell>
          <cell r="J414">
            <v>2000</v>
          </cell>
        </row>
        <row r="415">
          <cell r="B415">
            <v>1405</v>
          </cell>
          <cell r="C415" t="str">
            <v>ابراهيم زياد ابراهيم الزيد</v>
          </cell>
          <cell r="D415" t="str">
            <v>النسيم 2</v>
          </cell>
          <cell r="E415">
            <v>4000</v>
          </cell>
          <cell r="F415"/>
          <cell r="G415"/>
          <cell r="H415"/>
          <cell r="I415"/>
          <cell r="J415">
            <v>4000</v>
          </cell>
        </row>
        <row r="416">
          <cell r="B416">
            <v>1406</v>
          </cell>
          <cell r="C416" t="str">
            <v>مها ناصر سعد المهيدي</v>
          </cell>
          <cell r="D416" t="str">
            <v>الإدارة</v>
          </cell>
          <cell r="E416">
            <v>4000</v>
          </cell>
          <cell r="F416"/>
          <cell r="G416"/>
          <cell r="H416"/>
          <cell r="I416">
            <v>0</v>
          </cell>
          <cell r="J416">
            <v>4000</v>
          </cell>
        </row>
        <row r="417">
          <cell r="B417">
            <v>1407</v>
          </cell>
          <cell r="C417" t="str">
            <v>اسماعيل قحطان محمد صالح الضلعي</v>
          </cell>
          <cell r="D417" t="str">
            <v>النسيم 2</v>
          </cell>
          <cell r="E417">
            <v>1200</v>
          </cell>
          <cell r="F417"/>
          <cell r="G417"/>
          <cell r="H417"/>
          <cell r="I417">
            <v>700</v>
          </cell>
          <cell r="J417">
            <v>1900</v>
          </cell>
        </row>
        <row r="418">
          <cell r="B418">
            <v>1408</v>
          </cell>
          <cell r="C418" t="str">
            <v>خالد علي حسين محسن الشرفي</v>
          </cell>
          <cell r="D418" t="str">
            <v>المصنع</v>
          </cell>
          <cell r="E418">
            <v>1200</v>
          </cell>
          <cell r="F418"/>
          <cell r="G418"/>
          <cell r="H418"/>
          <cell r="I418">
            <v>800</v>
          </cell>
          <cell r="J418">
            <v>2000</v>
          </cell>
        </row>
        <row r="419">
          <cell r="B419">
            <v>1409</v>
          </cell>
          <cell r="C419" t="str">
            <v>محمد رحمات نواز</v>
          </cell>
          <cell r="D419" t="str">
            <v>المصنع</v>
          </cell>
          <cell r="E419">
            <v>1500</v>
          </cell>
          <cell r="F419">
            <v>800</v>
          </cell>
          <cell r="G419"/>
          <cell r="H419"/>
          <cell r="I419">
            <v>500</v>
          </cell>
          <cell r="J419">
            <v>2800</v>
          </cell>
        </row>
        <row r="420">
          <cell r="B420">
            <v>1410</v>
          </cell>
          <cell r="C420" t="str">
            <v>هشام قاف</v>
          </cell>
          <cell r="D420" t="str">
            <v>هاينس</v>
          </cell>
          <cell r="E420">
            <v>4000</v>
          </cell>
          <cell r="F420"/>
          <cell r="G420"/>
          <cell r="H420"/>
          <cell r="I420"/>
          <cell r="J420">
            <v>4000</v>
          </cell>
        </row>
        <row r="421">
          <cell r="B421">
            <v>1411</v>
          </cell>
          <cell r="C421" t="str">
            <v>عبدالكريم مامون</v>
          </cell>
          <cell r="D421" t="str">
            <v>هاينس</v>
          </cell>
          <cell r="E421">
            <v>4000</v>
          </cell>
          <cell r="F421"/>
          <cell r="G421"/>
          <cell r="H421"/>
          <cell r="I421"/>
          <cell r="J421">
            <v>4000</v>
          </cell>
        </row>
        <row r="422">
          <cell r="B422">
            <v>1412</v>
          </cell>
          <cell r="C422" t="str">
            <v>حسن فرخ</v>
          </cell>
          <cell r="D422" t="str">
            <v>هاينس</v>
          </cell>
          <cell r="E422">
            <v>4000</v>
          </cell>
          <cell r="F422"/>
          <cell r="G422"/>
          <cell r="H422"/>
          <cell r="I422"/>
          <cell r="J422">
            <v>4000</v>
          </cell>
        </row>
        <row r="423">
          <cell r="B423">
            <v>1413</v>
          </cell>
          <cell r="C423" t="str">
            <v>عبدالعزيز محمد علي عسيري</v>
          </cell>
          <cell r="D423" t="str">
            <v>لبن</v>
          </cell>
          <cell r="E423">
            <v>4000</v>
          </cell>
          <cell r="F423"/>
          <cell r="G423"/>
          <cell r="H423"/>
          <cell r="I423"/>
          <cell r="J423">
            <v>4000</v>
          </cell>
        </row>
        <row r="424">
          <cell r="B424">
            <v>1414</v>
          </cell>
          <cell r="C424" t="str">
            <v>عزام صادق محمد محمد ناجي</v>
          </cell>
          <cell r="D424" t="str">
            <v>النسيم 2</v>
          </cell>
          <cell r="E424">
            <v>1200</v>
          </cell>
          <cell r="F424"/>
          <cell r="G424"/>
          <cell r="H424"/>
          <cell r="I424">
            <v>700</v>
          </cell>
          <cell r="J424">
            <v>1900</v>
          </cell>
        </row>
        <row r="425">
          <cell r="B425">
            <v>1415</v>
          </cell>
          <cell r="C425" t="str">
            <v>طيف عائل محمد سفياني</v>
          </cell>
          <cell r="D425" t="str">
            <v>لبن</v>
          </cell>
          <cell r="E425">
            <v>4000</v>
          </cell>
          <cell r="F425"/>
          <cell r="G425"/>
          <cell r="H425"/>
          <cell r="I425"/>
          <cell r="J425">
            <v>4000</v>
          </cell>
        </row>
        <row r="426">
          <cell r="B426">
            <v>1416</v>
          </cell>
          <cell r="C426" t="str">
            <v>رهف خالد راشد الدوسري</v>
          </cell>
          <cell r="D426" t="str">
            <v>غرناطة</v>
          </cell>
          <cell r="E426">
            <v>4000</v>
          </cell>
          <cell r="F426"/>
          <cell r="G426"/>
          <cell r="H426"/>
          <cell r="I426"/>
          <cell r="J426">
            <v>4000</v>
          </cell>
        </row>
        <row r="427">
          <cell r="B427">
            <v>1417</v>
          </cell>
          <cell r="C427" t="str">
            <v>مد تنزيل اسلام</v>
          </cell>
          <cell r="D427" t="str">
            <v>المصنع</v>
          </cell>
          <cell r="E427">
            <v>1200</v>
          </cell>
          <cell r="F427"/>
          <cell r="G427"/>
          <cell r="H427"/>
          <cell r="I427">
            <v>400</v>
          </cell>
          <cell r="J427">
            <v>1600</v>
          </cell>
        </row>
        <row r="428">
          <cell r="B428">
            <v>1418</v>
          </cell>
          <cell r="C428" t="str">
            <v>يونس امين اصحيح</v>
          </cell>
          <cell r="D428" t="str">
            <v>هاينس</v>
          </cell>
          <cell r="E428">
            <v>1200</v>
          </cell>
          <cell r="F428"/>
          <cell r="G428"/>
          <cell r="H428"/>
          <cell r="I428">
            <v>1800</v>
          </cell>
          <cell r="J428">
            <v>3000</v>
          </cell>
        </row>
        <row r="429">
          <cell r="B429">
            <v>1419</v>
          </cell>
          <cell r="C429" t="str">
            <v>عبد الاله تركي محمد الجديعي</v>
          </cell>
          <cell r="D429" t="str">
            <v>وكالة ممكن</v>
          </cell>
          <cell r="E429">
            <v>4000</v>
          </cell>
          <cell r="F429"/>
          <cell r="G429"/>
          <cell r="H429"/>
          <cell r="I429">
            <v>1500</v>
          </cell>
          <cell r="J429">
            <v>5500</v>
          </cell>
        </row>
        <row r="430">
          <cell r="B430">
            <v>1420</v>
          </cell>
          <cell r="C430" t="str">
            <v>منيره سعد ناصر اليحي</v>
          </cell>
          <cell r="D430" t="str">
            <v>غرناطة</v>
          </cell>
          <cell r="E430">
            <v>4000</v>
          </cell>
          <cell r="F430"/>
          <cell r="G430"/>
          <cell r="H430"/>
          <cell r="I430"/>
          <cell r="J430">
            <v>4000</v>
          </cell>
        </row>
        <row r="431">
          <cell r="B431">
            <v>1421</v>
          </cell>
          <cell r="C431" t="str">
            <v>ثامر  عبدالعزيز محمد الادريس</v>
          </cell>
          <cell r="D431" t="str">
            <v>النسيم</v>
          </cell>
          <cell r="E431">
            <v>4000</v>
          </cell>
          <cell r="F431"/>
          <cell r="G431"/>
          <cell r="H431"/>
          <cell r="I431"/>
          <cell r="J431">
            <v>4000</v>
          </cell>
        </row>
        <row r="432">
          <cell r="B432">
            <v>1422</v>
          </cell>
          <cell r="C432" t="str">
            <v>عبدالملك عبدالمجيد بن عبدالله الدرويش</v>
          </cell>
          <cell r="D432" t="str">
            <v>هاينس</v>
          </cell>
          <cell r="E432">
            <v>4000</v>
          </cell>
          <cell r="F432"/>
          <cell r="G432"/>
          <cell r="H432"/>
          <cell r="I432">
            <v>500</v>
          </cell>
          <cell r="J432">
            <v>4500</v>
          </cell>
        </row>
        <row r="433">
          <cell r="B433">
            <v>1423</v>
          </cell>
          <cell r="C433" t="str">
            <v>ربيع رشاد عبدالرقيب حسان السروري</v>
          </cell>
          <cell r="D433" t="str">
            <v>ورشة أثاث</v>
          </cell>
          <cell r="E433">
            <v>1200</v>
          </cell>
          <cell r="F433"/>
          <cell r="G433"/>
          <cell r="H433"/>
          <cell r="I433">
            <v>800</v>
          </cell>
          <cell r="J433">
            <v>2000</v>
          </cell>
        </row>
        <row r="434">
          <cell r="B434">
            <v>1424</v>
          </cell>
          <cell r="C434" t="str">
            <v>محمد ناجي غانم سعيد غالب</v>
          </cell>
          <cell r="D434" t="str">
            <v>ورشة أثاث</v>
          </cell>
          <cell r="E434">
            <v>1200</v>
          </cell>
          <cell r="F434"/>
          <cell r="G434"/>
          <cell r="H434"/>
          <cell r="I434">
            <v>800</v>
          </cell>
          <cell r="J434">
            <v>2000</v>
          </cell>
        </row>
        <row r="435">
          <cell r="B435">
            <v>1425</v>
          </cell>
          <cell r="C435" t="str">
            <v>خلود صلاح صلبي العريفي العنزي</v>
          </cell>
          <cell r="D435" t="str">
            <v>النسيم 2</v>
          </cell>
          <cell r="E435">
            <v>4000</v>
          </cell>
          <cell r="F435"/>
          <cell r="G435"/>
          <cell r="H435"/>
          <cell r="I435"/>
          <cell r="J435">
            <v>4000</v>
          </cell>
        </row>
        <row r="436">
          <cell r="B436">
            <v>1426</v>
          </cell>
          <cell r="C436" t="str">
            <v>وسايم هادي موسى المسرحي</v>
          </cell>
          <cell r="D436" t="str">
            <v>العنود</v>
          </cell>
          <cell r="E436">
            <v>4000</v>
          </cell>
          <cell r="F436"/>
          <cell r="G436"/>
          <cell r="H436"/>
          <cell r="I436"/>
          <cell r="J436">
            <v>4000</v>
          </cell>
        </row>
        <row r="437">
          <cell r="B437">
            <v>1427</v>
          </cell>
          <cell r="C437" t="str">
            <v>مدعث عوينان الرحمناني  البقمي</v>
          </cell>
          <cell r="D437" t="str">
            <v>النسيم 2</v>
          </cell>
          <cell r="E437">
            <v>4000</v>
          </cell>
          <cell r="F437"/>
          <cell r="G437"/>
          <cell r="H437"/>
          <cell r="I437"/>
          <cell r="J437">
            <v>4000</v>
          </cell>
        </row>
        <row r="438">
          <cell r="B438">
            <v>1428</v>
          </cell>
          <cell r="C438" t="str">
            <v>عبد الحميد عبدالحميد محمد عجلان</v>
          </cell>
          <cell r="D438" t="str">
            <v>المصنع</v>
          </cell>
          <cell r="E438">
            <v>5000</v>
          </cell>
          <cell r="F438">
            <v>3750</v>
          </cell>
          <cell r="G438">
            <v>2250</v>
          </cell>
          <cell r="H438"/>
          <cell r="I438">
            <v>4000</v>
          </cell>
          <cell r="J438">
            <v>15000</v>
          </cell>
        </row>
        <row r="439">
          <cell r="B439">
            <v>1429</v>
          </cell>
          <cell r="C439" t="str">
            <v>محمد السيد محمود مصطفى</v>
          </cell>
          <cell r="D439" t="str">
            <v>ورشة أثاث</v>
          </cell>
          <cell r="E439">
            <v>1200</v>
          </cell>
          <cell r="F439"/>
          <cell r="G439"/>
          <cell r="H439"/>
          <cell r="I439">
            <v>2300</v>
          </cell>
          <cell r="J439">
            <v>3500</v>
          </cell>
        </row>
        <row r="440">
          <cell r="B440">
            <v>1430</v>
          </cell>
          <cell r="C440" t="str">
            <v>مجاهد علي عبد الله بن مرضاح</v>
          </cell>
          <cell r="D440">
            <v>0</v>
          </cell>
          <cell r="E440">
            <v>1200</v>
          </cell>
          <cell r="F440"/>
          <cell r="G440"/>
          <cell r="H440"/>
          <cell r="I440">
            <v>700</v>
          </cell>
          <cell r="J440">
            <v>1900</v>
          </cell>
        </row>
        <row r="441">
          <cell r="B441">
            <v>1431</v>
          </cell>
          <cell r="C441" t="str">
            <v>محمد يحيى صالح احمد الورد</v>
          </cell>
          <cell r="D441" t="str">
            <v>وكالة ممكن</v>
          </cell>
          <cell r="E441">
            <v>4000</v>
          </cell>
          <cell r="F441"/>
          <cell r="G441"/>
          <cell r="H441"/>
          <cell r="I441">
            <v>2000</v>
          </cell>
          <cell r="J441">
            <v>6000</v>
          </cell>
        </row>
        <row r="442">
          <cell r="B442">
            <v>1432</v>
          </cell>
          <cell r="C442" t="str">
            <v>فيصل راكان نزال القعيقعي الرويلي</v>
          </cell>
          <cell r="D442" t="str">
            <v>النسيم</v>
          </cell>
          <cell r="E442">
            <v>4000</v>
          </cell>
          <cell r="F442"/>
          <cell r="G442"/>
          <cell r="H442"/>
          <cell r="I442"/>
          <cell r="J442">
            <v>4000</v>
          </cell>
        </row>
        <row r="443">
          <cell r="B443">
            <v>1433</v>
          </cell>
          <cell r="C443" t="str">
            <v>عمر علي رمضان علي</v>
          </cell>
          <cell r="D443" t="str">
            <v>المصنع</v>
          </cell>
          <cell r="E443">
            <v>1200</v>
          </cell>
          <cell r="F443">
            <v>500</v>
          </cell>
          <cell r="G443"/>
          <cell r="H443"/>
          <cell r="I443">
            <v>1800</v>
          </cell>
          <cell r="J443">
            <v>3500</v>
          </cell>
        </row>
        <row r="444">
          <cell r="B444">
            <v>1434</v>
          </cell>
          <cell r="C444" t="str">
            <v>محمد جمال الدين أبو المجد احمد</v>
          </cell>
          <cell r="D444" t="str">
            <v>وكالة ممكن</v>
          </cell>
          <cell r="E444">
            <v>1200</v>
          </cell>
          <cell r="F444"/>
          <cell r="G444"/>
          <cell r="H444"/>
          <cell r="I444">
            <v>2300</v>
          </cell>
          <cell r="J444">
            <v>3500</v>
          </cell>
        </row>
        <row r="445">
          <cell r="B445">
            <v>1435</v>
          </cell>
          <cell r="C445" t="str">
            <v>شما عبدالعزيز عبدالرحمن آل عتيق</v>
          </cell>
          <cell r="D445" t="str">
            <v>ورشة أثاث</v>
          </cell>
          <cell r="E445">
            <v>4000</v>
          </cell>
          <cell r="F445"/>
          <cell r="G445"/>
          <cell r="H445"/>
          <cell r="I445">
            <v>0</v>
          </cell>
          <cell r="J445">
            <v>4000</v>
          </cell>
        </row>
        <row r="446">
          <cell r="B446">
            <v>1436</v>
          </cell>
          <cell r="C446" t="str">
            <v>اسامه اديب يحيى</v>
          </cell>
          <cell r="D446" t="str">
            <v>الشفا</v>
          </cell>
          <cell r="E446"/>
          <cell r="F446"/>
          <cell r="G446"/>
          <cell r="H446"/>
          <cell r="I446"/>
          <cell r="J446">
            <v>0</v>
          </cell>
        </row>
        <row r="447">
          <cell r="B447">
            <v>1437</v>
          </cell>
          <cell r="C447" t="str">
            <v>عبدالحميد محمد</v>
          </cell>
          <cell r="D447" t="str">
            <v>هاينس</v>
          </cell>
          <cell r="E447">
            <v>1200</v>
          </cell>
          <cell r="F447">
            <v>500</v>
          </cell>
          <cell r="G447"/>
          <cell r="H447"/>
          <cell r="I447">
            <v>1800</v>
          </cell>
          <cell r="J447">
            <v>3500</v>
          </cell>
        </row>
        <row r="448">
          <cell r="B448">
            <v>1438</v>
          </cell>
          <cell r="C448" t="str">
            <v>ذكرى علي صالح البعداني</v>
          </cell>
          <cell r="D448" t="str">
            <v>المدير العام</v>
          </cell>
          <cell r="E448"/>
          <cell r="F448"/>
          <cell r="G448"/>
          <cell r="H448"/>
          <cell r="I448"/>
          <cell r="J448">
            <v>0</v>
          </cell>
        </row>
        <row r="449">
          <cell r="B449">
            <v>1439</v>
          </cell>
          <cell r="C449" t="str">
            <v>ربيع هائل سيف احمد</v>
          </cell>
          <cell r="D449" t="str">
            <v>ورشة أثاث</v>
          </cell>
          <cell r="E449">
            <v>1200</v>
          </cell>
          <cell r="F449"/>
          <cell r="G449"/>
          <cell r="H449"/>
          <cell r="I449">
            <v>1400</v>
          </cell>
          <cell r="J449">
            <v>2600</v>
          </cell>
        </row>
        <row r="450">
          <cell r="B450">
            <v>1440</v>
          </cell>
          <cell r="C450" t="str">
            <v>نوره عبدالله إبراهيم الرشيد</v>
          </cell>
          <cell r="D450" t="str">
            <v>الإدارة</v>
          </cell>
          <cell r="E450">
            <v>4000</v>
          </cell>
          <cell r="F450"/>
          <cell r="G450"/>
          <cell r="H450"/>
          <cell r="I450"/>
          <cell r="J450">
            <v>4000</v>
          </cell>
        </row>
        <row r="451">
          <cell r="B451">
            <v>1441</v>
          </cell>
          <cell r="C451" t="str">
            <v>عباس السيد ابو هاشم علي الطويل</v>
          </cell>
          <cell r="D451" t="str">
            <v>ورشة أثاث</v>
          </cell>
          <cell r="E451"/>
          <cell r="F451"/>
          <cell r="G451"/>
          <cell r="H451"/>
          <cell r="I451"/>
          <cell r="J451">
            <v>0</v>
          </cell>
        </row>
        <row r="452">
          <cell r="B452">
            <v>1442</v>
          </cell>
          <cell r="C452" t="str">
            <v>ريوف صالح سليمان الجطيلي</v>
          </cell>
          <cell r="D452" t="str">
            <v>الإدارة</v>
          </cell>
          <cell r="E452">
            <v>4000</v>
          </cell>
          <cell r="F452"/>
          <cell r="G452"/>
          <cell r="H452"/>
          <cell r="I452"/>
          <cell r="J452">
            <v>4000</v>
          </cell>
        </row>
        <row r="453">
          <cell r="B453">
            <v>1443</v>
          </cell>
          <cell r="C453" t="str">
            <v>صادق احمد احمد عبدالله قرانه</v>
          </cell>
          <cell r="D453" t="str">
            <v>بريدة</v>
          </cell>
          <cell r="E453">
            <v>1200</v>
          </cell>
          <cell r="F453"/>
          <cell r="G453"/>
          <cell r="H453"/>
          <cell r="I453">
            <v>700</v>
          </cell>
          <cell r="J453">
            <v>1900</v>
          </cell>
        </row>
        <row r="454">
          <cell r="B454">
            <v>1444</v>
          </cell>
          <cell r="C454" t="str">
            <v>سايمون سايمون</v>
          </cell>
          <cell r="D454" t="str">
            <v>جملة ريال البركة</v>
          </cell>
          <cell r="E454"/>
          <cell r="F454"/>
          <cell r="G454"/>
          <cell r="H454"/>
          <cell r="I454"/>
          <cell r="J454">
            <v>0</v>
          </cell>
        </row>
        <row r="455">
          <cell r="B455">
            <v>1445</v>
          </cell>
          <cell r="C455" t="str">
            <v>محمد عيسى احمد جعفري</v>
          </cell>
          <cell r="D455" t="str">
            <v>الشفا</v>
          </cell>
          <cell r="E455"/>
          <cell r="F455"/>
          <cell r="G455"/>
          <cell r="H455"/>
          <cell r="I455"/>
          <cell r="J455">
            <v>0</v>
          </cell>
        </row>
        <row r="456">
          <cell r="B456">
            <v>1446</v>
          </cell>
          <cell r="C456" t="str">
            <v>فارس علي عبدالحميد المجيدي</v>
          </cell>
          <cell r="D456" t="str">
            <v>المصنع</v>
          </cell>
          <cell r="E456"/>
          <cell r="F456"/>
          <cell r="G456"/>
          <cell r="H456"/>
          <cell r="I456"/>
          <cell r="J456">
            <v>0</v>
          </cell>
        </row>
        <row r="457">
          <cell r="B457">
            <v>1447</v>
          </cell>
          <cell r="C457" t="str">
            <v>مبروكة معيوف مرزوق احمد</v>
          </cell>
          <cell r="D457" t="str">
            <v>الإدارة</v>
          </cell>
          <cell r="E457">
            <v>4000</v>
          </cell>
          <cell r="F457"/>
          <cell r="G457"/>
          <cell r="H457"/>
          <cell r="I457"/>
          <cell r="J457">
            <v>4000</v>
          </cell>
        </row>
        <row r="458">
          <cell r="B458">
            <v>1448</v>
          </cell>
          <cell r="C458" t="str">
            <v>محمد ناصر بن طميران البقمى</v>
          </cell>
          <cell r="D458" t="str">
            <v>النسيم 2</v>
          </cell>
          <cell r="E458"/>
          <cell r="F458"/>
          <cell r="G458"/>
          <cell r="H458"/>
          <cell r="I458"/>
          <cell r="J458">
            <v>0</v>
          </cell>
        </row>
        <row r="459">
          <cell r="B459">
            <v>1449</v>
          </cell>
          <cell r="C459" t="str">
            <v>مالك علي فهد البديوي</v>
          </cell>
          <cell r="D459" t="str">
            <v>بريدة</v>
          </cell>
          <cell r="E459">
            <v>4000</v>
          </cell>
          <cell r="F459"/>
          <cell r="G459"/>
          <cell r="H459"/>
          <cell r="I459"/>
          <cell r="J459">
            <v>4000</v>
          </cell>
        </row>
        <row r="460">
          <cell r="B460">
            <v>1450</v>
          </cell>
          <cell r="C460" t="str">
            <v>محمد علي بن محمد ربيع</v>
          </cell>
          <cell r="D460" t="str">
            <v>بريدة</v>
          </cell>
          <cell r="E460">
            <v>4000</v>
          </cell>
          <cell r="F460"/>
          <cell r="G460"/>
          <cell r="H460"/>
          <cell r="I460"/>
          <cell r="J460">
            <v>4000</v>
          </cell>
        </row>
        <row r="461">
          <cell r="B461"/>
          <cell r="C461"/>
          <cell r="D461"/>
          <cell r="E461"/>
          <cell r="F461"/>
          <cell r="G461"/>
          <cell r="H461"/>
          <cell r="I461"/>
          <cell r="J461">
            <v>0</v>
          </cell>
        </row>
        <row r="462">
          <cell r="B462"/>
          <cell r="C462"/>
          <cell r="D462"/>
          <cell r="E462">
            <v>1198629</v>
          </cell>
          <cell r="F462">
            <v>31825</v>
          </cell>
          <cell r="G462"/>
          <cell r="H462"/>
          <cell r="I462">
            <v>362085</v>
          </cell>
          <cell r="J462">
            <v>1592539</v>
          </cell>
        </row>
        <row r="463">
          <cell r="C463"/>
          <cell r="D463"/>
        </row>
        <row r="464">
          <cell r="C464"/>
          <cell r="D464"/>
        </row>
        <row r="465">
          <cell r="B465"/>
          <cell r="C465"/>
          <cell r="D465"/>
          <cell r="E465"/>
        </row>
        <row r="466">
          <cell r="D466"/>
        </row>
        <row r="467">
          <cell r="D467"/>
          <cell r="G467"/>
          <cell r="H467"/>
          <cell r="I467"/>
          <cell r="J467"/>
        </row>
        <row r="468">
          <cell r="B468"/>
          <cell r="C468"/>
          <cell r="D468"/>
          <cell r="E468"/>
        </row>
        <row r="469">
          <cell r="B469"/>
          <cell r="C469"/>
          <cell r="D469"/>
          <cell r="G469"/>
          <cell r="H469"/>
          <cell r="I469"/>
          <cell r="J469"/>
        </row>
        <row r="470">
          <cell r="B470"/>
          <cell r="C470"/>
          <cell r="D470"/>
        </row>
        <row r="471">
          <cell r="C471"/>
          <cell r="D471"/>
        </row>
        <row r="472">
          <cell r="C472"/>
          <cell r="D472"/>
        </row>
        <row r="473">
          <cell r="C473"/>
          <cell r="D473"/>
        </row>
        <row r="474">
          <cell r="C474"/>
          <cell r="D474"/>
        </row>
        <row r="475">
          <cell r="C475"/>
          <cell r="D475"/>
        </row>
        <row r="476">
          <cell r="C476"/>
          <cell r="D476"/>
        </row>
        <row r="477">
          <cell r="C477"/>
          <cell r="D477"/>
        </row>
        <row r="478">
          <cell r="C478"/>
          <cell r="D478"/>
        </row>
        <row r="479">
          <cell r="C479"/>
          <cell r="D479"/>
        </row>
        <row r="480">
          <cell r="C480"/>
          <cell r="D480"/>
        </row>
        <row r="481">
          <cell r="C481"/>
          <cell r="D481"/>
        </row>
        <row r="482">
          <cell r="C482"/>
          <cell r="D482"/>
        </row>
        <row r="483">
          <cell r="C483"/>
          <cell r="D483"/>
        </row>
        <row r="484">
          <cell r="C484"/>
          <cell r="D484"/>
        </row>
        <row r="485">
          <cell r="C485"/>
          <cell r="D485"/>
        </row>
        <row r="486">
          <cell r="C486"/>
          <cell r="D486"/>
        </row>
        <row r="487">
          <cell r="C487"/>
          <cell r="D487"/>
        </row>
        <row r="488">
          <cell r="C488"/>
          <cell r="D488"/>
        </row>
        <row r="489">
          <cell r="C489"/>
          <cell r="D489"/>
        </row>
        <row r="490">
          <cell r="C490"/>
          <cell r="D490"/>
        </row>
        <row r="491">
          <cell r="C491"/>
          <cell r="D491"/>
        </row>
        <row r="492">
          <cell r="C492"/>
          <cell r="D492"/>
        </row>
        <row r="493">
          <cell r="C493"/>
          <cell r="D493"/>
        </row>
        <row r="494">
          <cell r="C494"/>
          <cell r="D494"/>
        </row>
        <row r="495">
          <cell r="C495"/>
          <cell r="D495"/>
        </row>
        <row r="496">
          <cell r="C496"/>
          <cell r="D496"/>
        </row>
        <row r="497">
          <cell r="C497"/>
          <cell r="D497"/>
        </row>
        <row r="498">
          <cell r="C498"/>
          <cell r="D498"/>
        </row>
        <row r="499">
          <cell r="C499"/>
          <cell r="D499"/>
        </row>
        <row r="500">
          <cell r="C500"/>
          <cell r="D500"/>
        </row>
        <row r="501">
          <cell r="C501"/>
          <cell r="D501"/>
        </row>
        <row r="502">
          <cell r="C502"/>
          <cell r="D502"/>
        </row>
        <row r="503">
          <cell r="C503"/>
          <cell r="D503"/>
        </row>
        <row r="504">
          <cell r="C504"/>
          <cell r="D504"/>
        </row>
        <row r="505">
          <cell r="C505"/>
          <cell r="D505"/>
        </row>
        <row r="506">
          <cell r="C506"/>
          <cell r="D506"/>
        </row>
        <row r="507">
          <cell r="C507"/>
          <cell r="D507"/>
        </row>
        <row r="508">
          <cell r="C508"/>
          <cell r="D508"/>
        </row>
        <row r="509">
          <cell r="C509"/>
          <cell r="D509"/>
        </row>
        <row r="510">
          <cell r="C510"/>
          <cell r="D510"/>
        </row>
        <row r="511">
          <cell r="C511"/>
          <cell r="D511"/>
        </row>
        <row r="512">
          <cell r="C512"/>
          <cell r="D512"/>
        </row>
        <row r="513">
          <cell r="C513"/>
          <cell r="D513"/>
        </row>
        <row r="514">
          <cell r="C514"/>
          <cell r="D514"/>
        </row>
        <row r="515">
          <cell r="C515"/>
          <cell r="D515"/>
        </row>
        <row r="516">
          <cell r="C516"/>
          <cell r="D516"/>
        </row>
        <row r="517">
          <cell r="C517"/>
          <cell r="D517"/>
        </row>
        <row r="518">
          <cell r="C518"/>
          <cell r="D518"/>
        </row>
        <row r="519">
          <cell r="C519"/>
          <cell r="D519"/>
        </row>
        <row r="520">
          <cell r="C520"/>
          <cell r="D520"/>
        </row>
        <row r="521">
          <cell r="C521"/>
          <cell r="D521"/>
        </row>
        <row r="522">
          <cell r="C522"/>
          <cell r="D522"/>
        </row>
        <row r="523">
          <cell r="C523"/>
          <cell r="D523"/>
        </row>
        <row r="524">
          <cell r="C524"/>
          <cell r="D524"/>
        </row>
        <row r="525">
          <cell r="C525"/>
          <cell r="D525"/>
        </row>
        <row r="526">
          <cell r="C526"/>
          <cell r="D526"/>
        </row>
        <row r="527">
          <cell r="C527"/>
          <cell r="D527"/>
        </row>
        <row r="528">
          <cell r="C528"/>
          <cell r="D528"/>
        </row>
        <row r="529">
          <cell r="C529"/>
          <cell r="D529"/>
        </row>
        <row r="530">
          <cell r="C530"/>
          <cell r="D530"/>
        </row>
        <row r="531">
          <cell r="C531"/>
          <cell r="D531"/>
        </row>
        <row r="532">
          <cell r="C532"/>
          <cell r="D532"/>
        </row>
        <row r="533">
          <cell r="C533"/>
          <cell r="D533"/>
        </row>
        <row r="534">
          <cell r="C534"/>
          <cell r="D534"/>
        </row>
        <row r="535">
          <cell r="C535"/>
          <cell r="D535"/>
        </row>
        <row r="536">
          <cell r="C536"/>
          <cell r="D536"/>
        </row>
        <row r="537">
          <cell r="C537"/>
          <cell r="D537"/>
        </row>
        <row r="538">
          <cell r="C538"/>
          <cell r="D538"/>
        </row>
        <row r="539">
          <cell r="C539"/>
          <cell r="D539"/>
        </row>
        <row r="540">
          <cell r="C540"/>
          <cell r="D540"/>
        </row>
        <row r="541">
          <cell r="C541"/>
          <cell r="D541"/>
        </row>
        <row r="542">
          <cell r="C542"/>
          <cell r="D542"/>
        </row>
        <row r="543">
          <cell r="C543"/>
          <cell r="D543"/>
        </row>
        <row r="544">
          <cell r="C544"/>
          <cell r="D544"/>
        </row>
        <row r="545">
          <cell r="C545"/>
          <cell r="D545"/>
        </row>
        <row r="546">
          <cell r="C546"/>
          <cell r="D546"/>
        </row>
        <row r="547">
          <cell r="C547"/>
          <cell r="D547"/>
        </row>
        <row r="548">
          <cell r="C548"/>
          <cell r="D548"/>
        </row>
        <row r="549">
          <cell r="C549"/>
          <cell r="D549"/>
        </row>
        <row r="550">
          <cell r="C550"/>
          <cell r="D550"/>
        </row>
        <row r="551">
          <cell r="C551"/>
          <cell r="D551"/>
        </row>
        <row r="552">
          <cell r="C552"/>
          <cell r="D552"/>
        </row>
        <row r="553">
          <cell r="C553"/>
          <cell r="D553"/>
        </row>
        <row r="554">
          <cell r="C554"/>
          <cell r="D554"/>
        </row>
        <row r="555">
          <cell r="C555"/>
          <cell r="D555"/>
        </row>
        <row r="556">
          <cell r="C556"/>
          <cell r="D556"/>
        </row>
        <row r="557">
          <cell r="C557"/>
          <cell r="D557"/>
        </row>
        <row r="558">
          <cell r="C558"/>
          <cell r="D558"/>
        </row>
        <row r="559">
          <cell r="C559"/>
          <cell r="D559"/>
        </row>
        <row r="560">
          <cell r="C560"/>
          <cell r="D560"/>
        </row>
        <row r="561">
          <cell r="C561"/>
          <cell r="D561"/>
        </row>
        <row r="562">
          <cell r="C562"/>
          <cell r="D562"/>
        </row>
        <row r="563">
          <cell r="C563"/>
          <cell r="D563"/>
        </row>
        <row r="564">
          <cell r="C564"/>
          <cell r="D564"/>
        </row>
        <row r="565">
          <cell r="C565"/>
          <cell r="D565"/>
        </row>
        <row r="566">
          <cell r="C566"/>
          <cell r="D566"/>
        </row>
        <row r="567">
          <cell r="C567"/>
          <cell r="D567"/>
        </row>
        <row r="568">
          <cell r="C568"/>
          <cell r="D568"/>
        </row>
        <row r="569">
          <cell r="C569"/>
          <cell r="D569"/>
        </row>
        <row r="570">
          <cell r="C570"/>
          <cell r="D570"/>
        </row>
        <row r="571">
          <cell r="C571"/>
          <cell r="D571"/>
        </row>
        <row r="572">
          <cell r="C572"/>
          <cell r="D572"/>
        </row>
        <row r="573">
          <cell r="C573"/>
          <cell r="D573"/>
        </row>
        <row r="574">
          <cell r="C574"/>
          <cell r="D574"/>
        </row>
        <row r="575">
          <cell r="C575"/>
          <cell r="D575"/>
        </row>
        <row r="576">
          <cell r="C576"/>
          <cell r="D576"/>
        </row>
        <row r="577">
          <cell r="C577"/>
          <cell r="D577"/>
        </row>
        <row r="578">
          <cell r="C578"/>
          <cell r="D578"/>
        </row>
        <row r="579">
          <cell r="C579"/>
          <cell r="D579"/>
        </row>
        <row r="580">
          <cell r="C580"/>
          <cell r="D580"/>
        </row>
        <row r="581">
          <cell r="C581"/>
          <cell r="D581"/>
        </row>
        <row r="582">
          <cell r="C582"/>
          <cell r="D582"/>
        </row>
        <row r="583">
          <cell r="C583"/>
          <cell r="D583"/>
        </row>
        <row r="584">
          <cell r="C584"/>
          <cell r="D584"/>
        </row>
        <row r="585">
          <cell r="C585"/>
          <cell r="D585"/>
        </row>
        <row r="586">
          <cell r="C586"/>
          <cell r="D586"/>
        </row>
        <row r="587">
          <cell r="C587"/>
          <cell r="D587"/>
        </row>
        <row r="588">
          <cell r="C588"/>
          <cell r="D588"/>
        </row>
        <row r="589">
          <cell r="C589"/>
          <cell r="D589"/>
        </row>
        <row r="590">
          <cell r="C590"/>
          <cell r="D590"/>
        </row>
        <row r="591">
          <cell r="C591"/>
          <cell r="D591"/>
        </row>
        <row r="592">
          <cell r="C592"/>
          <cell r="D592"/>
        </row>
        <row r="593">
          <cell r="C593"/>
          <cell r="D593"/>
        </row>
        <row r="594">
          <cell r="C594"/>
          <cell r="D594"/>
        </row>
        <row r="595">
          <cell r="C595"/>
          <cell r="D595"/>
        </row>
        <row r="596">
          <cell r="C596"/>
          <cell r="D596"/>
        </row>
        <row r="597">
          <cell r="C597"/>
          <cell r="D597"/>
        </row>
        <row r="598">
          <cell r="C598"/>
          <cell r="D598"/>
        </row>
        <row r="599">
          <cell r="C599"/>
          <cell r="D599"/>
        </row>
        <row r="600">
          <cell r="C600"/>
          <cell r="D600"/>
        </row>
        <row r="601">
          <cell r="C601"/>
          <cell r="D601"/>
        </row>
        <row r="602">
          <cell r="C602"/>
          <cell r="D602"/>
        </row>
        <row r="603">
          <cell r="C603"/>
          <cell r="D603"/>
        </row>
        <row r="604">
          <cell r="C604"/>
          <cell r="D604"/>
        </row>
        <row r="605">
          <cell r="C605"/>
          <cell r="D605"/>
        </row>
        <row r="606">
          <cell r="C606"/>
          <cell r="D606"/>
        </row>
        <row r="607">
          <cell r="C607"/>
          <cell r="D607"/>
        </row>
        <row r="608">
          <cell r="C608"/>
          <cell r="D608"/>
        </row>
        <row r="609">
          <cell r="C609"/>
          <cell r="D609"/>
        </row>
        <row r="610">
          <cell r="C610"/>
          <cell r="D610"/>
        </row>
        <row r="611">
          <cell r="C611"/>
          <cell r="D611"/>
        </row>
        <row r="612">
          <cell r="C612"/>
          <cell r="D612"/>
        </row>
        <row r="613">
          <cell r="C613"/>
          <cell r="D613"/>
        </row>
        <row r="614">
          <cell r="C614"/>
          <cell r="D614"/>
        </row>
        <row r="615">
          <cell r="C615"/>
          <cell r="D615"/>
        </row>
        <row r="616">
          <cell r="C616"/>
          <cell r="D616"/>
        </row>
        <row r="617">
          <cell r="C617"/>
          <cell r="D617"/>
        </row>
        <row r="618">
          <cell r="C618"/>
          <cell r="D618"/>
        </row>
        <row r="619">
          <cell r="C619"/>
          <cell r="D619"/>
        </row>
        <row r="620">
          <cell r="C620"/>
          <cell r="D620"/>
        </row>
        <row r="621">
          <cell r="C621"/>
          <cell r="D621"/>
        </row>
        <row r="622">
          <cell r="C622"/>
          <cell r="D622"/>
        </row>
        <row r="623">
          <cell r="C623"/>
          <cell r="D623"/>
        </row>
        <row r="624">
          <cell r="C624"/>
          <cell r="D624"/>
        </row>
        <row r="625">
          <cell r="C625"/>
          <cell r="D625"/>
        </row>
        <row r="626">
          <cell r="C626"/>
          <cell r="D626"/>
        </row>
        <row r="627">
          <cell r="C627"/>
          <cell r="D627"/>
        </row>
        <row r="628">
          <cell r="C628"/>
          <cell r="D628"/>
        </row>
        <row r="629">
          <cell r="C629"/>
          <cell r="D629"/>
        </row>
        <row r="630">
          <cell r="C630"/>
          <cell r="D630"/>
        </row>
        <row r="631">
          <cell r="C631"/>
          <cell r="D631"/>
        </row>
        <row r="632">
          <cell r="C632"/>
          <cell r="D632"/>
        </row>
        <row r="633">
          <cell r="C633"/>
          <cell r="D633"/>
        </row>
        <row r="634">
          <cell r="C634"/>
          <cell r="D634"/>
        </row>
        <row r="635">
          <cell r="C635"/>
          <cell r="D635"/>
        </row>
        <row r="636">
          <cell r="C636"/>
          <cell r="D636"/>
        </row>
        <row r="637">
          <cell r="C637"/>
          <cell r="D637"/>
        </row>
        <row r="638">
          <cell r="C638"/>
          <cell r="D638"/>
        </row>
        <row r="639">
          <cell r="C639"/>
          <cell r="D639"/>
        </row>
        <row r="640">
          <cell r="C640"/>
          <cell r="D640"/>
        </row>
        <row r="641">
          <cell r="C641"/>
          <cell r="D641"/>
        </row>
        <row r="642">
          <cell r="C642"/>
          <cell r="D642"/>
        </row>
        <row r="643">
          <cell r="C643"/>
          <cell r="D643"/>
        </row>
        <row r="644">
          <cell r="C644"/>
          <cell r="D644"/>
        </row>
        <row r="645">
          <cell r="C645"/>
          <cell r="D645"/>
        </row>
        <row r="646">
          <cell r="C646"/>
          <cell r="D646"/>
        </row>
        <row r="647">
          <cell r="C647"/>
          <cell r="D647"/>
        </row>
        <row r="648">
          <cell r="C648"/>
          <cell r="D648"/>
        </row>
        <row r="649">
          <cell r="C649"/>
          <cell r="D649"/>
        </row>
        <row r="650">
          <cell r="C650"/>
          <cell r="D650"/>
        </row>
        <row r="651">
          <cell r="C651"/>
          <cell r="D651"/>
        </row>
        <row r="652">
          <cell r="C652"/>
          <cell r="D652"/>
        </row>
        <row r="653">
          <cell r="C653"/>
          <cell r="D653"/>
        </row>
        <row r="654">
          <cell r="C654"/>
          <cell r="D654"/>
        </row>
        <row r="655">
          <cell r="C655"/>
          <cell r="D655"/>
        </row>
        <row r="656">
          <cell r="C656"/>
          <cell r="D656"/>
        </row>
        <row r="657">
          <cell r="C657"/>
          <cell r="D657"/>
        </row>
        <row r="658">
          <cell r="C658"/>
          <cell r="D658"/>
        </row>
        <row r="659">
          <cell r="C659"/>
          <cell r="D659"/>
        </row>
        <row r="660">
          <cell r="C660"/>
          <cell r="D660"/>
        </row>
        <row r="661">
          <cell r="C661"/>
          <cell r="D661"/>
        </row>
        <row r="662">
          <cell r="C662"/>
          <cell r="D662"/>
        </row>
        <row r="663">
          <cell r="C663"/>
          <cell r="D663"/>
        </row>
        <row r="664">
          <cell r="C664"/>
          <cell r="D664"/>
        </row>
        <row r="665">
          <cell r="C665"/>
          <cell r="D665"/>
        </row>
        <row r="666">
          <cell r="C666"/>
          <cell r="D666"/>
        </row>
        <row r="667">
          <cell r="C667"/>
          <cell r="D667"/>
        </row>
        <row r="668">
          <cell r="C668"/>
          <cell r="D668"/>
        </row>
        <row r="669">
          <cell r="C669"/>
          <cell r="D669"/>
        </row>
        <row r="670">
          <cell r="C670"/>
          <cell r="D670"/>
        </row>
        <row r="671">
          <cell r="C671"/>
          <cell r="D671"/>
        </row>
        <row r="672">
          <cell r="C672"/>
          <cell r="D672"/>
        </row>
        <row r="673">
          <cell r="C673"/>
          <cell r="D673"/>
        </row>
        <row r="674">
          <cell r="C674"/>
          <cell r="D674"/>
        </row>
        <row r="675">
          <cell r="C675"/>
          <cell r="D675"/>
        </row>
        <row r="676">
          <cell r="C676"/>
          <cell r="D676"/>
        </row>
        <row r="677">
          <cell r="C677"/>
          <cell r="D677"/>
        </row>
        <row r="678">
          <cell r="C678"/>
          <cell r="D678"/>
        </row>
        <row r="679">
          <cell r="C679"/>
          <cell r="D679"/>
        </row>
        <row r="680">
          <cell r="C680"/>
          <cell r="D680"/>
        </row>
        <row r="681">
          <cell r="C681"/>
          <cell r="D681"/>
        </row>
        <row r="682">
          <cell r="C682"/>
          <cell r="D682"/>
        </row>
        <row r="683">
          <cell r="C683"/>
          <cell r="D683"/>
        </row>
        <row r="684">
          <cell r="C684"/>
          <cell r="D684"/>
        </row>
        <row r="685">
          <cell r="C685"/>
          <cell r="D685"/>
        </row>
        <row r="686">
          <cell r="C686"/>
          <cell r="D686"/>
        </row>
        <row r="687">
          <cell r="C687"/>
          <cell r="D687"/>
        </row>
        <row r="688">
          <cell r="C688"/>
          <cell r="D688"/>
        </row>
        <row r="689">
          <cell r="C689"/>
          <cell r="D689"/>
        </row>
        <row r="690">
          <cell r="C690"/>
          <cell r="D690"/>
        </row>
        <row r="691">
          <cell r="C691"/>
          <cell r="D691"/>
        </row>
        <row r="692">
          <cell r="C692"/>
          <cell r="D692"/>
        </row>
        <row r="693">
          <cell r="C693"/>
          <cell r="D693"/>
        </row>
        <row r="694">
          <cell r="C694"/>
          <cell r="D694"/>
        </row>
        <row r="695">
          <cell r="C695"/>
          <cell r="D695"/>
        </row>
        <row r="696">
          <cell r="C696"/>
          <cell r="D696"/>
        </row>
        <row r="697">
          <cell r="C697"/>
          <cell r="D697"/>
        </row>
        <row r="698">
          <cell r="C698"/>
          <cell r="D698"/>
        </row>
        <row r="699">
          <cell r="C699"/>
          <cell r="D699"/>
        </row>
        <row r="700">
          <cell r="C700"/>
          <cell r="D700"/>
        </row>
        <row r="701">
          <cell r="C701"/>
          <cell r="D701"/>
        </row>
        <row r="702">
          <cell r="C702"/>
          <cell r="D702"/>
        </row>
        <row r="703">
          <cell r="C703"/>
          <cell r="D703"/>
        </row>
        <row r="704">
          <cell r="C704"/>
          <cell r="D704"/>
        </row>
        <row r="705">
          <cell r="C705"/>
          <cell r="D705"/>
        </row>
        <row r="706">
          <cell r="C706"/>
          <cell r="D706"/>
        </row>
        <row r="707">
          <cell r="C707"/>
          <cell r="D707"/>
        </row>
        <row r="708">
          <cell r="C708"/>
          <cell r="D708"/>
        </row>
        <row r="709">
          <cell r="C709"/>
          <cell r="D709"/>
        </row>
        <row r="710">
          <cell r="C710"/>
          <cell r="D710"/>
        </row>
        <row r="711">
          <cell r="C711"/>
          <cell r="D711"/>
        </row>
        <row r="712">
          <cell r="C712"/>
          <cell r="D712"/>
        </row>
        <row r="713">
          <cell r="C713"/>
          <cell r="D713"/>
        </row>
        <row r="714">
          <cell r="C714"/>
          <cell r="D714"/>
        </row>
        <row r="715">
          <cell r="C715"/>
          <cell r="D715"/>
        </row>
        <row r="716">
          <cell r="C716"/>
          <cell r="D716"/>
        </row>
        <row r="717">
          <cell r="C717"/>
          <cell r="D717"/>
        </row>
        <row r="718">
          <cell r="C718"/>
          <cell r="D718"/>
        </row>
        <row r="719">
          <cell r="C719"/>
          <cell r="D719"/>
        </row>
        <row r="720">
          <cell r="C720"/>
          <cell r="D720"/>
        </row>
        <row r="721">
          <cell r="C721"/>
          <cell r="D721"/>
        </row>
        <row r="722">
          <cell r="C722"/>
          <cell r="D722"/>
        </row>
        <row r="723">
          <cell r="C723"/>
          <cell r="D723"/>
        </row>
        <row r="724">
          <cell r="C724"/>
          <cell r="D724"/>
        </row>
        <row r="725">
          <cell r="C725"/>
          <cell r="D725"/>
        </row>
        <row r="726">
          <cell r="C726"/>
          <cell r="D726"/>
        </row>
        <row r="727">
          <cell r="C727"/>
          <cell r="D727"/>
        </row>
        <row r="728">
          <cell r="C728"/>
          <cell r="D728"/>
        </row>
        <row r="729">
          <cell r="C729"/>
          <cell r="D729"/>
        </row>
        <row r="730">
          <cell r="C730"/>
          <cell r="D730"/>
        </row>
        <row r="731">
          <cell r="C731"/>
          <cell r="D731"/>
        </row>
        <row r="732">
          <cell r="C732"/>
          <cell r="D732"/>
        </row>
        <row r="733">
          <cell r="C733"/>
          <cell r="D733"/>
        </row>
        <row r="734">
          <cell r="C734"/>
          <cell r="D734"/>
        </row>
        <row r="735">
          <cell r="C735"/>
          <cell r="D735"/>
        </row>
        <row r="736">
          <cell r="C736"/>
          <cell r="D736"/>
        </row>
        <row r="737">
          <cell r="C737"/>
          <cell r="D737"/>
        </row>
        <row r="738">
          <cell r="C738"/>
          <cell r="D738"/>
        </row>
        <row r="739">
          <cell r="C739"/>
          <cell r="D739"/>
        </row>
        <row r="740">
          <cell r="C740"/>
          <cell r="D740"/>
        </row>
        <row r="741">
          <cell r="C741"/>
          <cell r="D741"/>
        </row>
        <row r="742">
          <cell r="C742"/>
          <cell r="D742"/>
        </row>
        <row r="743">
          <cell r="C743"/>
          <cell r="D743"/>
        </row>
        <row r="744">
          <cell r="C744"/>
          <cell r="D744"/>
        </row>
        <row r="745">
          <cell r="C745"/>
          <cell r="D745"/>
        </row>
        <row r="746">
          <cell r="C746"/>
          <cell r="D746"/>
        </row>
        <row r="747">
          <cell r="C747"/>
          <cell r="D747"/>
        </row>
        <row r="748">
          <cell r="C748"/>
          <cell r="D748"/>
        </row>
        <row r="749">
          <cell r="C749"/>
          <cell r="D749"/>
        </row>
        <row r="750">
          <cell r="C750"/>
          <cell r="D750"/>
        </row>
        <row r="751">
          <cell r="C751"/>
          <cell r="D751"/>
        </row>
        <row r="752">
          <cell r="C752"/>
          <cell r="D752"/>
        </row>
        <row r="753">
          <cell r="C753"/>
          <cell r="D753"/>
        </row>
        <row r="754">
          <cell r="C754"/>
          <cell r="D754"/>
        </row>
        <row r="755">
          <cell r="C755"/>
          <cell r="D755"/>
        </row>
        <row r="756">
          <cell r="C756"/>
          <cell r="D756"/>
        </row>
        <row r="757">
          <cell r="C757"/>
          <cell r="D757"/>
        </row>
        <row r="758">
          <cell r="C758"/>
          <cell r="D758"/>
        </row>
        <row r="759">
          <cell r="C759"/>
          <cell r="D759"/>
        </row>
        <row r="760">
          <cell r="C760"/>
          <cell r="D760"/>
        </row>
        <row r="761">
          <cell r="C761"/>
          <cell r="D761"/>
        </row>
        <row r="762">
          <cell r="C762"/>
          <cell r="D762"/>
        </row>
        <row r="763">
          <cell r="C763"/>
          <cell r="D763"/>
        </row>
        <row r="764">
          <cell r="C764"/>
          <cell r="D764"/>
        </row>
        <row r="765">
          <cell r="C765"/>
          <cell r="D765"/>
        </row>
        <row r="766">
          <cell r="C766"/>
          <cell r="D766"/>
        </row>
        <row r="767">
          <cell r="C767"/>
          <cell r="D767"/>
        </row>
        <row r="768">
          <cell r="C768"/>
          <cell r="D768"/>
        </row>
        <row r="769">
          <cell r="C769"/>
          <cell r="D769"/>
        </row>
        <row r="770">
          <cell r="C770"/>
          <cell r="D770"/>
        </row>
        <row r="771">
          <cell r="C771"/>
          <cell r="D771"/>
        </row>
        <row r="772">
          <cell r="C772"/>
          <cell r="D772"/>
        </row>
        <row r="773">
          <cell r="C773"/>
          <cell r="D773"/>
        </row>
        <row r="774">
          <cell r="C774"/>
          <cell r="D774"/>
        </row>
        <row r="775">
          <cell r="C775"/>
          <cell r="D775"/>
        </row>
        <row r="776">
          <cell r="C776"/>
          <cell r="D776"/>
        </row>
        <row r="777">
          <cell r="C777"/>
          <cell r="D777"/>
        </row>
        <row r="778">
          <cell r="C778"/>
          <cell r="D778"/>
        </row>
        <row r="779">
          <cell r="C779"/>
          <cell r="D779"/>
        </row>
        <row r="780">
          <cell r="C780"/>
          <cell r="D780"/>
        </row>
        <row r="781">
          <cell r="C781"/>
          <cell r="D781"/>
        </row>
        <row r="782">
          <cell r="C782"/>
          <cell r="D782"/>
        </row>
        <row r="783">
          <cell r="C783"/>
          <cell r="D783"/>
        </row>
        <row r="784">
          <cell r="C784"/>
          <cell r="D784"/>
        </row>
        <row r="785">
          <cell r="C785"/>
          <cell r="D785"/>
        </row>
        <row r="786">
          <cell r="C786"/>
          <cell r="D786"/>
        </row>
        <row r="787">
          <cell r="C787"/>
          <cell r="D787"/>
        </row>
        <row r="788">
          <cell r="C788"/>
          <cell r="D788"/>
        </row>
        <row r="789">
          <cell r="C789"/>
          <cell r="D789"/>
        </row>
        <row r="790">
          <cell r="C790"/>
          <cell r="D790"/>
        </row>
        <row r="791">
          <cell r="C791"/>
          <cell r="D791"/>
        </row>
        <row r="792">
          <cell r="C792"/>
          <cell r="D792"/>
        </row>
        <row r="793">
          <cell r="C793"/>
          <cell r="D793"/>
        </row>
        <row r="794">
          <cell r="C794"/>
          <cell r="D794"/>
        </row>
        <row r="795">
          <cell r="C795"/>
          <cell r="D795"/>
        </row>
        <row r="796">
          <cell r="C796"/>
          <cell r="D796"/>
        </row>
        <row r="797">
          <cell r="C797"/>
          <cell r="D797"/>
        </row>
        <row r="798">
          <cell r="C798"/>
          <cell r="D798"/>
        </row>
        <row r="799">
          <cell r="C799"/>
          <cell r="D799"/>
        </row>
        <row r="800">
          <cell r="C800"/>
          <cell r="D800"/>
        </row>
        <row r="801">
          <cell r="C801"/>
          <cell r="D801"/>
        </row>
        <row r="802">
          <cell r="C802"/>
          <cell r="D802"/>
        </row>
        <row r="803">
          <cell r="C803"/>
          <cell r="D803"/>
        </row>
        <row r="804">
          <cell r="C804"/>
          <cell r="D804"/>
        </row>
        <row r="805">
          <cell r="C805"/>
          <cell r="D805"/>
        </row>
        <row r="806">
          <cell r="C806"/>
          <cell r="D806"/>
        </row>
        <row r="807">
          <cell r="C807"/>
          <cell r="D807"/>
        </row>
        <row r="808">
          <cell r="C808"/>
          <cell r="D808"/>
        </row>
        <row r="809">
          <cell r="C809"/>
          <cell r="D809"/>
        </row>
        <row r="810">
          <cell r="C810"/>
          <cell r="D810"/>
        </row>
        <row r="811">
          <cell r="C811"/>
          <cell r="D811"/>
        </row>
        <row r="812">
          <cell r="C812"/>
          <cell r="D812"/>
        </row>
        <row r="813">
          <cell r="C813"/>
          <cell r="D813"/>
        </row>
        <row r="814">
          <cell r="C814"/>
          <cell r="D814"/>
        </row>
        <row r="815">
          <cell r="C815"/>
          <cell r="D815"/>
        </row>
        <row r="816">
          <cell r="C816"/>
          <cell r="D816"/>
        </row>
        <row r="817">
          <cell r="C817"/>
          <cell r="D817"/>
        </row>
        <row r="818">
          <cell r="C818"/>
          <cell r="D818"/>
        </row>
        <row r="819">
          <cell r="C819"/>
          <cell r="D819"/>
        </row>
        <row r="820">
          <cell r="C820"/>
          <cell r="D820"/>
        </row>
        <row r="821">
          <cell r="C821"/>
          <cell r="D821"/>
        </row>
        <row r="822">
          <cell r="C822"/>
          <cell r="D822"/>
        </row>
        <row r="823">
          <cell r="C823"/>
          <cell r="D823"/>
        </row>
        <row r="824">
          <cell r="C824"/>
          <cell r="D824"/>
        </row>
        <row r="825">
          <cell r="C825"/>
          <cell r="D825"/>
        </row>
        <row r="826">
          <cell r="C826"/>
          <cell r="D826"/>
        </row>
        <row r="827">
          <cell r="C827"/>
          <cell r="D827"/>
        </row>
        <row r="828">
          <cell r="C828"/>
          <cell r="D828"/>
        </row>
        <row r="829">
          <cell r="C829"/>
          <cell r="D829"/>
        </row>
        <row r="830">
          <cell r="C830"/>
          <cell r="D830"/>
        </row>
        <row r="831">
          <cell r="C831"/>
          <cell r="D831"/>
        </row>
        <row r="832">
          <cell r="C832"/>
          <cell r="D832"/>
        </row>
        <row r="833">
          <cell r="C833"/>
          <cell r="D833"/>
        </row>
        <row r="834">
          <cell r="C834"/>
          <cell r="D834"/>
        </row>
        <row r="835">
          <cell r="C835"/>
          <cell r="D835"/>
        </row>
        <row r="836">
          <cell r="C836"/>
          <cell r="D836"/>
        </row>
        <row r="837">
          <cell r="C837"/>
          <cell r="D837"/>
        </row>
        <row r="838">
          <cell r="C838"/>
          <cell r="D838"/>
        </row>
        <row r="839">
          <cell r="C839"/>
          <cell r="D839"/>
        </row>
        <row r="840">
          <cell r="C840"/>
          <cell r="D840"/>
        </row>
        <row r="841">
          <cell r="C841"/>
          <cell r="D841"/>
        </row>
        <row r="842">
          <cell r="C842"/>
          <cell r="D842"/>
        </row>
        <row r="843">
          <cell r="C843"/>
          <cell r="D843"/>
        </row>
        <row r="844">
          <cell r="C844"/>
          <cell r="D844"/>
        </row>
        <row r="845">
          <cell r="C845"/>
          <cell r="D845"/>
        </row>
        <row r="846">
          <cell r="C846"/>
          <cell r="D846"/>
        </row>
        <row r="847">
          <cell r="C847"/>
          <cell r="D847"/>
        </row>
        <row r="848">
          <cell r="C848"/>
          <cell r="D848"/>
        </row>
        <row r="849">
          <cell r="C849"/>
          <cell r="D849"/>
        </row>
        <row r="850">
          <cell r="C850"/>
          <cell r="D850"/>
        </row>
        <row r="851">
          <cell r="C851"/>
          <cell r="D851"/>
        </row>
        <row r="852">
          <cell r="C852"/>
          <cell r="D852"/>
        </row>
        <row r="853">
          <cell r="C853"/>
          <cell r="D853"/>
        </row>
        <row r="854">
          <cell r="C854"/>
          <cell r="D854"/>
        </row>
        <row r="855">
          <cell r="C855"/>
          <cell r="D855"/>
        </row>
        <row r="856">
          <cell r="C856"/>
          <cell r="D856"/>
        </row>
        <row r="857">
          <cell r="C857"/>
          <cell r="D857"/>
        </row>
        <row r="858">
          <cell r="C858"/>
          <cell r="D858"/>
        </row>
        <row r="859">
          <cell r="C859"/>
          <cell r="D859"/>
        </row>
        <row r="860">
          <cell r="C860"/>
          <cell r="D860"/>
        </row>
        <row r="861">
          <cell r="C861"/>
          <cell r="D861"/>
        </row>
        <row r="862">
          <cell r="C862"/>
          <cell r="D862"/>
        </row>
        <row r="863">
          <cell r="C863"/>
          <cell r="D863"/>
        </row>
        <row r="864">
          <cell r="C864"/>
          <cell r="D864"/>
        </row>
        <row r="865">
          <cell r="C865"/>
          <cell r="D865"/>
        </row>
        <row r="866">
          <cell r="C866"/>
          <cell r="D866"/>
        </row>
        <row r="867">
          <cell r="C867"/>
          <cell r="D867"/>
        </row>
        <row r="868">
          <cell r="C868"/>
          <cell r="D868"/>
        </row>
        <row r="869">
          <cell r="C869"/>
          <cell r="D869"/>
        </row>
        <row r="870">
          <cell r="C870"/>
          <cell r="D870"/>
        </row>
        <row r="871">
          <cell r="C871"/>
          <cell r="D871"/>
        </row>
        <row r="872">
          <cell r="C872"/>
          <cell r="D872"/>
        </row>
        <row r="873">
          <cell r="C873"/>
          <cell r="D873"/>
        </row>
        <row r="874">
          <cell r="C874"/>
          <cell r="D874"/>
        </row>
        <row r="875">
          <cell r="C875"/>
          <cell r="D875"/>
        </row>
        <row r="876">
          <cell r="C876"/>
          <cell r="D876"/>
        </row>
        <row r="877">
          <cell r="C877"/>
          <cell r="D877"/>
        </row>
        <row r="878">
          <cell r="C878"/>
          <cell r="D878"/>
        </row>
        <row r="879">
          <cell r="C879"/>
          <cell r="D879"/>
        </row>
        <row r="880">
          <cell r="C880"/>
          <cell r="D880"/>
        </row>
        <row r="881">
          <cell r="C881"/>
          <cell r="D881"/>
        </row>
        <row r="882">
          <cell r="C882"/>
          <cell r="D882"/>
        </row>
        <row r="883">
          <cell r="C883"/>
          <cell r="D883"/>
        </row>
        <row r="884">
          <cell r="C884"/>
          <cell r="D884"/>
        </row>
        <row r="885">
          <cell r="C885"/>
          <cell r="D885"/>
        </row>
        <row r="886">
          <cell r="C886"/>
          <cell r="D886"/>
        </row>
        <row r="887">
          <cell r="C887"/>
          <cell r="D887"/>
        </row>
        <row r="888">
          <cell r="C888"/>
          <cell r="D888"/>
        </row>
        <row r="889">
          <cell r="C889"/>
          <cell r="D889"/>
        </row>
        <row r="890">
          <cell r="C890"/>
          <cell r="D890"/>
        </row>
        <row r="891">
          <cell r="C891"/>
          <cell r="D891"/>
        </row>
        <row r="892">
          <cell r="C892"/>
          <cell r="D892"/>
        </row>
        <row r="893">
          <cell r="C893"/>
          <cell r="D893"/>
        </row>
        <row r="894">
          <cell r="C894"/>
          <cell r="D894"/>
        </row>
        <row r="895">
          <cell r="C895"/>
          <cell r="D895"/>
        </row>
        <row r="896">
          <cell r="C896"/>
          <cell r="D896"/>
        </row>
        <row r="897">
          <cell r="C897"/>
          <cell r="D897"/>
        </row>
        <row r="898">
          <cell r="C898"/>
          <cell r="D898"/>
        </row>
        <row r="899">
          <cell r="C899"/>
          <cell r="D899"/>
        </row>
        <row r="900">
          <cell r="C900"/>
          <cell r="D900"/>
        </row>
        <row r="901">
          <cell r="C901"/>
          <cell r="D901"/>
        </row>
        <row r="902">
          <cell r="C902"/>
          <cell r="D902"/>
        </row>
        <row r="903">
          <cell r="C903"/>
          <cell r="D903"/>
        </row>
        <row r="904">
          <cell r="C904"/>
          <cell r="D904"/>
        </row>
        <row r="905">
          <cell r="C905"/>
          <cell r="D905"/>
        </row>
        <row r="906">
          <cell r="C906"/>
          <cell r="D906"/>
        </row>
        <row r="907">
          <cell r="C907"/>
          <cell r="D907"/>
        </row>
        <row r="908">
          <cell r="C908"/>
          <cell r="D908"/>
        </row>
        <row r="909">
          <cell r="C909"/>
          <cell r="D909"/>
        </row>
        <row r="910">
          <cell r="C910"/>
          <cell r="D910"/>
        </row>
        <row r="911">
          <cell r="C911"/>
          <cell r="D911"/>
        </row>
        <row r="912">
          <cell r="C912"/>
          <cell r="D912"/>
        </row>
        <row r="913">
          <cell r="C913"/>
          <cell r="D913"/>
        </row>
        <row r="914">
          <cell r="C914"/>
          <cell r="D914"/>
        </row>
        <row r="915">
          <cell r="C915"/>
          <cell r="D915"/>
        </row>
        <row r="916">
          <cell r="C916"/>
          <cell r="D916"/>
        </row>
        <row r="917">
          <cell r="C917"/>
          <cell r="D917"/>
        </row>
        <row r="918">
          <cell r="C918"/>
          <cell r="D918"/>
        </row>
        <row r="919">
          <cell r="C919"/>
          <cell r="D919"/>
        </row>
        <row r="920">
          <cell r="C920"/>
          <cell r="D920"/>
        </row>
        <row r="921">
          <cell r="C921"/>
          <cell r="D921"/>
        </row>
        <row r="922">
          <cell r="C922"/>
          <cell r="D922"/>
        </row>
        <row r="923">
          <cell r="C923"/>
          <cell r="D923"/>
        </row>
        <row r="924">
          <cell r="C924"/>
          <cell r="D924"/>
        </row>
        <row r="925">
          <cell r="C925"/>
          <cell r="D925"/>
        </row>
        <row r="926">
          <cell r="C926"/>
          <cell r="D926"/>
        </row>
        <row r="927">
          <cell r="C927"/>
          <cell r="D927"/>
        </row>
        <row r="928">
          <cell r="C928"/>
          <cell r="D928"/>
        </row>
        <row r="929">
          <cell r="C929"/>
          <cell r="D929"/>
        </row>
        <row r="930">
          <cell r="C930"/>
          <cell r="D930"/>
        </row>
        <row r="931">
          <cell r="C931"/>
          <cell r="D931"/>
        </row>
        <row r="932">
          <cell r="C932"/>
          <cell r="D932"/>
        </row>
        <row r="933">
          <cell r="C933"/>
          <cell r="D933"/>
        </row>
        <row r="934">
          <cell r="C934"/>
          <cell r="D934"/>
        </row>
        <row r="935">
          <cell r="C935"/>
          <cell r="D935"/>
        </row>
        <row r="936">
          <cell r="C936"/>
          <cell r="D936"/>
        </row>
        <row r="937">
          <cell r="C937"/>
          <cell r="D937"/>
        </row>
        <row r="938">
          <cell r="C938"/>
          <cell r="D938"/>
        </row>
        <row r="939">
          <cell r="C939"/>
          <cell r="D939"/>
        </row>
        <row r="940">
          <cell r="C940"/>
          <cell r="D940"/>
        </row>
        <row r="941">
          <cell r="C941"/>
          <cell r="D941"/>
        </row>
        <row r="942">
          <cell r="C942"/>
          <cell r="D942"/>
        </row>
        <row r="943">
          <cell r="C943"/>
          <cell r="D943"/>
        </row>
        <row r="944">
          <cell r="C944"/>
          <cell r="D944"/>
        </row>
        <row r="945">
          <cell r="C945"/>
          <cell r="D945"/>
        </row>
        <row r="946">
          <cell r="C946"/>
          <cell r="D946"/>
        </row>
        <row r="947">
          <cell r="C947"/>
          <cell r="D947"/>
        </row>
        <row r="948">
          <cell r="C948"/>
          <cell r="D948"/>
        </row>
        <row r="949">
          <cell r="C949"/>
          <cell r="D949"/>
        </row>
        <row r="950">
          <cell r="C950"/>
          <cell r="D950"/>
        </row>
        <row r="951">
          <cell r="C951"/>
          <cell r="D951"/>
        </row>
        <row r="952">
          <cell r="C952"/>
          <cell r="D952"/>
        </row>
        <row r="953">
          <cell r="C953"/>
          <cell r="D953"/>
        </row>
        <row r="954">
          <cell r="C954"/>
          <cell r="D954"/>
        </row>
        <row r="955">
          <cell r="C955"/>
          <cell r="D955"/>
        </row>
        <row r="956">
          <cell r="C956"/>
          <cell r="D956"/>
        </row>
        <row r="957">
          <cell r="C957"/>
          <cell r="D957"/>
        </row>
        <row r="958">
          <cell r="C958"/>
          <cell r="D958"/>
        </row>
        <row r="959">
          <cell r="C959"/>
          <cell r="D959"/>
        </row>
        <row r="960">
          <cell r="C960"/>
          <cell r="D960"/>
        </row>
        <row r="961">
          <cell r="C961"/>
          <cell r="D961"/>
        </row>
        <row r="962">
          <cell r="C962"/>
          <cell r="D962"/>
        </row>
        <row r="963">
          <cell r="C963"/>
          <cell r="D963"/>
        </row>
        <row r="964">
          <cell r="C964"/>
          <cell r="D964"/>
        </row>
        <row r="965">
          <cell r="C965"/>
          <cell r="D965"/>
        </row>
        <row r="966">
          <cell r="C966"/>
          <cell r="D966"/>
        </row>
        <row r="967">
          <cell r="C967"/>
          <cell r="D967"/>
        </row>
        <row r="968">
          <cell r="C968"/>
          <cell r="D968"/>
        </row>
        <row r="969">
          <cell r="C969"/>
          <cell r="D969"/>
        </row>
        <row r="970">
          <cell r="C970"/>
          <cell r="D970"/>
        </row>
        <row r="971">
          <cell r="C971"/>
          <cell r="D971"/>
        </row>
        <row r="972">
          <cell r="C972"/>
          <cell r="D972"/>
        </row>
        <row r="973">
          <cell r="C973"/>
          <cell r="D973"/>
        </row>
        <row r="974">
          <cell r="C974"/>
          <cell r="D974"/>
        </row>
        <row r="975">
          <cell r="C975"/>
          <cell r="D975"/>
        </row>
        <row r="976">
          <cell r="C976"/>
          <cell r="D976"/>
        </row>
        <row r="977">
          <cell r="C977"/>
          <cell r="D977"/>
        </row>
        <row r="978">
          <cell r="C978"/>
          <cell r="D978"/>
        </row>
        <row r="979">
          <cell r="C979"/>
          <cell r="D979"/>
        </row>
        <row r="980">
          <cell r="C980"/>
          <cell r="D980"/>
        </row>
        <row r="981">
          <cell r="C981"/>
          <cell r="D981"/>
        </row>
        <row r="982">
          <cell r="C982"/>
          <cell r="D982"/>
        </row>
        <row r="983">
          <cell r="C983"/>
          <cell r="D983"/>
        </row>
        <row r="984">
          <cell r="C984"/>
          <cell r="D984"/>
        </row>
        <row r="985">
          <cell r="C985"/>
          <cell r="D985"/>
        </row>
        <row r="986">
          <cell r="C986"/>
          <cell r="D986"/>
        </row>
        <row r="987">
          <cell r="C987"/>
          <cell r="D987"/>
        </row>
        <row r="988">
          <cell r="C988"/>
          <cell r="D988"/>
        </row>
        <row r="989">
          <cell r="C989"/>
          <cell r="D989"/>
        </row>
        <row r="990">
          <cell r="C990"/>
          <cell r="D990"/>
        </row>
        <row r="991">
          <cell r="C991"/>
          <cell r="D991"/>
        </row>
        <row r="992">
          <cell r="C992"/>
          <cell r="D992"/>
        </row>
        <row r="993">
          <cell r="C993"/>
          <cell r="D993"/>
        </row>
        <row r="994">
          <cell r="C994"/>
          <cell r="D994"/>
        </row>
        <row r="995">
          <cell r="C995"/>
          <cell r="D995"/>
        </row>
        <row r="996">
          <cell r="C996"/>
          <cell r="D996"/>
        </row>
        <row r="997">
          <cell r="C997"/>
          <cell r="D997"/>
        </row>
        <row r="998">
          <cell r="C998"/>
          <cell r="D998"/>
        </row>
        <row r="999">
          <cell r="C999"/>
          <cell r="D999"/>
        </row>
        <row r="1000">
          <cell r="C1000"/>
          <cell r="D1000"/>
        </row>
        <row r="1001">
          <cell r="C1001"/>
          <cell r="D1001"/>
        </row>
        <row r="1002">
          <cell r="C1002"/>
          <cell r="D1002"/>
        </row>
        <row r="1003">
          <cell r="C1003"/>
          <cell r="D1003"/>
        </row>
        <row r="1004">
          <cell r="C1004"/>
          <cell r="D1004"/>
        </row>
        <row r="1005">
          <cell r="C1005"/>
          <cell r="D1005"/>
        </row>
        <row r="1006">
          <cell r="C1006"/>
          <cell r="D1006"/>
        </row>
        <row r="1007">
          <cell r="C1007"/>
          <cell r="D1007"/>
        </row>
        <row r="1008">
          <cell r="C1008"/>
          <cell r="D1008"/>
        </row>
        <row r="1009">
          <cell r="C1009"/>
          <cell r="D1009"/>
        </row>
        <row r="1010">
          <cell r="C1010"/>
          <cell r="D1010"/>
        </row>
        <row r="1011">
          <cell r="C1011"/>
          <cell r="D1011"/>
        </row>
        <row r="1012">
          <cell r="C1012"/>
          <cell r="D1012"/>
        </row>
        <row r="1013">
          <cell r="C1013"/>
          <cell r="D1013"/>
        </row>
        <row r="1014">
          <cell r="C1014"/>
          <cell r="D1014"/>
        </row>
        <row r="1015">
          <cell r="C1015"/>
          <cell r="D1015"/>
        </row>
        <row r="1016">
          <cell r="C1016"/>
          <cell r="D1016"/>
        </row>
        <row r="1017">
          <cell r="C1017"/>
          <cell r="D1017"/>
        </row>
        <row r="1018">
          <cell r="C1018"/>
          <cell r="D1018"/>
        </row>
        <row r="1019">
          <cell r="C1019"/>
          <cell r="D1019"/>
        </row>
      </sheetData>
      <sheetData sheetId="1">
        <row r="9">
          <cell r="B9">
            <v>1008</v>
          </cell>
          <cell r="C9" t="str">
            <v>فوزية هزال عيسي الهزال</v>
          </cell>
          <cell r="D9" t="str">
            <v>شركة ريال البركة للتجارة</v>
          </cell>
          <cell r="E9">
            <v>2000</v>
          </cell>
        </row>
        <row r="10">
          <cell r="B10">
            <v>1013</v>
          </cell>
          <cell r="C10" t="str">
            <v>منال سلطان عبدالرحمن الرزيحي</v>
          </cell>
          <cell r="D10" t="str">
            <v>شركة ريال البركة للتجارة</v>
          </cell>
          <cell r="E10">
            <v>1000</v>
          </cell>
        </row>
        <row r="11">
          <cell r="B11">
            <v>1037</v>
          </cell>
          <cell r="C11" t="str">
            <v>نوف عبدالرحمن صالح الرزيحي</v>
          </cell>
          <cell r="D11" t="str">
            <v>شركة ريال البركة للتجارة</v>
          </cell>
          <cell r="E11">
            <v>2000</v>
          </cell>
        </row>
        <row r="12">
          <cell r="B12">
            <v>1040</v>
          </cell>
          <cell r="C12" t="str">
            <v>فاطمه محمد عبدالعزيز الشليل</v>
          </cell>
          <cell r="D12" t="str">
            <v>شركة ريال البركة للتجارة</v>
          </cell>
          <cell r="E12">
            <v>1000</v>
          </cell>
        </row>
        <row r="13">
          <cell r="B13">
            <v>1042</v>
          </cell>
          <cell r="C13" t="str">
            <v>هياء سليمان صالح المريشد</v>
          </cell>
          <cell r="D13" t="str">
            <v>شركة ريال البركة للتجارة</v>
          </cell>
          <cell r="E13">
            <v>1000</v>
          </cell>
        </row>
        <row r="14">
          <cell r="B14">
            <v>1046</v>
          </cell>
          <cell r="C14" t="str">
            <v>سليمان صالح سليمان المريشد</v>
          </cell>
          <cell r="D14" t="str">
            <v>شركة ريال البركة للتجارة</v>
          </cell>
          <cell r="E14">
            <v>1500</v>
          </cell>
        </row>
        <row r="15">
          <cell r="B15">
            <v>1101</v>
          </cell>
          <cell r="C15" t="str">
            <v>فاطمة إبراهيم سعود العبودي</v>
          </cell>
          <cell r="D15" t="str">
            <v>شركة ريال البركة للتجارة</v>
          </cell>
          <cell r="E15">
            <v>1000</v>
          </cell>
        </row>
        <row r="16">
          <cell r="B16">
            <v>1103</v>
          </cell>
          <cell r="C16" t="str">
            <v>شهد سلطان عبدالرحمن الرزيحي</v>
          </cell>
          <cell r="D16" t="str">
            <v>شركة ريال البركة للتجارة</v>
          </cell>
          <cell r="E16">
            <v>1000</v>
          </cell>
        </row>
        <row r="17">
          <cell r="B17">
            <v>1121</v>
          </cell>
          <cell r="C17" t="str">
            <v>عبدالله سعد عبدالرحمن الرزيحي</v>
          </cell>
          <cell r="D17" t="str">
            <v>مؤسسة عبدالرحمن سلطان عبدالرحمن الرزيحي للتجارة</v>
          </cell>
          <cell r="E17">
            <v>1000</v>
          </cell>
        </row>
        <row r="18">
          <cell r="B18">
            <v>1122</v>
          </cell>
          <cell r="C18" t="str">
            <v>حصه خالد يوسف الزيد</v>
          </cell>
          <cell r="D18" t="str">
            <v>مؤسسة عبدالرحمن سلطان عبدالرحمن الرزيحي للتجارة</v>
          </cell>
          <cell r="E18">
            <v>3000</v>
          </cell>
        </row>
        <row r="19">
          <cell r="B19">
            <v>1146</v>
          </cell>
          <cell r="C19" t="str">
            <v>مشاعل زيد زيدان الهلالي</v>
          </cell>
          <cell r="D19" t="str">
            <v>شركة ريال البركة للتجارة</v>
          </cell>
          <cell r="E19">
            <v>1000</v>
          </cell>
        </row>
        <row r="20">
          <cell r="B20">
            <v>1147</v>
          </cell>
          <cell r="C20" t="str">
            <v>منيره حسن عبدالله قعود</v>
          </cell>
          <cell r="D20" t="str">
            <v>شركة ريال البركة للتجارة</v>
          </cell>
          <cell r="E20">
            <v>1000</v>
          </cell>
        </row>
        <row r="21">
          <cell r="B21">
            <v>1148</v>
          </cell>
          <cell r="C21" t="str">
            <v>مرام ناصر عبدالرحمن السلمان</v>
          </cell>
          <cell r="D21" t="str">
            <v>شركة ريال البركة للتجارة</v>
          </cell>
          <cell r="E21">
            <v>1000</v>
          </cell>
        </row>
        <row r="22">
          <cell r="B22">
            <v>1149</v>
          </cell>
          <cell r="C22" t="str">
            <v>أميرة احمد محمد السميح</v>
          </cell>
          <cell r="D22" t="str">
            <v>شركة أدفان للصناعة ( شركة شخص واحد )</v>
          </cell>
          <cell r="E22">
            <v>1000</v>
          </cell>
        </row>
        <row r="23">
          <cell r="B23">
            <v>1150</v>
          </cell>
          <cell r="C23" t="str">
            <v>نوره عبدالعزيز حسين ابوساق</v>
          </cell>
          <cell r="D23" t="str">
            <v>شركة أدفان للصناعة ( شركة شخص واحد )</v>
          </cell>
          <cell r="E23">
            <v>1000</v>
          </cell>
        </row>
        <row r="24">
          <cell r="B24">
            <v>1151</v>
          </cell>
          <cell r="C24" t="str">
            <v>ريم عبدالعزيز حسين أبوساق</v>
          </cell>
          <cell r="D24" t="str">
            <v>مؤسسة سلطان عبدالرحمن صالح الرزيحي للتجارة</v>
          </cell>
          <cell r="E24">
            <v>1000</v>
          </cell>
        </row>
        <row r="25">
          <cell r="B25">
            <v>1155</v>
          </cell>
          <cell r="C25" t="str">
            <v>ساره ناصر سليمان الوهيبي</v>
          </cell>
          <cell r="D25" t="str">
            <v>شركة أدفان للصناعة ( شركة شخص واحد )</v>
          </cell>
          <cell r="E25">
            <v>1000</v>
          </cell>
        </row>
        <row r="26">
          <cell r="B26">
            <v>1156</v>
          </cell>
          <cell r="C26" t="str">
            <v>هديل سليمان صالح المريشد</v>
          </cell>
          <cell r="D26" t="str">
            <v>شركة ريال البركة للتجارة</v>
          </cell>
          <cell r="E26">
            <v>1000</v>
          </cell>
        </row>
        <row r="27">
          <cell r="B27">
            <v>1161</v>
          </cell>
          <cell r="C27" t="str">
            <v>عبدالمجيد محمد عبدالله النمي</v>
          </cell>
          <cell r="D27" t="str">
            <v>شركة ريال البركة للتجارة</v>
          </cell>
          <cell r="E27">
            <v>1000</v>
          </cell>
        </row>
        <row r="28">
          <cell r="B28">
            <v>1162</v>
          </cell>
          <cell r="C28" t="str">
            <v>ريم عبدالرحمن صالح الفنتوخ</v>
          </cell>
          <cell r="D28" t="str">
            <v>شركة أدفان للصناعة ( شركة شخص واحد )</v>
          </cell>
          <cell r="E28">
            <v>1000</v>
          </cell>
        </row>
        <row r="29">
          <cell r="B29">
            <v>1163</v>
          </cell>
          <cell r="C29" t="str">
            <v>لطيفه عبدالله عبدالرحمن رشيد</v>
          </cell>
          <cell r="D29" t="str">
            <v>شركة ريال البركة للتجارة</v>
          </cell>
          <cell r="E29">
            <v>1500</v>
          </cell>
        </row>
        <row r="30">
          <cell r="B30">
            <v>1202</v>
          </cell>
          <cell r="C30" t="str">
            <v>اثير إبراهيم سعود العبودي</v>
          </cell>
          <cell r="D30" t="str">
            <v>مصنع سلطان عبدالرحمن صالح الرزيحي للمنتجات الورقية</v>
          </cell>
          <cell r="E30">
            <v>1000</v>
          </cell>
        </row>
        <row r="31">
          <cell r="B31">
            <v>1203</v>
          </cell>
          <cell r="C31" t="str">
            <v>منال عبدالعزيز ابراهيم الطلاسي</v>
          </cell>
          <cell r="D31" t="str">
            <v>مصنع سلطان عبدالرحمن صالح الرزيحي للمنتجات الورقية</v>
          </cell>
          <cell r="E31">
            <v>1000</v>
          </cell>
        </row>
        <row r="32">
          <cell r="B32">
            <v>1254</v>
          </cell>
          <cell r="C32" t="str">
            <v>نوف حسن عبدالله قعود</v>
          </cell>
          <cell r="D32" t="str">
            <v>شركة ريال البركة للتجارة</v>
          </cell>
          <cell r="E32">
            <v>1120</v>
          </cell>
        </row>
        <row r="33">
          <cell r="B33">
            <v>1274</v>
          </cell>
          <cell r="C33" t="str">
            <v>منصور محمد يحي حكمي</v>
          </cell>
          <cell r="D33" t="str">
            <v>شركة ريال البركة للتجارة</v>
          </cell>
          <cell r="E33">
            <v>1000</v>
          </cell>
        </row>
        <row r="34">
          <cell r="B34">
            <v>1277</v>
          </cell>
          <cell r="C34" t="str">
            <v>منى احمد محمد السميح</v>
          </cell>
          <cell r="D34" t="str">
            <v>شركة ريال البركة للتجارة</v>
          </cell>
          <cell r="E34">
            <v>1000</v>
          </cell>
        </row>
        <row r="35">
          <cell r="B35">
            <v>1284</v>
          </cell>
          <cell r="C35" t="str">
            <v>نوره محمد عبدالله النمي</v>
          </cell>
          <cell r="D35" t="str">
            <v>شركة ريال البركة للتجارة</v>
          </cell>
          <cell r="E35">
            <v>1000</v>
          </cell>
        </row>
        <row r="36">
          <cell r="B36">
            <v>1298</v>
          </cell>
          <cell r="C36" t="str">
            <v>احلام ذياب يوسف الزهراني</v>
          </cell>
          <cell r="D36" t="str">
            <v>شركة ريال البركة للتجارة</v>
          </cell>
          <cell r="E36">
            <v>1000</v>
          </cell>
        </row>
        <row r="37">
          <cell r="B37">
            <v>1301</v>
          </cell>
          <cell r="C37" t="str">
            <v>وعد سعد عبدالله الهويمل</v>
          </cell>
          <cell r="D37" t="str">
            <v>شركة ريال البركة للتجارة</v>
          </cell>
          <cell r="E37">
            <v>1000</v>
          </cell>
        </row>
        <row r="38">
          <cell r="B38">
            <v>1302</v>
          </cell>
          <cell r="C38" t="str">
            <v>خلود عبدالرحمن سعود الجبيرى</v>
          </cell>
          <cell r="D38" t="str">
            <v>شركة ريال البركة للتجارة</v>
          </cell>
          <cell r="E38">
            <v>1000</v>
          </cell>
        </row>
        <row r="39">
          <cell r="B39">
            <v>1306</v>
          </cell>
          <cell r="C39" t="str">
            <v>الهام سليمان فهد الطريمان</v>
          </cell>
          <cell r="D39" t="str">
            <v>شركة ريال البركة للتجارة</v>
          </cell>
          <cell r="E39">
            <v>1000</v>
          </cell>
        </row>
        <row r="40">
          <cell r="B40">
            <v>1307</v>
          </cell>
          <cell r="C40" t="str">
            <v>وفاء عبدالرحمن سعود الجبيرى</v>
          </cell>
          <cell r="D40" t="str">
            <v>شركة ريال البركة للتجارة</v>
          </cell>
          <cell r="E40">
            <v>1000</v>
          </cell>
        </row>
        <row r="41">
          <cell r="B41">
            <v>1308</v>
          </cell>
          <cell r="C41" t="str">
            <v>رولا سعد عبدالله بن هويمل</v>
          </cell>
          <cell r="D41" t="str">
            <v>شركة ريال البركة للتجارة</v>
          </cell>
          <cell r="E41">
            <v>1000</v>
          </cell>
        </row>
        <row r="42">
          <cell r="B42">
            <v>1350</v>
          </cell>
          <cell r="C42" t="str">
            <v>رقيه علي مهدي سماني</v>
          </cell>
          <cell r="D42" t="str">
            <v>مؤسسة سلطان عبدالرحمن صالح الرزيحي للتجارة</v>
          </cell>
          <cell r="E42">
            <v>1000</v>
          </cell>
        </row>
        <row r="43">
          <cell r="B43">
            <v>1355</v>
          </cell>
          <cell r="C43" t="str">
            <v>شهد فهد إبراهيم الرزيحي</v>
          </cell>
          <cell r="D43" t="str">
            <v>مؤسسة سلطان عبدالرحمن صالح الرزيحي للتجارة</v>
          </cell>
          <cell r="E43">
            <v>1200</v>
          </cell>
        </row>
        <row r="44">
          <cell r="B44">
            <v>1356</v>
          </cell>
          <cell r="C44" t="str">
            <v>دانه أحمد صالح المبيريك</v>
          </cell>
          <cell r="D44" t="str">
            <v>مصنع سلطان عبدالرحمن صالح الرزيحي للمنتجات الورقية</v>
          </cell>
          <cell r="E44">
            <v>1000</v>
          </cell>
        </row>
        <row r="45">
          <cell r="B45">
            <v>1357</v>
          </cell>
          <cell r="C45" t="str">
            <v>راويه محمد بن عبده رياني</v>
          </cell>
          <cell r="D45" t="str">
            <v>مؤسسة سلطان عبدالرحمن صالح الرزيحي للتجارة</v>
          </cell>
          <cell r="E45">
            <v>1000</v>
          </cell>
        </row>
        <row r="46">
          <cell r="B46">
            <v>1358</v>
          </cell>
          <cell r="C46" t="str">
            <v>بيان صالح عبدالعزيز العجيان</v>
          </cell>
          <cell r="D46" t="str">
            <v>مؤسسة سلطان عبدالرحمن صالح الرزيحي للتجارة</v>
          </cell>
          <cell r="E46">
            <v>1200</v>
          </cell>
        </row>
        <row r="47">
          <cell r="B47">
            <v>1359</v>
          </cell>
          <cell r="C47" t="str">
            <v>سهام احمد محمد السميح</v>
          </cell>
          <cell r="D47" t="str">
            <v>مؤسسة سلطان عبدالرحمن صالح الرزيحي للتجارة</v>
          </cell>
          <cell r="E47">
            <v>1000</v>
          </cell>
        </row>
        <row r="48">
          <cell r="B48">
            <v>1367</v>
          </cell>
          <cell r="C48" t="str">
            <v>نجد سعد زيد الشايقي</v>
          </cell>
          <cell r="D48" t="str">
            <v>مؤسسة سلطان عبدالرحمن صالح الرزيحي للتجارة</v>
          </cell>
          <cell r="E48">
            <v>1200</v>
          </cell>
        </row>
        <row r="49">
          <cell r="B49">
            <v>1368</v>
          </cell>
          <cell r="C49" t="str">
            <v>شوق مرشد عبدالله ال خرعان</v>
          </cell>
          <cell r="D49" t="str">
            <v>مؤسسة سلطان عبدالرحمن صالح الرزيحي للتجارة</v>
          </cell>
          <cell r="E49">
            <v>1200</v>
          </cell>
        </row>
        <row r="50">
          <cell r="B50">
            <v>1370</v>
          </cell>
          <cell r="C50" t="str">
            <v>رغد زيد سلطان الكثيري</v>
          </cell>
          <cell r="D50" t="str">
            <v>مؤسسة سلطان عبدالرحمن صالح الرزيحي للتجارة</v>
          </cell>
          <cell r="E50">
            <v>1000</v>
          </cell>
        </row>
        <row r="51">
          <cell r="B51">
            <v>1371</v>
          </cell>
          <cell r="C51" t="str">
            <v>لينا ناصر بن محمد المنقور</v>
          </cell>
          <cell r="D51" t="str">
            <v>مؤسسة عبدالرحمن سلطان عبدالرحمن الرزيحي للتجارة</v>
          </cell>
          <cell r="E51">
            <v>1000</v>
          </cell>
        </row>
        <row r="52">
          <cell r="B52">
            <v>1372</v>
          </cell>
          <cell r="C52" t="str">
            <v>لولوه ناصر محمد الخنين</v>
          </cell>
          <cell r="D52" t="str">
            <v>مؤسسة عبدالرحمن سلطان عبدالرحمن الرزيحي للتجارة</v>
          </cell>
          <cell r="E52">
            <v>1000</v>
          </cell>
        </row>
        <row r="53">
          <cell r="B53">
            <v>1374</v>
          </cell>
          <cell r="C53" t="str">
            <v>زهراء مطاعن محمد شيخين</v>
          </cell>
          <cell r="D53" t="str">
            <v>مؤسسة عبدالرحمن سلطان عبدالرحمن الرزيحي للتجارة</v>
          </cell>
          <cell r="E53">
            <v>1000</v>
          </cell>
        </row>
        <row r="54">
          <cell r="B54">
            <v>1375</v>
          </cell>
          <cell r="C54" t="str">
            <v>ريناد احمد محمد جرشي مجرشي</v>
          </cell>
          <cell r="D54" t="str">
            <v>مؤسسة سلطان عبدالرحمن صالح الرزيحي للتجارة</v>
          </cell>
          <cell r="E54">
            <v>1500</v>
          </cell>
        </row>
        <row r="55">
          <cell r="B55">
            <v>1376</v>
          </cell>
          <cell r="C55" t="str">
            <v>ساره عبدالله بن علي الغامدي</v>
          </cell>
          <cell r="D55" t="str">
            <v>مؤسسة سلطان عبدالرحمن صالح الرزيحي للتجارة</v>
          </cell>
          <cell r="E55">
            <v>1500</v>
          </cell>
        </row>
        <row r="56">
          <cell r="B56">
            <v>1377</v>
          </cell>
          <cell r="C56" t="str">
            <v>نوره مرشد عبد الله ال خرعان</v>
          </cell>
          <cell r="D56" t="str">
            <v>مؤسسة عبدالرحمن سلطان عبدالرحمن الرزيحي للتجارة</v>
          </cell>
          <cell r="E56">
            <v>1200</v>
          </cell>
        </row>
        <row r="57">
          <cell r="B57">
            <v>1379</v>
          </cell>
          <cell r="C57" t="str">
            <v>موضي راشد حمد بن دهيش</v>
          </cell>
          <cell r="D57" t="str">
            <v>شركة ريال البركة للتجارة</v>
          </cell>
          <cell r="E57">
            <v>1000</v>
          </cell>
        </row>
        <row r="58">
          <cell r="B58">
            <v>1380</v>
          </cell>
          <cell r="C58" t="str">
            <v>روابي راشد حمد بن دهيش</v>
          </cell>
          <cell r="D58" t="str">
            <v>شركة ريال البركة للتجارة</v>
          </cell>
          <cell r="E58">
            <v>1000</v>
          </cell>
        </row>
        <row r="59">
          <cell r="B59">
            <v>1384</v>
          </cell>
          <cell r="C59" t="str">
            <v>ساره عبدالمحسن عبدالله البجادي</v>
          </cell>
          <cell r="D59" t="str">
            <v>مؤسسة سلطان عبدالرحمن صالح الرزيحي للتجارة</v>
          </cell>
          <cell r="E59">
            <v>1000</v>
          </cell>
        </row>
        <row r="60">
          <cell r="B60">
            <v>1385</v>
          </cell>
          <cell r="C60" t="str">
            <v>فاطمه ابراهيم محمد السريبي</v>
          </cell>
          <cell r="D60" t="str">
            <v>مؤسسة سلطان عبدالرحمن صالح الرزيحي للتجارة</v>
          </cell>
          <cell r="E60">
            <v>1000</v>
          </cell>
        </row>
        <row r="61">
          <cell r="B61">
            <v>1386</v>
          </cell>
          <cell r="C61" t="str">
            <v>مي ابراهيم محمد السريبي</v>
          </cell>
          <cell r="D61" t="str">
            <v>مؤسسة عبدالرحمن سلطان عبدالرحمن الرزيحي للتجارة</v>
          </cell>
          <cell r="E61">
            <v>1000</v>
          </cell>
        </row>
        <row r="62">
          <cell r="B62">
            <v>1388</v>
          </cell>
          <cell r="C62" t="str">
            <v>خديجة مطاعن محمد شيخين</v>
          </cell>
          <cell r="D62" t="str">
            <v>مؤسسة سلطان عبدالرحمن صالح الرزيحي للتجارة</v>
          </cell>
          <cell r="E62">
            <v>1000</v>
          </cell>
        </row>
        <row r="63">
          <cell r="B63">
            <v>1389</v>
          </cell>
          <cell r="C63" t="str">
            <v>افنان صالح بن محمد الحمدي</v>
          </cell>
          <cell r="D63" t="str">
            <v>مؤسسة سلطان عبدالرحمن صالح الرزيحي للتجارة</v>
          </cell>
          <cell r="E63">
            <v>1200</v>
          </cell>
        </row>
        <row r="64">
          <cell r="B64">
            <v>1392</v>
          </cell>
          <cell r="C64" t="str">
            <v>زينب محمد مغيض الحايطي</v>
          </cell>
          <cell r="D64" t="str">
            <v>مؤسسة عبدالرحمن سلطان عبدالرحمن الرزيحي للتجارة</v>
          </cell>
          <cell r="E64">
            <v>1200</v>
          </cell>
        </row>
        <row r="65">
          <cell r="B65">
            <v>1406</v>
          </cell>
          <cell r="C65" t="str">
            <v>مها ناصر سعد المهيدي</v>
          </cell>
          <cell r="D65" t="str">
            <v>شركة ريال البركة للتجارة</v>
          </cell>
          <cell r="E65">
            <v>1000</v>
          </cell>
        </row>
        <row r="66">
          <cell r="B66">
            <v>1435</v>
          </cell>
          <cell r="C66" t="str">
            <v>شما عبدالعزيز عبدالرحمن آل عتيق</v>
          </cell>
          <cell r="D66" t="str">
            <v>شركة أدفان للصناعة ( شركة شخص واحد )</v>
          </cell>
          <cell r="E66">
            <v>0</v>
          </cell>
        </row>
        <row r="67">
          <cell r="B67">
            <v>1447</v>
          </cell>
          <cell r="C67" t="str">
            <v>مبروكة معيوف مرزوق احمد</v>
          </cell>
          <cell r="D67" t="str">
            <v>شركة ريال البركة للتجارة</v>
          </cell>
          <cell r="E67">
            <v>1500</v>
          </cell>
        </row>
        <row r="68">
          <cell r="B68">
            <v>1460</v>
          </cell>
          <cell r="C68" t="str">
            <v>تهاني حمد محمد باجعفر</v>
          </cell>
          <cell r="D68" t="str">
            <v>شركة ريال البركة للتجارة</v>
          </cell>
          <cell r="E68">
            <v>1500</v>
          </cell>
        </row>
        <row r="69">
          <cell r="B69">
            <v>1461</v>
          </cell>
          <cell r="C69" t="str">
            <v>شروق حسن محمد رفاعي</v>
          </cell>
          <cell r="D69" t="str">
            <v>شركة ريال البركة للتجارة</v>
          </cell>
          <cell r="E69">
            <v>1000</v>
          </cell>
        </row>
        <row r="70">
          <cell r="B70"/>
          <cell r="C70"/>
          <cell r="D70"/>
          <cell r="E70"/>
        </row>
        <row r="71">
          <cell r="B71"/>
          <cell r="C71"/>
          <cell r="D71"/>
          <cell r="E71">
            <v>68520</v>
          </cell>
        </row>
        <row r="72">
          <cell r="C72"/>
          <cell r="D72"/>
        </row>
        <row r="73">
          <cell r="C73"/>
          <cell r="D73"/>
        </row>
        <row r="74">
          <cell r="B74"/>
          <cell r="C74"/>
          <cell r="D74"/>
          <cell r="E74"/>
        </row>
        <row r="75">
          <cell r="D75"/>
        </row>
        <row r="76">
          <cell r="D76"/>
        </row>
        <row r="77">
          <cell r="B77"/>
          <cell r="C77"/>
          <cell r="D77"/>
          <cell r="E77"/>
        </row>
        <row r="78">
          <cell r="B78"/>
          <cell r="C78"/>
          <cell r="D78"/>
        </row>
        <row r="79">
          <cell r="B79"/>
          <cell r="C79"/>
          <cell r="D79"/>
        </row>
        <row r="80">
          <cell r="C80"/>
          <cell r="D80"/>
        </row>
        <row r="81">
          <cell r="C81"/>
          <cell r="D81"/>
        </row>
        <row r="82">
          <cell r="C82"/>
          <cell r="D82"/>
        </row>
        <row r="83">
          <cell r="C83"/>
          <cell r="D83"/>
        </row>
        <row r="84">
          <cell r="C84"/>
          <cell r="D84"/>
        </row>
        <row r="85">
          <cell r="C85"/>
          <cell r="D85"/>
        </row>
        <row r="86">
          <cell r="C86"/>
          <cell r="D86"/>
        </row>
        <row r="87">
          <cell r="C87"/>
          <cell r="D87"/>
        </row>
        <row r="88">
          <cell r="C88"/>
          <cell r="D88"/>
        </row>
        <row r="89">
          <cell r="C89"/>
          <cell r="D89"/>
        </row>
        <row r="90">
          <cell r="C90"/>
          <cell r="D90"/>
        </row>
        <row r="91">
          <cell r="C91"/>
          <cell r="D91"/>
        </row>
        <row r="92">
          <cell r="C92"/>
          <cell r="D92"/>
        </row>
        <row r="93">
          <cell r="C93"/>
          <cell r="D93"/>
        </row>
        <row r="94">
          <cell r="C94"/>
          <cell r="D94"/>
        </row>
        <row r="95">
          <cell r="C95"/>
          <cell r="D95"/>
        </row>
        <row r="96">
          <cell r="C96"/>
          <cell r="D96"/>
        </row>
        <row r="97">
          <cell r="C97"/>
          <cell r="D97"/>
        </row>
        <row r="98">
          <cell r="C98"/>
          <cell r="D98"/>
        </row>
        <row r="99">
          <cell r="C99"/>
          <cell r="D99"/>
        </row>
        <row r="100">
          <cell r="C100"/>
          <cell r="D100"/>
        </row>
        <row r="101">
          <cell r="C101"/>
          <cell r="D101"/>
        </row>
        <row r="102">
          <cell r="C102"/>
          <cell r="D102"/>
        </row>
        <row r="103">
          <cell r="C103"/>
          <cell r="D103"/>
        </row>
        <row r="104">
          <cell r="C104"/>
          <cell r="D104"/>
        </row>
        <row r="105">
          <cell r="C105"/>
          <cell r="D105"/>
        </row>
        <row r="106">
          <cell r="C106"/>
          <cell r="D106"/>
        </row>
        <row r="107">
          <cell r="C107"/>
          <cell r="D107"/>
        </row>
        <row r="108">
          <cell r="C108"/>
          <cell r="D108"/>
        </row>
        <row r="109">
          <cell r="C109"/>
          <cell r="D109"/>
        </row>
        <row r="110">
          <cell r="C110"/>
          <cell r="D110"/>
        </row>
        <row r="111">
          <cell r="C111"/>
          <cell r="D111"/>
        </row>
        <row r="112">
          <cell r="C112"/>
          <cell r="D112"/>
        </row>
        <row r="113">
          <cell r="C113"/>
          <cell r="D113"/>
        </row>
        <row r="114">
          <cell r="C114"/>
          <cell r="D114"/>
        </row>
        <row r="115">
          <cell r="C115"/>
          <cell r="D115"/>
        </row>
        <row r="116">
          <cell r="C116"/>
          <cell r="D116"/>
        </row>
        <row r="117">
          <cell r="C117"/>
          <cell r="D117"/>
        </row>
        <row r="118">
          <cell r="C118"/>
          <cell r="D118"/>
        </row>
        <row r="119">
          <cell r="C119"/>
          <cell r="D119"/>
        </row>
        <row r="120">
          <cell r="C120"/>
          <cell r="D120"/>
        </row>
        <row r="121">
          <cell r="C121"/>
          <cell r="D121"/>
        </row>
        <row r="122">
          <cell r="C122"/>
          <cell r="D122"/>
        </row>
        <row r="123">
          <cell r="C123"/>
          <cell r="D123"/>
        </row>
        <row r="124">
          <cell r="C124"/>
          <cell r="D124"/>
        </row>
        <row r="125">
          <cell r="C125"/>
          <cell r="D125"/>
        </row>
        <row r="126">
          <cell r="C126"/>
          <cell r="D126"/>
        </row>
        <row r="127">
          <cell r="C127"/>
          <cell r="D127"/>
        </row>
        <row r="128">
          <cell r="C128"/>
          <cell r="D128"/>
        </row>
        <row r="129">
          <cell r="C129"/>
          <cell r="D129"/>
        </row>
        <row r="130">
          <cell r="C130"/>
          <cell r="D130"/>
        </row>
        <row r="131">
          <cell r="C131"/>
          <cell r="D131"/>
        </row>
        <row r="132">
          <cell r="C132"/>
          <cell r="D132"/>
        </row>
        <row r="133">
          <cell r="C133"/>
          <cell r="D133"/>
        </row>
        <row r="134">
          <cell r="C134"/>
          <cell r="D134"/>
        </row>
        <row r="135">
          <cell r="C135"/>
          <cell r="D135"/>
        </row>
        <row r="136">
          <cell r="C136"/>
          <cell r="D136"/>
        </row>
        <row r="137">
          <cell r="C137"/>
          <cell r="D137"/>
        </row>
        <row r="138">
          <cell r="C138"/>
          <cell r="D138"/>
        </row>
        <row r="139">
          <cell r="C139"/>
          <cell r="D139"/>
        </row>
        <row r="140">
          <cell r="C140"/>
          <cell r="D140"/>
        </row>
        <row r="141">
          <cell r="C141"/>
          <cell r="D141"/>
        </row>
        <row r="142">
          <cell r="C142"/>
          <cell r="D142"/>
        </row>
        <row r="143">
          <cell r="C143"/>
          <cell r="D143"/>
        </row>
        <row r="144">
          <cell r="C144"/>
          <cell r="D144"/>
        </row>
        <row r="145">
          <cell r="C145"/>
          <cell r="D145"/>
        </row>
        <row r="146">
          <cell r="C146"/>
          <cell r="D146"/>
        </row>
        <row r="147">
          <cell r="C147"/>
          <cell r="D147"/>
        </row>
        <row r="148">
          <cell r="C148"/>
          <cell r="D148"/>
        </row>
        <row r="149">
          <cell r="C149"/>
          <cell r="D149"/>
        </row>
        <row r="150">
          <cell r="C150"/>
          <cell r="D150"/>
        </row>
        <row r="151">
          <cell r="C151"/>
          <cell r="D151"/>
        </row>
        <row r="152">
          <cell r="C152"/>
          <cell r="D152"/>
        </row>
        <row r="153">
          <cell r="C153"/>
          <cell r="D153"/>
        </row>
        <row r="154">
          <cell r="C154"/>
          <cell r="D154"/>
        </row>
        <row r="155">
          <cell r="C155"/>
          <cell r="D155"/>
        </row>
        <row r="156">
          <cell r="C156"/>
          <cell r="D156"/>
        </row>
        <row r="157">
          <cell r="C157"/>
          <cell r="D157"/>
        </row>
        <row r="158">
          <cell r="C158"/>
          <cell r="D158"/>
        </row>
        <row r="159">
          <cell r="C159"/>
          <cell r="D159"/>
        </row>
        <row r="160">
          <cell r="C160"/>
          <cell r="D160"/>
        </row>
        <row r="161">
          <cell r="C161"/>
          <cell r="D161"/>
        </row>
        <row r="162">
          <cell r="C162"/>
          <cell r="D162"/>
        </row>
        <row r="163">
          <cell r="C163"/>
          <cell r="D163"/>
        </row>
        <row r="164">
          <cell r="C164"/>
          <cell r="D164"/>
        </row>
        <row r="165">
          <cell r="C165"/>
          <cell r="D165"/>
        </row>
        <row r="166">
          <cell r="C166"/>
          <cell r="D166"/>
        </row>
        <row r="167">
          <cell r="C167"/>
          <cell r="D167"/>
        </row>
        <row r="168">
          <cell r="C168"/>
          <cell r="D168"/>
        </row>
        <row r="169">
          <cell r="C169"/>
          <cell r="D169"/>
        </row>
        <row r="170">
          <cell r="C170"/>
          <cell r="D170"/>
        </row>
        <row r="171">
          <cell r="C171"/>
          <cell r="D171"/>
        </row>
        <row r="172">
          <cell r="C172"/>
          <cell r="D172"/>
        </row>
        <row r="173">
          <cell r="C173"/>
          <cell r="D173"/>
        </row>
        <row r="174">
          <cell r="C174"/>
          <cell r="D174"/>
        </row>
        <row r="175">
          <cell r="C175"/>
          <cell r="D175"/>
        </row>
        <row r="176">
          <cell r="C176"/>
          <cell r="D176"/>
        </row>
        <row r="177">
          <cell r="C177"/>
          <cell r="D177"/>
        </row>
        <row r="178">
          <cell r="C178"/>
          <cell r="D178"/>
        </row>
        <row r="179">
          <cell r="C179"/>
          <cell r="D179"/>
        </row>
        <row r="180">
          <cell r="C180"/>
          <cell r="D180"/>
        </row>
        <row r="181">
          <cell r="C181"/>
          <cell r="D181"/>
        </row>
        <row r="182">
          <cell r="C182"/>
          <cell r="D182"/>
        </row>
        <row r="183">
          <cell r="C183"/>
          <cell r="D183"/>
        </row>
        <row r="184">
          <cell r="C184"/>
          <cell r="D184"/>
        </row>
        <row r="185">
          <cell r="C185"/>
          <cell r="D185"/>
        </row>
        <row r="186">
          <cell r="C186"/>
          <cell r="D186"/>
        </row>
        <row r="187">
          <cell r="C187"/>
          <cell r="D187"/>
        </row>
        <row r="188">
          <cell r="C188"/>
          <cell r="D188"/>
        </row>
        <row r="189">
          <cell r="C189"/>
          <cell r="D189"/>
        </row>
        <row r="190">
          <cell r="C190"/>
          <cell r="D190"/>
        </row>
        <row r="191">
          <cell r="C191"/>
          <cell r="D191"/>
        </row>
        <row r="192">
          <cell r="C192"/>
          <cell r="D192"/>
        </row>
        <row r="193">
          <cell r="C193"/>
          <cell r="D193"/>
        </row>
        <row r="194">
          <cell r="C194"/>
          <cell r="D194"/>
        </row>
        <row r="195">
          <cell r="C195"/>
          <cell r="D195"/>
        </row>
        <row r="196">
          <cell r="C196"/>
          <cell r="D196"/>
        </row>
        <row r="197">
          <cell r="C197"/>
          <cell r="D197"/>
        </row>
        <row r="198">
          <cell r="C198"/>
          <cell r="D198"/>
        </row>
        <row r="199">
          <cell r="C199"/>
          <cell r="D199"/>
        </row>
        <row r="200">
          <cell r="C200"/>
          <cell r="D200"/>
        </row>
        <row r="201">
          <cell r="C201"/>
          <cell r="D201"/>
        </row>
        <row r="202">
          <cell r="C202"/>
          <cell r="D202"/>
        </row>
        <row r="203">
          <cell r="C203"/>
          <cell r="D203"/>
        </row>
        <row r="204">
          <cell r="C204"/>
          <cell r="D204"/>
        </row>
        <row r="205">
          <cell r="C205"/>
          <cell r="D205"/>
        </row>
        <row r="206">
          <cell r="C206"/>
          <cell r="D206"/>
        </row>
        <row r="207">
          <cell r="C207"/>
          <cell r="D207"/>
        </row>
        <row r="208">
          <cell r="C208"/>
          <cell r="D208"/>
        </row>
        <row r="209">
          <cell r="C209"/>
          <cell r="D209"/>
        </row>
        <row r="210">
          <cell r="C210"/>
          <cell r="D210"/>
        </row>
        <row r="211">
          <cell r="C211"/>
          <cell r="D211"/>
        </row>
        <row r="212">
          <cell r="C212"/>
          <cell r="D212"/>
        </row>
        <row r="213">
          <cell r="C213"/>
          <cell r="D213"/>
        </row>
        <row r="214">
          <cell r="C214"/>
          <cell r="D214"/>
        </row>
        <row r="215">
          <cell r="C215"/>
          <cell r="D215"/>
        </row>
        <row r="216">
          <cell r="C216"/>
          <cell r="D216"/>
        </row>
        <row r="217">
          <cell r="C217"/>
          <cell r="D217"/>
        </row>
        <row r="218">
          <cell r="C218"/>
          <cell r="D218"/>
        </row>
        <row r="219">
          <cell r="C219"/>
          <cell r="D219"/>
        </row>
        <row r="220">
          <cell r="C220"/>
          <cell r="D220"/>
        </row>
        <row r="221">
          <cell r="C221"/>
          <cell r="D221"/>
        </row>
        <row r="222">
          <cell r="C222"/>
          <cell r="D222"/>
        </row>
        <row r="223">
          <cell r="C223"/>
          <cell r="D223"/>
        </row>
        <row r="224">
          <cell r="C224"/>
          <cell r="D224"/>
        </row>
        <row r="225">
          <cell r="C225"/>
          <cell r="D225"/>
        </row>
        <row r="226">
          <cell r="C226"/>
          <cell r="D226"/>
        </row>
        <row r="227">
          <cell r="C227"/>
          <cell r="D227"/>
        </row>
        <row r="228">
          <cell r="C228"/>
          <cell r="D228"/>
        </row>
        <row r="229">
          <cell r="C229"/>
          <cell r="D229"/>
        </row>
        <row r="230">
          <cell r="C230"/>
          <cell r="D230"/>
        </row>
        <row r="231">
          <cell r="C231"/>
          <cell r="D231"/>
        </row>
        <row r="232">
          <cell r="C232"/>
          <cell r="D232"/>
        </row>
        <row r="233">
          <cell r="C233"/>
          <cell r="D233"/>
        </row>
        <row r="234">
          <cell r="C234"/>
          <cell r="D234"/>
        </row>
        <row r="235">
          <cell r="C235"/>
          <cell r="D235"/>
        </row>
        <row r="236">
          <cell r="C236"/>
          <cell r="D236"/>
        </row>
        <row r="237">
          <cell r="C237"/>
          <cell r="D237"/>
        </row>
        <row r="238">
          <cell r="C238"/>
          <cell r="D238"/>
        </row>
        <row r="239">
          <cell r="C239"/>
          <cell r="D239"/>
        </row>
        <row r="240">
          <cell r="C240"/>
          <cell r="D240"/>
        </row>
        <row r="241">
          <cell r="C241"/>
          <cell r="D241"/>
        </row>
        <row r="242">
          <cell r="C242"/>
          <cell r="D242"/>
        </row>
        <row r="243">
          <cell r="C243"/>
          <cell r="D243"/>
        </row>
        <row r="244">
          <cell r="C244"/>
          <cell r="D244"/>
        </row>
        <row r="245">
          <cell r="C245"/>
          <cell r="D245"/>
        </row>
        <row r="246">
          <cell r="C246"/>
          <cell r="D246"/>
        </row>
        <row r="247">
          <cell r="C247"/>
          <cell r="D247"/>
        </row>
        <row r="248">
          <cell r="C248"/>
          <cell r="D248"/>
        </row>
        <row r="249">
          <cell r="C249"/>
          <cell r="D249"/>
        </row>
        <row r="250">
          <cell r="C250"/>
          <cell r="D250"/>
        </row>
        <row r="251">
          <cell r="C251"/>
          <cell r="D251"/>
        </row>
        <row r="252">
          <cell r="C252"/>
          <cell r="D252"/>
        </row>
        <row r="253">
          <cell r="C253"/>
          <cell r="D253"/>
        </row>
        <row r="254">
          <cell r="C254"/>
          <cell r="D254"/>
        </row>
        <row r="255">
          <cell r="C255"/>
          <cell r="D255"/>
        </row>
        <row r="256">
          <cell r="C256"/>
          <cell r="D256"/>
        </row>
        <row r="257">
          <cell r="C257"/>
          <cell r="D257"/>
        </row>
        <row r="258">
          <cell r="C258"/>
          <cell r="D258"/>
        </row>
        <row r="259">
          <cell r="C259"/>
          <cell r="D259"/>
        </row>
        <row r="260">
          <cell r="C260"/>
          <cell r="D260"/>
        </row>
        <row r="261">
          <cell r="C261"/>
          <cell r="D261"/>
        </row>
        <row r="262">
          <cell r="C262"/>
          <cell r="D262"/>
        </row>
        <row r="263">
          <cell r="C263"/>
          <cell r="D263"/>
        </row>
        <row r="264">
          <cell r="C264"/>
          <cell r="D264"/>
        </row>
        <row r="265">
          <cell r="C265"/>
          <cell r="D265"/>
        </row>
        <row r="266">
          <cell r="C266"/>
          <cell r="D266"/>
        </row>
        <row r="267">
          <cell r="C267"/>
          <cell r="D267"/>
        </row>
        <row r="268">
          <cell r="C268"/>
          <cell r="D268"/>
        </row>
        <row r="269">
          <cell r="C269"/>
          <cell r="D269"/>
        </row>
        <row r="270">
          <cell r="C270"/>
          <cell r="D270"/>
        </row>
        <row r="271">
          <cell r="C271"/>
          <cell r="D271"/>
        </row>
        <row r="272">
          <cell r="C272"/>
          <cell r="D272"/>
        </row>
        <row r="273">
          <cell r="C273"/>
          <cell r="D273"/>
        </row>
        <row r="274">
          <cell r="C274"/>
          <cell r="D274"/>
        </row>
        <row r="275">
          <cell r="C275"/>
          <cell r="D275"/>
        </row>
        <row r="276">
          <cell r="C276"/>
          <cell r="D276"/>
        </row>
        <row r="277">
          <cell r="C277"/>
          <cell r="D277"/>
        </row>
        <row r="278">
          <cell r="C278"/>
          <cell r="D278"/>
        </row>
        <row r="279">
          <cell r="C279"/>
          <cell r="D279"/>
        </row>
        <row r="280">
          <cell r="C280"/>
          <cell r="D280"/>
        </row>
        <row r="281">
          <cell r="C281"/>
          <cell r="D281"/>
        </row>
        <row r="282">
          <cell r="C282"/>
          <cell r="D282"/>
        </row>
        <row r="283">
          <cell r="C283"/>
          <cell r="D283"/>
        </row>
        <row r="284">
          <cell r="C284"/>
          <cell r="D284"/>
        </row>
        <row r="285">
          <cell r="C285"/>
          <cell r="D285"/>
        </row>
        <row r="286">
          <cell r="C286"/>
          <cell r="D286"/>
        </row>
        <row r="287">
          <cell r="C287"/>
          <cell r="D287"/>
        </row>
        <row r="288">
          <cell r="C288"/>
          <cell r="D288"/>
        </row>
        <row r="289">
          <cell r="C289"/>
          <cell r="D289"/>
        </row>
        <row r="290">
          <cell r="C290"/>
          <cell r="D290"/>
        </row>
        <row r="291">
          <cell r="C291"/>
          <cell r="D291"/>
        </row>
        <row r="292">
          <cell r="C292"/>
          <cell r="D292"/>
        </row>
        <row r="293">
          <cell r="C293"/>
          <cell r="D293"/>
        </row>
        <row r="294">
          <cell r="C294"/>
          <cell r="D294"/>
        </row>
        <row r="295">
          <cell r="C295"/>
          <cell r="D295"/>
        </row>
        <row r="296">
          <cell r="C296"/>
          <cell r="D296"/>
        </row>
        <row r="297">
          <cell r="C297"/>
          <cell r="D297"/>
        </row>
        <row r="298">
          <cell r="C298"/>
          <cell r="D298"/>
        </row>
        <row r="299">
          <cell r="C299"/>
          <cell r="D299"/>
        </row>
        <row r="300">
          <cell r="C300"/>
          <cell r="D300"/>
        </row>
        <row r="301">
          <cell r="C301"/>
          <cell r="D301"/>
        </row>
        <row r="302">
          <cell r="C302"/>
          <cell r="D302"/>
        </row>
        <row r="303">
          <cell r="C303"/>
          <cell r="D303"/>
        </row>
        <row r="304">
          <cell r="C304"/>
          <cell r="D304"/>
        </row>
        <row r="305">
          <cell r="C305"/>
          <cell r="D305"/>
        </row>
        <row r="306">
          <cell r="C306"/>
          <cell r="D306"/>
        </row>
        <row r="307">
          <cell r="C307"/>
          <cell r="D307"/>
        </row>
        <row r="308">
          <cell r="C308"/>
          <cell r="D308"/>
        </row>
        <row r="309">
          <cell r="C309"/>
          <cell r="D309"/>
        </row>
        <row r="310">
          <cell r="C310"/>
          <cell r="D310"/>
        </row>
        <row r="311">
          <cell r="C311"/>
          <cell r="D311"/>
        </row>
        <row r="312">
          <cell r="C312"/>
          <cell r="D312"/>
        </row>
        <row r="313">
          <cell r="C313"/>
          <cell r="D313"/>
        </row>
        <row r="314">
          <cell r="C314"/>
          <cell r="D314"/>
        </row>
        <row r="315">
          <cell r="C315"/>
          <cell r="D315"/>
        </row>
        <row r="316">
          <cell r="C316"/>
          <cell r="D316"/>
        </row>
        <row r="317">
          <cell r="C317"/>
          <cell r="D317"/>
        </row>
        <row r="318">
          <cell r="C318"/>
          <cell r="D318"/>
        </row>
        <row r="319">
          <cell r="C319"/>
          <cell r="D319"/>
        </row>
        <row r="320">
          <cell r="C320"/>
          <cell r="D320"/>
        </row>
        <row r="321">
          <cell r="C321"/>
          <cell r="D321"/>
        </row>
        <row r="322">
          <cell r="C322"/>
          <cell r="D322"/>
        </row>
        <row r="323">
          <cell r="C323"/>
          <cell r="D323"/>
        </row>
        <row r="324">
          <cell r="C324"/>
          <cell r="D324"/>
        </row>
        <row r="325">
          <cell r="C325"/>
          <cell r="D325"/>
        </row>
        <row r="326">
          <cell r="C326"/>
          <cell r="D326"/>
        </row>
        <row r="327">
          <cell r="C327"/>
          <cell r="D327"/>
        </row>
        <row r="328">
          <cell r="C328"/>
          <cell r="D328"/>
        </row>
        <row r="329">
          <cell r="C329"/>
          <cell r="D329"/>
        </row>
        <row r="330">
          <cell r="C330"/>
          <cell r="D330"/>
        </row>
        <row r="331">
          <cell r="C331"/>
          <cell r="D331"/>
        </row>
        <row r="332">
          <cell r="C332"/>
          <cell r="D332"/>
        </row>
        <row r="333">
          <cell r="C333"/>
          <cell r="D333"/>
        </row>
        <row r="334">
          <cell r="C334"/>
          <cell r="D334"/>
        </row>
        <row r="335">
          <cell r="C335"/>
          <cell r="D335"/>
        </row>
        <row r="336">
          <cell r="C336"/>
          <cell r="D336"/>
        </row>
        <row r="337">
          <cell r="C337"/>
          <cell r="D337"/>
        </row>
        <row r="338">
          <cell r="C338"/>
          <cell r="D338"/>
        </row>
        <row r="339">
          <cell r="C339"/>
          <cell r="D339"/>
        </row>
        <row r="340">
          <cell r="C340"/>
          <cell r="D340"/>
        </row>
        <row r="341">
          <cell r="C341"/>
          <cell r="D341"/>
        </row>
        <row r="342">
          <cell r="C342"/>
          <cell r="D342"/>
        </row>
        <row r="343">
          <cell r="C343"/>
          <cell r="D343"/>
        </row>
        <row r="344">
          <cell r="C344"/>
          <cell r="D344"/>
        </row>
        <row r="345">
          <cell r="C345"/>
          <cell r="D345"/>
        </row>
        <row r="346">
          <cell r="C346"/>
          <cell r="D346"/>
        </row>
        <row r="347">
          <cell r="C347"/>
          <cell r="D347"/>
        </row>
        <row r="348">
          <cell r="C348"/>
          <cell r="D348"/>
        </row>
        <row r="349">
          <cell r="C349"/>
          <cell r="D349"/>
        </row>
        <row r="350">
          <cell r="C350"/>
          <cell r="D350"/>
        </row>
        <row r="351">
          <cell r="C351"/>
          <cell r="D351"/>
        </row>
        <row r="352">
          <cell r="C352"/>
          <cell r="D352"/>
        </row>
        <row r="353">
          <cell r="C353"/>
          <cell r="D353"/>
        </row>
        <row r="354">
          <cell r="C354"/>
          <cell r="D354"/>
        </row>
        <row r="355">
          <cell r="C355"/>
          <cell r="D355"/>
        </row>
        <row r="356">
          <cell r="C356"/>
          <cell r="D356"/>
        </row>
        <row r="357">
          <cell r="C357"/>
          <cell r="D357"/>
        </row>
        <row r="358">
          <cell r="C358"/>
          <cell r="D358"/>
        </row>
        <row r="359">
          <cell r="C359"/>
          <cell r="D359"/>
        </row>
        <row r="360">
          <cell r="C360"/>
          <cell r="D360"/>
        </row>
        <row r="361">
          <cell r="C361"/>
          <cell r="D361"/>
        </row>
        <row r="362">
          <cell r="C362"/>
          <cell r="D362"/>
        </row>
        <row r="363">
          <cell r="C363"/>
          <cell r="D363"/>
        </row>
        <row r="364">
          <cell r="C364"/>
          <cell r="D364"/>
        </row>
        <row r="365">
          <cell r="C365"/>
          <cell r="D365"/>
        </row>
        <row r="366">
          <cell r="C366"/>
          <cell r="D366"/>
        </row>
        <row r="367">
          <cell r="C367"/>
          <cell r="D367"/>
        </row>
        <row r="368">
          <cell r="C368"/>
          <cell r="D368"/>
        </row>
        <row r="369">
          <cell r="C369"/>
          <cell r="D369"/>
        </row>
        <row r="370">
          <cell r="C370"/>
          <cell r="D370"/>
        </row>
        <row r="371">
          <cell r="C371"/>
          <cell r="D371"/>
        </row>
        <row r="372">
          <cell r="C372"/>
          <cell r="D372"/>
        </row>
        <row r="373">
          <cell r="C373"/>
          <cell r="D373"/>
        </row>
        <row r="374">
          <cell r="C374"/>
          <cell r="D374"/>
        </row>
        <row r="375">
          <cell r="C375"/>
          <cell r="D375"/>
        </row>
        <row r="376">
          <cell r="C376"/>
          <cell r="D376"/>
        </row>
        <row r="377">
          <cell r="C377"/>
          <cell r="D377"/>
        </row>
        <row r="378">
          <cell r="C378"/>
          <cell r="D378"/>
        </row>
        <row r="379">
          <cell r="C379"/>
          <cell r="D379"/>
        </row>
        <row r="380">
          <cell r="C380"/>
          <cell r="D380"/>
        </row>
        <row r="381">
          <cell r="C381"/>
          <cell r="D381"/>
        </row>
        <row r="382">
          <cell r="C382"/>
          <cell r="D382"/>
        </row>
        <row r="383">
          <cell r="C383"/>
          <cell r="D383"/>
        </row>
        <row r="384">
          <cell r="C384"/>
          <cell r="D384"/>
        </row>
        <row r="385">
          <cell r="C385"/>
          <cell r="D385"/>
        </row>
        <row r="386">
          <cell r="C386"/>
          <cell r="D386"/>
        </row>
        <row r="387">
          <cell r="C387"/>
          <cell r="D387"/>
        </row>
        <row r="388">
          <cell r="C388"/>
          <cell r="D388"/>
        </row>
        <row r="389">
          <cell r="C389"/>
          <cell r="D389"/>
        </row>
        <row r="390">
          <cell r="C390"/>
          <cell r="D390"/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  <row r="396">
          <cell r="C396"/>
          <cell r="D396"/>
        </row>
        <row r="397">
          <cell r="C397"/>
          <cell r="D397"/>
        </row>
        <row r="398">
          <cell r="C398"/>
          <cell r="D398"/>
        </row>
        <row r="399">
          <cell r="C399"/>
          <cell r="D399"/>
        </row>
        <row r="400">
          <cell r="C400"/>
          <cell r="D400"/>
        </row>
        <row r="401">
          <cell r="C401"/>
          <cell r="D401"/>
        </row>
        <row r="402">
          <cell r="C402"/>
          <cell r="D402"/>
        </row>
        <row r="403">
          <cell r="C403"/>
          <cell r="D403"/>
        </row>
        <row r="404">
          <cell r="C404"/>
          <cell r="D404"/>
        </row>
        <row r="405">
          <cell r="C405"/>
          <cell r="D405"/>
        </row>
        <row r="406">
          <cell r="C406"/>
          <cell r="D406"/>
        </row>
        <row r="407">
          <cell r="C407"/>
          <cell r="D407"/>
        </row>
        <row r="408">
          <cell r="C408"/>
          <cell r="D408"/>
        </row>
        <row r="409">
          <cell r="C409"/>
          <cell r="D409"/>
        </row>
        <row r="410">
          <cell r="C410"/>
          <cell r="D410"/>
        </row>
        <row r="411">
          <cell r="C411"/>
          <cell r="D411"/>
        </row>
        <row r="412">
          <cell r="C412"/>
          <cell r="D412"/>
        </row>
        <row r="413">
          <cell r="C413"/>
          <cell r="D413"/>
        </row>
        <row r="414">
          <cell r="C414"/>
          <cell r="D414"/>
        </row>
        <row r="415">
          <cell r="C415"/>
          <cell r="D415"/>
        </row>
        <row r="416">
          <cell r="C416"/>
          <cell r="D416"/>
        </row>
        <row r="417">
          <cell r="C417"/>
          <cell r="D417"/>
        </row>
        <row r="418">
          <cell r="C418"/>
          <cell r="D418"/>
        </row>
        <row r="419">
          <cell r="C419"/>
          <cell r="D419"/>
        </row>
        <row r="420">
          <cell r="C420"/>
          <cell r="D420"/>
        </row>
        <row r="421">
          <cell r="C421"/>
          <cell r="D421"/>
        </row>
        <row r="422">
          <cell r="C422"/>
          <cell r="D422"/>
        </row>
        <row r="423">
          <cell r="C423"/>
          <cell r="D423"/>
        </row>
        <row r="424">
          <cell r="C424"/>
          <cell r="D424"/>
        </row>
        <row r="425">
          <cell r="C425"/>
          <cell r="D425"/>
        </row>
        <row r="426">
          <cell r="C426"/>
          <cell r="D426"/>
        </row>
        <row r="427">
          <cell r="C427"/>
          <cell r="D427"/>
        </row>
        <row r="428">
          <cell r="C428"/>
          <cell r="D428"/>
        </row>
        <row r="429">
          <cell r="C429"/>
          <cell r="D429"/>
        </row>
        <row r="430">
          <cell r="C430"/>
          <cell r="D430"/>
        </row>
        <row r="431">
          <cell r="C431"/>
          <cell r="D431"/>
        </row>
        <row r="432">
          <cell r="C432"/>
          <cell r="D432"/>
        </row>
        <row r="433">
          <cell r="C433"/>
          <cell r="D433"/>
        </row>
        <row r="434">
          <cell r="C434"/>
          <cell r="D434"/>
        </row>
        <row r="435">
          <cell r="C435"/>
          <cell r="D435"/>
        </row>
        <row r="436">
          <cell r="C436"/>
          <cell r="D436"/>
        </row>
        <row r="437">
          <cell r="C437"/>
          <cell r="D437"/>
        </row>
        <row r="438">
          <cell r="C438"/>
          <cell r="D438"/>
        </row>
        <row r="439">
          <cell r="C439"/>
          <cell r="D439"/>
        </row>
        <row r="440">
          <cell r="C440"/>
          <cell r="D440"/>
        </row>
        <row r="441">
          <cell r="C441"/>
          <cell r="D441"/>
        </row>
        <row r="442">
          <cell r="C442"/>
          <cell r="D442"/>
        </row>
        <row r="443">
          <cell r="C443"/>
          <cell r="D443"/>
        </row>
        <row r="444">
          <cell r="C444"/>
          <cell r="D444"/>
        </row>
        <row r="445">
          <cell r="C445"/>
          <cell r="D445"/>
        </row>
        <row r="446">
          <cell r="C446"/>
          <cell r="D446"/>
        </row>
        <row r="447">
          <cell r="C447"/>
          <cell r="D447"/>
        </row>
        <row r="448">
          <cell r="C448"/>
          <cell r="D448"/>
        </row>
        <row r="449">
          <cell r="C449"/>
          <cell r="D449"/>
        </row>
        <row r="450">
          <cell r="C450"/>
          <cell r="D450"/>
        </row>
        <row r="451">
          <cell r="C451"/>
          <cell r="D451"/>
        </row>
        <row r="452">
          <cell r="C452"/>
          <cell r="D452"/>
        </row>
        <row r="453">
          <cell r="C453"/>
          <cell r="D453"/>
        </row>
        <row r="454">
          <cell r="C454"/>
          <cell r="D454"/>
        </row>
        <row r="455">
          <cell r="C455"/>
          <cell r="D455"/>
        </row>
        <row r="456">
          <cell r="C456"/>
          <cell r="D456"/>
        </row>
        <row r="457">
          <cell r="C457"/>
          <cell r="D457"/>
        </row>
        <row r="458">
          <cell r="C458"/>
          <cell r="D458"/>
        </row>
        <row r="459">
          <cell r="C459"/>
          <cell r="D459"/>
        </row>
        <row r="460">
          <cell r="C460"/>
          <cell r="D460"/>
        </row>
        <row r="461">
          <cell r="C461"/>
          <cell r="D461"/>
        </row>
        <row r="462">
          <cell r="C462"/>
          <cell r="D462"/>
        </row>
        <row r="463">
          <cell r="C463"/>
          <cell r="D463"/>
        </row>
        <row r="464">
          <cell r="C464"/>
          <cell r="D464"/>
        </row>
        <row r="465">
          <cell r="C465"/>
          <cell r="D465"/>
        </row>
        <row r="466">
          <cell r="C466"/>
          <cell r="D466"/>
        </row>
        <row r="467">
          <cell r="C467"/>
          <cell r="D467"/>
        </row>
        <row r="468">
          <cell r="C468"/>
          <cell r="D468"/>
        </row>
        <row r="469">
          <cell r="C469"/>
          <cell r="D469"/>
        </row>
        <row r="470">
          <cell r="C470"/>
          <cell r="D470"/>
        </row>
        <row r="471">
          <cell r="C471"/>
          <cell r="D471"/>
        </row>
        <row r="472">
          <cell r="C472"/>
          <cell r="D472"/>
        </row>
        <row r="473">
          <cell r="C473"/>
          <cell r="D473"/>
        </row>
        <row r="474">
          <cell r="C474"/>
          <cell r="D474"/>
        </row>
        <row r="475">
          <cell r="C475"/>
          <cell r="D475"/>
        </row>
        <row r="476">
          <cell r="C476"/>
          <cell r="D476"/>
        </row>
        <row r="477">
          <cell r="C477"/>
          <cell r="D477"/>
        </row>
        <row r="478">
          <cell r="C478"/>
          <cell r="D478"/>
        </row>
        <row r="479">
          <cell r="C479"/>
          <cell r="D479"/>
        </row>
        <row r="480">
          <cell r="C480"/>
          <cell r="D480"/>
        </row>
        <row r="481">
          <cell r="C481"/>
          <cell r="D481"/>
        </row>
        <row r="482">
          <cell r="C482"/>
          <cell r="D482"/>
        </row>
        <row r="483">
          <cell r="C483"/>
          <cell r="D483"/>
        </row>
        <row r="484">
          <cell r="C484"/>
          <cell r="D484"/>
        </row>
        <row r="485">
          <cell r="C485"/>
          <cell r="D485"/>
        </row>
        <row r="486">
          <cell r="C486"/>
          <cell r="D486"/>
        </row>
        <row r="487">
          <cell r="C487"/>
          <cell r="D487"/>
        </row>
        <row r="488">
          <cell r="C488"/>
          <cell r="D488"/>
        </row>
        <row r="489">
          <cell r="C489"/>
          <cell r="D489"/>
        </row>
        <row r="490">
          <cell r="C490"/>
          <cell r="D490"/>
        </row>
        <row r="491">
          <cell r="C491"/>
          <cell r="D491"/>
        </row>
        <row r="492">
          <cell r="C492"/>
          <cell r="D492"/>
        </row>
        <row r="493">
          <cell r="C493"/>
          <cell r="D493"/>
        </row>
        <row r="494">
          <cell r="C494"/>
          <cell r="D494"/>
        </row>
        <row r="495">
          <cell r="C495"/>
          <cell r="D495"/>
        </row>
        <row r="496">
          <cell r="C496"/>
          <cell r="D496"/>
        </row>
        <row r="497">
          <cell r="C497"/>
          <cell r="D497"/>
        </row>
        <row r="498">
          <cell r="C498"/>
          <cell r="D498"/>
        </row>
        <row r="499">
          <cell r="C499"/>
          <cell r="D499"/>
        </row>
        <row r="500">
          <cell r="C500"/>
          <cell r="D500"/>
        </row>
        <row r="501">
          <cell r="C501"/>
          <cell r="D501"/>
        </row>
        <row r="502">
          <cell r="C502"/>
          <cell r="D502"/>
        </row>
        <row r="503">
          <cell r="C503"/>
          <cell r="D503"/>
        </row>
        <row r="504">
          <cell r="C504"/>
          <cell r="D504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ان"/>
      <sheetName val="سكن الادارة"/>
      <sheetName val="الخرج"/>
      <sheetName val="النسيم"/>
      <sheetName val="الدمام"/>
      <sheetName val="الدائري الغربي"/>
      <sheetName val="الشفا"/>
      <sheetName val="الاحساء"/>
      <sheetName val="لبن"/>
      <sheetName val="اليرموك"/>
      <sheetName val="جملة سلطان"/>
      <sheetName val="عكاظ"/>
      <sheetName val="وكالة ممكن"/>
      <sheetName val="كوفي شوب هاينس"/>
      <sheetName val="الاجمالي"/>
    </sheetNames>
    <sheetDataSet>
      <sheetData sheetId="0">
        <row r="6">
          <cell r="B6">
            <v>1108</v>
          </cell>
          <cell r="C6" t="str">
            <v>عمر محمود محمد احمد</v>
          </cell>
          <cell r="D6" t="str">
            <v>الإدارة</v>
          </cell>
          <cell r="E6">
            <v>329.16666666666669</v>
          </cell>
          <cell r="F6">
            <v>41.666666666666664</v>
          </cell>
          <cell r="G6">
            <v>370.83333333333337</v>
          </cell>
        </row>
        <row r="7">
          <cell r="B7">
            <v>1112</v>
          </cell>
          <cell r="C7" t="str">
            <v>طه اسامه طه يسين</v>
          </cell>
          <cell r="D7" t="str">
            <v>الإدارة</v>
          </cell>
          <cell r="E7">
            <v>329.16666666666669</v>
          </cell>
          <cell r="F7">
            <v>41.666666666666664</v>
          </cell>
          <cell r="G7">
            <v>370.83333333333337</v>
          </cell>
        </row>
        <row r="8">
          <cell r="B8">
            <v>1289</v>
          </cell>
          <cell r="C8" t="str">
            <v>محمود صالح حسن عبدالله</v>
          </cell>
          <cell r="D8" t="str">
            <v>هاينس</v>
          </cell>
          <cell r="E8">
            <v>329.16666666666669</v>
          </cell>
          <cell r="F8">
            <v>41.666666666666664</v>
          </cell>
          <cell r="G8">
            <v>370.83333333333337</v>
          </cell>
        </row>
        <row r="9">
          <cell r="B9">
            <v>1291</v>
          </cell>
          <cell r="C9" t="str">
            <v>وائل معوض حفناوي الحفناوي</v>
          </cell>
          <cell r="D9" t="str">
            <v>وكالة ممكن</v>
          </cell>
          <cell r="E9">
            <v>329.16666666666669</v>
          </cell>
          <cell r="F9">
            <v>41.666666666666664</v>
          </cell>
          <cell r="G9">
            <v>370.83333333333337</v>
          </cell>
        </row>
        <row r="10">
          <cell r="B10">
            <v>1006</v>
          </cell>
          <cell r="C10" t="str">
            <v>بلال صالح حمود الفهد</v>
          </cell>
          <cell r="D10" t="str">
            <v>غرناطة</v>
          </cell>
          <cell r="E10">
            <v>187.5</v>
          </cell>
          <cell r="F10">
            <v>41.666666666666664</v>
          </cell>
          <cell r="G10">
            <v>229.16666666666666</v>
          </cell>
        </row>
        <row r="11">
          <cell r="B11">
            <v>1029</v>
          </cell>
          <cell r="C11" t="str">
            <v>محمد رفيق الإسلام</v>
          </cell>
          <cell r="D11" t="str">
            <v>غرناطة</v>
          </cell>
          <cell r="E11">
            <v>187.5</v>
          </cell>
          <cell r="F11">
            <v>41.666666666666664</v>
          </cell>
          <cell r="G11">
            <v>229.16666666666666</v>
          </cell>
        </row>
        <row r="12">
          <cell r="B12">
            <v>1073</v>
          </cell>
          <cell r="C12" t="str">
            <v>محمد عباس علي</v>
          </cell>
          <cell r="D12" t="str">
            <v>غرناطة</v>
          </cell>
          <cell r="E12">
            <v>187.5</v>
          </cell>
          <cell r="F12">
            <v>41.666666666666664</v>
          </cell>
          <cell r="G12">
            <v>229.16666666666666</v>
          </cell>
        </row>
        <row r="13">
          <cell r="B13">
            <v>1088</v>
          </cell>
          <cell r="C13" t="str">
            <v>عطا بول انصاري</v>
          </cell>
          <cell r="D13" t="str">
            <v>غرناطة</v>
          </cell>
          <cell r="E13">
            <v>187.5</v>
          </cell>
          <cell r="F13">
            <v>41.666666666666664</v>
          </cell>
          <cell r="G13">
            <v>229.16666666666666</v>
          </cell>
        </row>
        <row r="14">
          <cell r="B14">
            <v>1001</v>
          </cell>
          <cell r="C14" t="str">
            <v>سنوار عبد المجيد</v>
          </cell>
          <cell r="D14" t="str">
            <v>النسيم</v>
          </cell>
          <cell r="E14">
            <v>291.66666666666669</v>
          </cell>
          <cell r="F14">
            <v>55.55555555555555</v>
          </cell>
          <cell r="G14">
            <v>347.22222222222223</v>
          </cell>
        </row>
        <row r="15">
          <cell r="B15">
            <v>1017</v>
          </cell>
          <cell r="C15" t="str">
            <v>جهانقير عبد الرزاق بادي</v>
          </cell>
          <cell r="D15" t="str">
            <v>النسيم</v>
          </cell>
          <cell r="E15">
            <v>291.66666666666669</v>
          </cell>
          <cell r="F15">
            <v>55.55555555555555</v>
          </cell>
          <cell r="G15">
            <v>347.22222222222223</v>
          </cell>
        </row>
        <row r="16">
          <cell r="B16">
            <v>1026</v>
          </cell>
          <cell r="C16" t="str">
            <v>أنور حسين</v>
          </cell>
          <cell r="D16" t="str">
            <v>النسيم</v>
          </cell>
          <cell r="E16">
            <v>291.66666666666669</v>
          </cell>
          <cell r="F16">
            <v>55.55555555555555</v>
          </cell>
          <cell r="G16">
            <v>347.22222222222223</v>
          </cell>
        </row>
        <row r="17">
          <cell r="B17">
            <v>1012</v>
          </cell>
          <cell r="C17" t="str">
            <v>نوبي امير شيخ</v>
          </cell>
          <cell r="D17" t="str">
            <v>العنود</v>
          </cell>
          <cell r="E17">
            <v>325</v>
          </cell>
          <cell r="F17">
            <v>48.611111111111114</v>
          </cell>
          <cell r="G17">
            <v>373.61111111111109</v>
          </cell>
        </row>
        <row r="18">
          <cell r="B18">
            <v>1035</v>
          </cell>
          <cell r="C18" t="str">
            <v>شاهين هولدير</v>
          </cell>
          <cell r="D18" t="str">
            <v>العنود</v>
          </cell>
          <cell r="E18">
            <v>325</v>
          </cell>
          <cell r="F18">
            <v>48.611111111111114</v>
          </cell>
          <cell r="G18">
            <v>373.61111111111109</v>
          </cell>
        </row>
        <row r="19">
          <cell r="B19">
            <v>1036</v>
          </cell>
          <cell r="C19" t="str">
            <v>عارف نور الإسلام</v>
          </cell>
          <cell r="D19" t="str">
            <v>العنود</v>
          </cell>
          <cell r="E19">
            <v>325</v>
          </cell>
          <cell r="F19">
            <v>48.611111111111114</v>
          </cell>
          <cell r="G19">
            <v>373.61111111111109</v>
          </cell>
        </row>
        <row r="20">
          <cell r="B20">
            <v>1048</v>
          </cell>
          <cell r="C20" t="str">
            <v>محمد شؤيف حسين</v>
          </cell>
          <cell r="D20" t="str">
            <v>العنود</v>
          </cell>
          <cell r="E20">
            <v>325</v>
          </cell>
          <cell r="F20">
            <v>48.611111111111114</v>
          </cell>
          <cell r="G20">
            <v>373.61111111111109</v>
          </cell>
        </row>
        <row r="21">
          <cell r="B21">
            <v>1054</v>
          </cell>
          <cell r="C21" t="str">
            <v>نبيل محمد علي السلمي</v>
          </cell>
          <cell r="D21" t="str">
            <v>العنود</v>
          </cell>
          <cell r="E21">
            <v>325</v>
          </cell>
          <cell r="F21">
            <v>48.611111111111114</v>
          </cell>
          <cell r="G21">
            <v>373.61111111111109</v>
          </cell>
        </row>
        <row r="22">
          <cell r="B22">
            <v>1176</v>
          </cell>
          <cell r="C22" t="str">
            <v>سويل كمال أوسين</v>
          </cell>
          <cell r="D22" t="str">
            <v>العنود</v>
          </cell>
          <cell r="E22">
            <v>325</v>
          </cell>
          <cell r="F22">
            <v>48.611111111111114</v>
          </cell>
          <cell r="G22">
            <v>373.61111111111109</v>
          </cell>
        </row>
        <row r="23">
          <cell r="B23">
            <v>1025</v>
          </cell>
          <cell r="C23" t="str">
            <v>فرهد حسين</v>
          </cell>
          <cell r="D23" t="str">
            <v>الدائري الغربي</v>
          </cell>
          <cell r="E23">
            <v>183.33333333333334</v>
          </cell>
          <cell r="F23">
            <v>38.69047619047619</v>
          </cell>
          <cell r="G23">
            <v>222.02380952380952</v>
          </cell>
        </row>
        <row r="24">
          <cell r="B24">
            <v>1027</v>
          </cell>
          <cell r="C24" t="str">
            <v>محمد شيمون</v>
          </cell>
          <cell r="D24" t="str">
            <v>الدائري الغربي</v>
          </cell>
          <cell r="E24">
            <v>183.33333333333334</v>
          </cell>
          <cell r="F24">
            <v>38.69047619047619</v>
          </cell>
          <cell r="G24">
            <v>222.02380952380952</v>
          </cell>
        </row>
        <row r="25">
          <cell r="B25">
            <v>1028</v>
          </cell>
          <cell r="C25" t="str">
            <v>فاكي أحمد بري خان</v>
          </cell>
          <cell r="D25" t="str">
            <v>الدائري الغربي</v>
          </cell>
          <cell r="E25">
            <v>183.33333333333334</v>
          </cell>
          <cell r="F25">
            <v>38.69047619047619</v>
          </cell>
          <cell r="G25">
            <v>222.02380952380952</v>
          </cell>
        </row>
        <row r="26">
          <cell r="B26">
            <v>1038</v>
          </cell>
          <cell r="C26" t="str">
            <v>محمد عارف حسين</v>
          </cell>
          <cell r="D26" t="str">
            <v>الدائري الغربي</v>
          </cell>
          <cell r="E26">
            <v>183.33333333333334</v>
          </cell>
          <cell r="F26">
            <v>38.69047619047619</v>
          </cell>
          <cell r="G26">
            <v>222.02380952380952</v>
          </cell>
        </row>
        <row r="27">
          <cell r="B27">
            <v>1044</v>
          </cell>
          <cell r="C27" t="str">
            <v>محمد علي فورازي</v>
          </cell>
          <cell r="D27" t="str">
            <v>الدائري الغربي</v>
          </cell>
          <cell r="E27">
            <v>183.33333333333334</v>
          </cell>
          <cell r="F27">
            <v>38.69047619047619</v>
          </cell>
          <cell r="G27">
            <v>222.02380952380952</v>
          </cell>
        </row>
        <row r="28">
          <cell r="B28">
            <v>1056</v>
          </cell>
          <cell r="C28" t="str">
            <v>جمال علي فرحان الفنيني</v>
          </cell>
          <cell r="D28" t="str">
            <v>مستودع ديراب</v>
          </cell>
          <cell r="E28">
            <v>183.33333333333334</v>
          </cell>
          <cell r="F28">
            <v>38.69047619047619</v>
          </cell>
          <cell r="G28">
            <v>222.02380952380952</v>
          </cell>
        </row>
        <row r="29">
          <cell r="B29">
            <v>1063</v>
          </cell>
          <cell r="C29" t="str">
            <v>جميل علي حسن عبدالله</v>
          </cell>
          <cell r="D29" t="str">
            <v>مستودع ديراب</v>
          </cell>
          <cell r="E29">
            <v>183.33333333333334</v>
          </cell>
          <cell r="F29">
            <v>38.69047619047619</v>
          </cell>
          <cell r="G29">
            <v>222.02380952380952</v>
          </cell>
        </row>
        <row r="30">
          <cell r="B30">
            <v>1093</v>
          </cell>
          <cell r="C30" t="str">
            <v>وسيم بري خان</v>
          </cell>
          <cell r="D30" t="str">
            <v>الدائري الغربي</v>
          </cell>
          <cell r="E30">
            <v>183.33333333333334</v>
          </cell>
          <cell r="F30">
            <v>38.69047619047619</v>
          </cell>
          <cell r="G30">
            <v>222.02380952380952</v>
          </cell>
        </row>
        <row r="31">
          <cell r="B31">
            <v>1166</v>
          </cell>
          <cell r="C31" t="str">
            <v>مرسلين مد شفيق الإسلام</v>
          </cell>
          <cell r="D31" t="str">
            <v>الدائري الغربي</v>
          </cell>
          <cell r="E31">
            <v>183.33333333333334</v>
          </cell>
          <cell r="F31">
            <v>38.69047619047619</v>
          </cell>
          <cell r="G31">
            <v>222.02380952380952</v>
          </cell>
        </row>
        <row r="32">
          <cell r="B32">
            <v>1178</v>
          </cell>
          <cell r="C32" t="str">
            <v>محمد حمود محمد علي الراعي</v>
          </cell>
          <cell r="D32" t="str">
            <v>مستودع ديراب</v>
          </cell>
          <cell r="E32">
            <v>183.33333333333334</v>
          </cell>
          <cell r="F32">
            <v>38.69047619047619</v>
          </cell>
          <cell r="G32">
            <v>222.02380952380952</v>
          </cell>
        </row>
        <row r="33">
          <cell r="B33">
            <v>1182</v>
          </cell>
          <cell r="C33" t="str">
            <v>مد زكريا مد ربي الله</v>
          </cell>
          <cell r="D33" t="str">
            <v>الدائري الغربي</v>
          </cell>
          <cell r="E33">
            <v>183.33333333333334</v>
          </cell>
          <cell r="F33">
            <v>38.69047619047619</v>
          </cell>
          <cell r="G33">
            <v>222.02380952380952</v>
          </cell>
        </row>
        <row r="34">
          <cell r="B34">
            <v>1252</v>
          </cell>
          <cell r="C34" t="str">
            <v>مد لامين</v>
          </cell>
          <cell r="D34" t="str">
            <v>الدائري الغربي</v>
          </cell>
          <cell r="E34">
            <v>183.33333333333334</v>
          </cell>
          <cell r="F34">
            <v>38.69047619047619</v>
          </cell>
          <cell r="G34">
            <v>222.02380952380952</v>
          </cell>
        </row>
        <row r="35">
          <cell r="B35">
            <v>1293</v>
          </cell>
          <cell r="C35" t="str">
            <v>محمد ضيف الله محمد يحيى</v>
          </cell>
          <cell r="D35" t="str">
            <v>الدائري الغربي</v>
          </cell>
          <cell r="E35">
            <v>183.33333333333334</v>
          </cell>
          <cell r="F35">
            <v>38.69047619047619</v>
          </cell>
          <cell r="G35">
            <v>222.02380952380952</v>
          </cell>
        </row>
        <row r="36">
          <cell r="B36">
            <v>1031</v>
          </cell>
          <cell r="C36" t="str">
            <v>أبو بكر عبد اللطيف</v>
          </cell>
          <cell r="D36" t="str">
            <v>الشفا</v>
          </cell>
          <cell r="E36">
            <v>220.23809523809521</v>
          </cell>
          <cell r="F36">
            <v>35.714285714285715</v>
          </cell>
          <cell r="G36">
            <v>255.95238095238093</v>
          </cell>
        </row>
        <row r="37">
          <cell r="B37">
            <v>1065</v>
          </cell>
          <cell r="C37" t="str">
            <v>عمر محمد عبده علي السلمي</v>
          </cell>
          <cell r="D37" t="str">
            <v>الشفا</v>
          </cell>
          <cell r="E37">
            <v>220.23809523809521</v>
          </cell>
          <cell r="F37">
            <v>35.714285714285715</v>
          </cell>
          <cell r="G37">
            <v>255.95238095238093</v>
          </cell>
        </row>
        <row r="38">
          <cell r="B38">
            <v>1079</v>
          </cell>
          <cell r="C38" t="str">
            <v>خالق عبد الرشيد</v>
          </cell>
          <cell r="D38" t="str">
            <v>الشفا</v>
          </cell>
          <cell r="E38">
            <v>220.23809523809521</v>
          </cell>
          <cell r="F38">
            <v>35.714285714285715</v>
          </cell>
          <cell r="G38">
            <v>255.95238095238093</v>
          </cell>
        </row>
        <row r="39">
          <cell r="B39">
            <v>1091</v>
          </cell>
          <cell r="C39" t="str">
            <v>محمد مأمون حسين</v>
          </cell>
          <cell r="D39" t="str">
            <v>الشفا</v>
          </cell>
          <cell r="E39">
            <v>220.23809523809521</v>
          </cell>
          <cell r="F39">
            <v>35.714285714285715</v>
          </cell>
          <cell r="G39">
            <v>255.95238095238093</v>
          </cell>
        </row>
        <row r="40">
          <cell r="B40">
            <v>1095</v>
          </cell>
          <cell r="C40" t="str">
            <v>سري بيدان ساركار</v>
          </cell>
          <cell r="D40" t="str">
            <v>الشفا</v>
          </cell>
          <cell r="E40">
            <v>220.23809523809521</v>
          </cell>
          <cell r="F40">
            <v>35.714285714285715</v>
          </cell>
          <cell r="G40">
            <v>255.95238095238093</v>
          </cell>
        </row>
        <row r="41">
          <cell r="B41">
            <v>1102</v>
          </cell>
          <cell r="C41" t="str">
            <v>مجيد مياه عبدال حنان</v>
          </cell>
          <cell r="D41" t="str">
            <v>الشفا</v>
          </cell>
          <cell r="E41">
            <v>220.23809523809521</v>
          </cell>
          <cell r="F41">
            <v>35.714285714285715</v>
          </cell>
          <cell r="G41">
            <v>255.95238095238093</v>
          </cell>
        </row>
        <row r="42">
          <cell r="B42">
            <v>1167</v>
          </cell>
          <cell r="C42" t="str">
            <v>حمزه قايد غالب المليكي</v>
          </cell>
          <cell r="D42" t="str">
            <v>الشفا</v>
          </cell>
          <cell r="E42">
            <v>220.23809523809521</v>
          </cell>
          <cell r="F42">
            <v>35.714285714285715</v>
          </cell>
          <cell r="G42">
            <v>255.95238095238093</v>
          </cell>
        </row>
        <row r="43">
          <cell r="B43">
            <v>1094</v>
          </cell>
          <cell r="C43" t="str">
            <v>بلال حوسان سيفال</v>
          </cell>
          <cell r="D43" t="str">
            <v>الأندلس</v>
          </cell>
          <cell r="E43">
            <v>333.33333333333331</v>
          </cell>
          <cell r="F43">
            <v>166.66666666666666</v>
          </cell>
          <cell r="G43">
            <v>500</v>
          </cell>
        </row>
        <row r="44">
          <cell r="B44">
            <v>1096</v>
          </cell>
          <cell r="C44" t="str">
            <v>محمد أنس علي</v>
          </cell>
          <cell r="D44" t="str">
            <v>الأندلس</v>
          </cell>
          <cell r="E44">
            <v>333.33333333333331</v>
          </cell>
          <cell r="F44">
            <v>166.66666666666666</v>
          </cell>
          <cell r="G44">
            <v>500</v>
          </cell>
        </row>
        <row r="45">
          <cell r="B45">
            <v>1111</v>
          </cell>
          <cell r="C45" t="str">
            <v>أبو طاهر أبو الحسم</v>
          </cell>
          <cell r="D45" t="str">
            <v>الأندلس</v>
          </cell>
          <cell r="E45">
            <v>333.33333333333331</v>
          </cell>
          <cell r="F45">
            <v>166.66666666666666</v>
          </cell>
          <cell r="G45">
            <v>500</v>
          </cell>
        </row>
        <row r="46">
          <cell r="B46">
            <v>1081</v>
          </cell>
          <cell r="C46" t="str">
            <v>حسام حسن عبده الحاج حزام</v>
          </cell>
          <cell r="D46" t="str">
            <v>لبن</v>
          </cell>
          <cell r="E46">
            <v>375</v>
          </cell>
          <cell r="F46">
            <v>31.25</v>
          </cell>
          <cell r="G46">
            <v>406.25</v>
          </cell>
        </row>
        <row r="47">
          <cell r="B47">
            <v>1090</v>
          </cell>
          <cell r="C47" t="str">
            <v>شاة بران</v>
          </cell>
          <cell r="D47" t="str">
            <v>لبن</v>
          </cell>
          <cell r="E47">
            <v>375</v>
          </cell>
          <cell r="F47">
            <v>31.25</v>
          </cell>
          <cell r="G47">
            <v>406.25</v>
          </cell>
        </row>
        <row r="48">
          <cell r="B48">
            <v>1097</v>
          </cell>
          <cell r="C48" t="str">
            <v>مد شبوزا</v>
          </cell>
          <cell r="D48" t="str">
            <v>لبن</v>
          </cell>
          <cell r="E48">
            <v>375</v>
          </cell>
          <cell r="F48">
            <v>31.25</v>
          </cell>
          <cell r="G48">
            <v>406.25</v>
          </cell>
        </row>
        <row r="49">
          <cell r="B49">
            <v>1098</v>
          </cell>
          <cell r="C49" t="str">
            <v>محمد فاروق حسين</v>
          </cell>
          <cell r="D49" t="str">
            <v>لبن</v>
          </cell>
          <cell r="E49">
            <v>375</v>
          </cell>
          <cell r="F49">
            <v>31.25</v>
          </cell>
          <cell r="G49">
            <v>406.25</v>
          </cell>
        </row>
        <row r="50">
          <cell r="B50">
            <v>1058</v>
          </cell>
          <cell r="C50" t="str">
            <v>ألمغير حسين</v>
          </cell>
          <cell r="D50" t="str">
            <v>اليرموك</v>
          </cell>
          <cell r="E50">
            <v>312.5</v>
          </cell>
          <cell r="F50">
            <v>52.083333333333336</v>
          </cell>
          <cell r="G50">
            <v>364.58333333333331</v>
          </cell>
        </row>
        <row r="51">
          <cell r="B51">
            <v>1071</v>
          </cell>
          <cell r="C51" t="str">
            <v>أحمد أحمد عبدالله أحمد</v>
          </cell>
          <cell r="D51" t="str">
            <v>اليرموك</v>
          </cell>
          <cell r="E51">
            <v>312.5</v>
          </cell>
          <cell r="F51">
            <v>52.083333333333336</v>
          </cell>
          <cell r="G51">
            <v>364.58333333333331</v>
          </cell>
        </row>
        <row r="52">
          <cell r="B52">
            <v>1072</v>
          </cell>
          <cell r="C52" t="str">
            <v>محمد أحمد محمد عبد القوي الزيادي</v>
          </cell>
          <cell r="D52" t="str">
            <v>اليرموك</v>
          </cell>
          <cell r="E52">
            <v>312.5</v>
          </cell>
          <cell r="F52">
            <v>52.083333333333336</v>
          </cell>
          <cell r="G52">
            <v>364.58333333333331</v>
          </cell>
        </row>
        <row r="53">
          <cell r="B53">
            <v>1239</v>
          </cell>
          <cell r="C53" t="str">
            <v>جابر محمد ناجي علي مراد</v>
          </cell>
          <cell r="D53" t="str">
            <v>اليرموك</v>
          </cell>
          <cell r="E53">
            <v>312.5</v>
          </cell>
          <cell r="F53">
            <v>52.083333333333336</v>
          </cell>
          <cell r="G53">
            <v>364.58333333333331</v>
          </cell>
        </row>
        <row r="54">
          <cell r="B54">
            <v>1005</v>
          </cell>
          <cell r="C54" t="str">
            <v>عبدالسلام محمد سعيد ناجي</v>
          </cell>
          <cell r="D54" t="str">
            <v>جملة سلطان/السويلم</v>
          </cell>
          <cell r="E54">
            <v>312.5</v>
          </cell>
          <cell r="F54">
            <v>104.16666666666667</v>
          </cell>
          <cell r="G54">
            <v>416.66666666666669</v>
          </cell>
        </row>
        <row r="55">
          <cell r="B55">
            <v>1010</v>
          </cell>
          <cell r="C55" t="str">
            <v>تفضل ولي</v>
          </cell>
          <cell r="D55" t="str">
            <v>جملة سلطان/السويلم</v>
          </cell>
          <cell r="E55">
            <v>312.5</v>
          </cell>
          <cell r="F55">
            <v>104.16666666666667</v>
          </cell>
          <cell r="G55">
            <v>416.66666666666669</v>
          </cell>
        </row>
        <row r="56">
          <cell r="B56">
            <v>1004</v>
          </cell>
          <cell r="C56" t="str">
            <v>مصطفى عبده علي صالح</v>
          </cell>
          <cell r="D56" t="str">
            <v>مستودع ديراب</v>
          </cell>
          <cell r="E56">
            <v>96.491228070175438</v>
          </cell>
          <cell r="F56">
            <v>35.087719298245609</v>
          </cell>
          <cell r="G56">
            <v>131.57894736842104</v>
          </cell>
        </row>
        <row r="57">
          <cell r="B57">
            <v>1009</v>
          </cell>
          <cell r="C57" t="str">
            <v>اسد الزمان علي</v>
          </cell>
          <cell r="D57" t="str">
            <v>أونلاين</v>
          </cell>
          <cell r="E57">
            <v>96.491228070175438</v>
          </cell>
          <cell r="F57">
            <v>35.087719298245609</v>
          </cell>
          <cell r="G57">
            <v>131.57894736842104</v>
          </cell>
        </row>
        <row r="58">
          <cell r="B58">
            <v>1015</v>
          </cell>
          <cell r="C58" t="str">
            <v>عجيب بيلافي</v>
          </cell>
          <cell r="D58" t="str">
            <v>مستودع عكاظ 20</v>
          </cell>
          <cell r="E58">
            <v>96.491228070175438</v>
          </cell>
          <cell r="F58">
            <v>35.087719298245609</v>
          </cell>
          <cell r="G58">
            <v>131.57894736842104</v>
          </cell>
        </row>
        <row r="59">
          <cell r="B59">
            <v>1047</v>
          </cell>
          <cell r="C59" t="str">
            <v>هشام عثمان موسى احمد</v>
          </cell>
          <cell r="D59" t="str">
            <v>مستودع عكاظ 20</v>
          </cell>
          <cell r="E59">
            <v>96.491228070175438</v>
          </cell>
          <cell r="F59">
            <v>35.087719298245609</v>
          </cell>
          <cell r="G59">
            <v>131.57894736842104</v>
          </cell>
        </row>
        <row r="60">
          <cell r="B60">
            <v>1034</v>
          </cell>
          <cell r="C60" t="str">
            <v>مد ميلون باطوري</v>
          </cell>
          <cell r="D60" t="str">
            <v>أونلاين</v>
          </cell>
          <cell r="E60">
            <v>96.491228070175438</v>
          </cell>
          <cell r="F60">
            <v>35.087719298245609</v>
          </cell>
          <cell r="G60">
            <v>131.57894736842104</v>
          </cell>
        </row>
        <row r="61">
          <cell r="B61">
            <v>1041</v>
          </cell>
          <cell r="C61" t="str">
            <v>محمد عارف الإسلام</v>
          </cell>
          <cell r="D61" t="str">
            <v>مستودع جملة سلطان</v>
          </cell>
          <cell r="E61">
            <v>96.491228070175438</v>
          </cell>
          <cell r="F61">
            <v>35.087719298245609</v>
          </cell>
          <cell r="G61">
            <v>131.57894736842104</v>
          </cell>
        </row>
        <row r="62">
          <cell r="B62">
            <v>1066</v>
          </cell>
          <cell r="C62" t="str">
            <v>محمد عبدالله حسين محمد السيد</v>
          </cell>
          <cell r="D62" t="str">
            <v>مستودع عكاظ 20</v>
          </cell>
          <cell r="E62">
            <v>96.491228070175438</v>
          </cell>
          <cell r="F62">
            <v>35.087719298245609</v>
          </cell>
          <cell r="G62">
            <v>131.57894736842104</v>
          </cell>
        </row>
        <row r="63">
          <cell r="B63">
            <v>1067</v>
          </cell>
          <cell r="C63" t="str">
            <v>شوقي النور مصطفي أحمد</v>
          </cell>
          <cell r="D63" t="str">
            <v>مستودع جملة سلطان</v>
          </cell>
          <cell r="E63">
            <v>96.491228070175438</v>
          </cell>
          <cell r="F63">
            <v>35.087719298245609</v>
          </cell>
          <cell r="G63">
            <v>131.57894736842104</v>
          </cell>
        </row>
        <row r="64">
          <cell r="B64">
            <v>1076</v>
          </cell>
          <cell r="C64" t="str">
            <v>ايمان حسين</v>
          </cell>
          <cell r="D64" t="str">
            <v>مستودع جملة سلطان</v>
          </cell>
          <cell r="E64">
            <v>96.491228070175438</v>
          </cell>
          <cell r="F64">
            <v>35.087719298245609</v>
          </cell>
          <cell r="G64">
            <v>131.57894736842104</v>
          </cell>
        </row>
        <row r="65">
          <cell r="B65">
            <v>1082</v>
          </cell>
          <cell r="C65" t="str">
            <v>امجد حسين صديقي</v>
          </cell>
          <cell r="D65" t="str">
            <v>مستودع جملة سلطان</v>
          </cell>
          <cell r="E65">
            <v>96.491228070175438</v>
          </cell>
          <cell r="F65">
            <v>35.087719298245609</v>
          </cell>
          <cell r="G65">
            <v>131.57894736842104</v>
          </cell>
        </row>
        <row r="66">
          <cell r="B66">
            <v>1085</v>
          </cell>
          <cell r="C66" t="str">
            <v>شيخ احمد علام</v>
          </cell>
          <cell r="D66" t="str">
            <v>مستودع جملة سلطان</v>
          </cell>
          <cell r="E66">
            <v>96.491228070175438</v>
          </cell>
          <cell r="F66">
            <v>35.087719298245609</v>
          </cell>
          <cell r="G66">
            <v>131.57894736842104</v>
          </cell>
        </row>
        <row r="67">
          <cell r="B67">
            <v>1087</v>
          </cell>
          <cell r="C67" t="str">
            <v>ضيا انصاري</v>
          </cell>
          <cell r="D67" t="str">
            <v>مستودع جملة سلطان</v>
          </cell>
          <cell r="E67">
            <v>96.491228070175438</v>
          </cell>
          <cell r="F67">
            <v>35.087719298245609</v>
          </cell>
          <cell r="G67">
            <v>131.57894736842104</v>
          </cell>
        </row>
        <row r="68">
          <cell r="B68">
            <v>1092</v>
          </cell>
          <cell r="C68" t="str">
            <v>اسف علم كندي عبد الستار</v>
          </cell>
          <cell r="D68" t="str">
            <v>الإدارة</v>
          </cell>
          <cell r="E68">
            <v>96.491228070175438</v>
          </cell>
          <cell r="F68">
            <v>35.087719298245609</v>
          </cell>
          <cell r="G68">
            <v>131.57894736842104</v>
          </cell>
        </row>
        <row r="69">
          <cell r="B69">
            <v>1113</v>
          </cell>
          <cell r="C69" t="str">
            <v>عمار عبدالغني صادق حمود الجعمي</v>
          </cell>
          <cell r="D69" t="str">
            <v>أونلاين</v>
          </cell>
          <cell r="E69">
            <v>96.491228070175438</v>
          </cell>
          <cell r="F69">
            <v>35.087719298245609</v>
          </cell>
          <cell r="G69">
            <v>131.57894736842104</v>
          </cell>
        </row>
        <row r="70">
          <cell r="B70">
            <v>1125</v>
          </cell>
          <cell r="C70" t="str">
            <v>محمد عبدالسلام محمد سيف العامري</v>
          </cell>
          <cell r="D70" t="str">
            <v>مستودع جملة سلطان</v>
          </cell>
          <cell r="E70">
            <v>96.491228070175438</v>
          </cell>
          <cell r="F70">
            <v>35.087719298245609</v>
          </cell>
          <cell r="G70">
            <v>131.57894736842104</v>
          </cell>
        </row>
        <row r="71">
          <cell r="B71">
            <v>1132</v>
          </cell>
          <cell r="C71" t="str">
            <v>عزالدين عبدالله موسي الفكي</v>
          </cell>
          <cell r="D71" t="str">
            <v>مستودع عكاظ 20</v>
          </cell>
          <cell r="E71">
            <v>96.491228070175438</v>
          </cell>
          <cell r="F71">
            <v>35.087719298245609</v>
          </cell>
          <cell r="G71">
            <v>131.57894736842104</v>
          </cell>
        </row>
        <row r="72">
          <cell r="B72">
            <v>1142</v>
          </cell>
          <cell r="C72" t="str">
            <v>معتز عصام الصافي الرضي</v>
          </cell>
          <cell r="D72" t="str">
            <v>أونلاين</v>
          </cell>
          <cell r="E72">
            <v>96.491228070175438</v>
          </cell>
          <cell r="F72">
            <v>35.087719298245609</v>
          </cell>
          <cell r="G72">
            <v>131.57894736842104</v>
          </cell>
        </row>
        <row r="73">
          <cell r="B73">
            <v>1158</v>
          </cell>
          <cell r="C73" t="str">
            <v>محمد كوثر</v>
          </cell>
          <cell r="D73" t="str">
            <v>المدير العام</v>
          </cell>
          <cell r="E73">
            <v>96.491228070175438</v>
          </cell>
          <cell r="F73">
            <v>35.087719298245609</v>
          </cell>
          <cell r="G73">
            <v>131.57894736842104</v>
          </cell>
        </row>
        <row r="74">
          <cell r="B74">
            <v>1173</v>
          </cell>
          <cell r="C74" t="str">
            <v>اسامه عبدالقوي محسن احمد القاضي</v>
          </cell>
          <cell r="D74" t="str">
            <v>مستودع جملة سلطان</v>
          </cell>
          <cell r="E74">
            <v>96.491228070175438</v>
          </cell>
          <cell r="F74">
            <v>35.087719298245609</v>
          </cell>
          <cell r="G74">
            <v>131.57894736842104</v>
          </cell>
        </row>
        <row r="75">
          <cell r="B75">
            <v>1181</v>
          </cell>
          <cell r="C75" t="str">
            <v>أحمد سليمان محمد عبد المنعم</v>
          </cell>
          <cell r="D75" t="str">
            <v>وكالة ممكن</v>
          </cell>
          <cell r="E75">
            <v>347.29166666666669</v>
          </cell>
          <cell r="F75">
            <v>173.64583333333334</v>
          </cell>
          <cell r="G75">
            <v>520.9375</v>
          </cell>
        </row>
        <row r="76">
          <cell r="B76">
            <v>1184</v>
          </cell>
          <cell r="C76" t="str">
            <v>يوسف ناجي حزام فازع</v>
          </cell>
          <cell r="D76" t="str">
            <v>وكالة ممكن</v>
          </cell>
          <cell r="E76">
            <v>347.29166666666669</v>
          </cell>
          <cell r="F76">
            <v>173.64583333333334</v>
          </cell>
          <cell r="G76">
            <v>520.9375</v>
          </cell>
        </row>
        <row r="77">
          <cell r="B77">
            <v>1185</v>
          </cell>
          <cell r="C77" t="str">
            <v>سيف الدين مصطفي معوض محمد</v>
          </cell>
          <cell r="D77" t="str">
            <v>وكالة ممكن</v>
          </cell>
          <cell r="E77">
            <v>347.29166666666669</v>
          </cell>
          <cell r="F77">
            <v>173.64583333333334</v>
          </cell>
          <cell r="G77">
            <v>520.9375</v>
          </cell>
        </row>
        <row r="78">
          <cell r="B78">
            <v>1267</v>
          </cell>
          <cell r="C78" t="str">
            <v>محمد سيد عبدالعظيم سليمان</v>
          </cell>
          <cell r="D78" t="str">
            <v>وكالة ممكن</v>
          </cell>
          <cell r="E78">
            <v>347.29166666666669</v>
          </cell>
          <cell r="F78">
            <v>173.64583333333334</v>
          </cell>
          <cell r="G78">
            <v>520.9375</v>
          </cell>
        </row>
        <row r="79">
          <cell r="B79">
            <v>1077</v>
          </cell>
          <cell r="C79" t="str">
            <v>رابي حسين</v>
          </cell>
          <cell r="D79" t="str">
            <v>هاينس</v>
          </cell>
          <cell r="E79">
            <v>92.594444444444449</v>
          </cell>
          <cell r="F79">
            <v>46.297222222222224</v>
          </cell>
          <cell r="G79">
            <v>138.89166666666668</v>
          </cell>
        </row>
        <row r="80">
          <cell r="B80">
            <v>1168</v>
          </cell>
          <cell r="C80" t="str">
            <v>ليون مياه</v>
          </cell>
          <cell r="D80" t="str">
            <v>هاينس</v>
          </cell>
          <cell r="E80">
            <v>92.594444444444449</v>
          </cell>
          <cell r="F80">
            <v>46.297222222222224</v>
          </cell>
          <cell r="G80">
            <v>138.89166666666668</v>
          </cell>
        </row>
        <row r="81">
          <cell r="B81">
            <v>1169</v>
          </cell>
          <cell r="C81" t="str">
            <v>مد راسل</v>
          </cell>
          <cell r="D81" t="str">
            <v>هاينس</v>
          </cell>
          <cell r="E81">
            <v>92.594444444444449</v>
          </cell>
          <cell r="F81">
            <v>46.297222222222224</v>
          </cell>
          <cell r="G81">
            <v>138.89166666666668</v>
          </cell>
        </row>
        <row r="82">
          <cell r="B82">
            <v>1170</v>
          </cell>
          <cell r="C82" t="str">
            <v>ياسين عرفات</v>
          </cell>
          <cell r="D82" t="str">
            <v>هاينس</v>
          </cell>
          <cell r="E82">
            <v>92.594444444444449</v>
          </cell>
          <cell r="F82">
            <v>46.297222222222224</v>
          </cell>
          <cell r="G82">
            <v>138.89166666666668</v>
          </cell>
        </row>
        <row r="83">
          <cell r="B83">
            <v>1171</v>
          </cell>
          <cell r="C83" t="str">
            <v>صفايات حسين</v>
          </cell>
          <cell r="D83" t="str">
            <v>هاينس</v>
          </cell>
          <cell r="E83">
            <v>92.594444444444449</v>
          </cell>
          <cell r="F83">
            <v>46.297222222222224</v>
          </cell>
          <cell r="G83">
            <v>138.89166666666668</v>
          </cell>
        </row>
        <row r="84">
          <cell r="B84">
            <v>1177</v>
          </cell>
          <cell r="C84" t="str">
            <v>محفوظ ال رحمان</v>
          </cell>
          <cell r="D84" t="str">
            <v>هاينس</v>
          </cell>
          <cell r="E84">
            <v>92.594444444444449</v>
          </cell>
          <cell r="F84">
            <v>46.297222222222224</v>
          </cell>
          <cell r="G84">
            <v>138.89166666666668</v>
          </cell>
        </row>
        <row r="85">
          <cell r="B85">
            <v>1183</v>
          </cell>
          <cell r="C85" t="str">
            <v>زكرياء تعلي</v>
          </cell>
          <cell r="D85" t="str">
            <v>هاينس</v>
          </cell>
          <cell r="E85">
            <v>92.594444444444449</v>
          </cell>
          <cell r="F85">
            <v>46.297222222222224</v>
          </cell>
          <cell r="G85">
            <v>138.89166666666668</v>
          </cell>
        </row>
        <row r="86">
          <cell r="B86">
            <v>1186</v>
          </cell>
          <cell r="C86" t="str">
            <v>ميد أنعام ال حقي</v>
          </cell>
          <cell r="D86" t="str">
            <v>هاينس</v>
          </cell>
          <cell r="E86">
            <v>92.594444444444449</v>
          </cell>
          <cell r="F86">
            <v>46.297222222222224</v>
          </cell>
          <cell r="G86">
            <v>138.89166666666668</v>
          </cell>
        </row>
        <row r="87">
          <cell r="B87">
            <v>1187</v>
          </cell>
          <cell r="C87" t="str">
            <v>مد إبراهيم هارون رشيد</v>
          </cell>
          <cell r="D87" t="str">
            <v>هاينس</v>
          </cell>
          <cell r="E87">
            <v>92.594444444444449</v>
          </cell>
          <cell r="F87">
            <v>46.297222222222224</v>
          </cell>
          <cell r="G87">
            <v>138.89166666666668</v>
          </cell>
        </row>
        <row r="88">
          <cell r="B88">
            <v>1188</v>
          </cell>
          <cell r="C88" t="str">
            <v>نازميل حسين حسين حسين</v>
          </cell>
          <cell r="D88" t="str">
            <v>هاينس</v>
          </cell>
          <cell r="E88">
            <v>92.594444444444449</v>
          </cell>
          <cell r="F88">
            <v>46.297222222222224</v>
          </cell>
          <cell r="G88">
            <v>138.89166666666668</v>
          </cell>
        </row>
        <row r="89">
          <cell r="B89">
            <v>1190</v>
          </cell>
          <cell r="C89" t="str">
            <v>منصور آيت بنكوهية</v>
          </cell>
          <cell r="D89" t="str">
            <v>هاينس</v>
          </cell>
          <cell r="E89">
            <v>92.594444444444449</v>
          </cell>
          <cell r="F89">
            <v>46.297222222222224</v>
          </cell>
          <cell r="G89">
            <v>138.89166666666668</v>
          </cell>
        </row>
        <row r="90">
          <cell r="B90">
            <v>1218</v>
          </cell>
          <cell r="C90" t="str">
            <v>كليم حسين أي بي رشيد</v>
          </cell>
          <cell r="D90" t="str">
            <v>هاينس</v>
          </cell>
          <cell r="E90">
            <v>92.594444444444449</v>
          </cell>
          <cell r="F90">
            <v>46.297222222222224</v>
          </cell>
          <cell r="G90">
            <v>138.89166666666668</v>
          </cell>
        </row>
        <row r="91">
          <cell r="B91">
            <v>1219</v>
          </cell>
          <cell r="C91" t="str">
            <v>جايد حسن</v>
          </cell>
          <cell r="D91" t="str">
            <v>هاينس</v>
          </cell>
          <cell r="E91">
            <v>92.594444444444449</v>
          </cell>
          <cell r="F91">
            <v>46.297222222222224</v>
          </cell>
          <cell r="G91">
            <v>138.89166666666668</v>
          </cell>
        </row>
        <row r="92">
          <cell r="B92">
            <v>1220</v>
          </cell>
          <cell r="C92" t="str">
            <v>مد جمال أوسين</v>
          </cell>
          <cell r="D92" t="str">
            <v>هاينس</v>
          </cell>
          <cell r="E92">
            <v>92.594444444444449</v>
          </cell>
          <cell r="F92">
            <v>46.297222222222224</v>
          </cell>
          <cell r="G92">
            <v>138.89166666666668</v>
          </cell>
        </row>
        <row r="93">
          <cell r="B93">
            <v>1221</v>
          </cell>
          <cell r="C93" t="str">
            <v>محمد طارق مد مياه</v>
          </cell>
          <cell r="D93" t="str">
            <v>هاينس</v>
          </cell>
          <cell r="E93">
            <v>92.594444444444449</v>
          </cell>
          <cell r="F93">
            <v>46.297222222222224</v>
          </cell>
          <cell r="G93">
            <v>138.89166666666668</v>
          </cell>
        </row>
        <row r="94">
          <cell r="B94">
            <v>1222</v>
          </cell>
          <cell r="C94" t="str">
            <v>رافت رافت حسين حسين</v>
          </cell>
          <cell r="D94" t="str">
            <v>هاينس</v>
          </cell>
          <cell r="E94">
            <v>92.594444444444449</v>
          </cell>
          <cell r="F94">
            <v>46.297222222222224</v>
          </cell>
          <cell r="G94">
            <v>138.89166666666668</v>
          </cell>
        </row>
        <row r="95">
          <cell r="B95">
            <v>1223</v>
          </cell>
          <cell r="C95" t="str">
            <v>عبدالعزيز عبدالواحد لطف الشلفي</v>
          </cell>
          <cell r="D95" t="str">
            <v>هاينس</v>
          </cell>
          <cell r="E95">
            <v>92.594444444444449</v>
          </cell>
          <cell r="F95">
            <v>46.297222222222224</v>
          </cell>
          <cell r="G95">
            <v>138.89166666666668</v>
          </cell>
        </row>
        <row r="96">
          <cell r="B96">
            <v>1227</v>
          </cell>
          <cell r="C96" t="str">
            <v>محمد ريدوري</v>
          </cell>
          <cell r="D96" t="str">
            <v>هاينس</v>
          </cell>
          <cell r="E96">
            <v>92.594444444444449</v>
          </cell>
          <cell r="F96">
            <v>46.297222222222224</v>
          </cell>
          <cell r="G96">
            <v>138.89166666666668</v>
          </cell>
        </row>
        <row r="97">
          <cell r="B97">
            <v>1228</v>
          </cell>
          <cell r="C97" t="str">
            <v>مد تان</v>
          </cell>
          <cell r="D97" t="str">
            <v>هاينس</v>
          </cell>
          <cell r="E97">
            <v>92.594444444444449</v>
          </cell>
          <cell r="F97">
            <v>46.297222222222224</v>
          </cell>
          <cell r="G97">
            <v>138.89166666666668</v>
          </cell>
        </row>
        <row r="98">
          <cell r="B98">
            <v>1229</v>
          </cell>
          <cell r="C98" t="str">
            <v>عريف الرحمن</v>
          </cell>
          <cell r="D98" t="str">
            <v>هاينس</v>
          </cell>
          <cell r="E98">
            <v>92.594444444444449</v>
          </cell>
          <cell r="F98">
            <v>46.297222222222224</v>
          </cell>
          <cell r="G98">
            <v>138.89166666666668</v>
          </cell>
        </row>
        <row r="99">
          <cell r="B99">
            <v>1230</v>
          </cell>
          <cell r="C99" t="str">
            <v>رياض أوسين</v>
          </cell>
          <cell r="D99" t="str">
            <v>هاينس</v>
          </cell>
          <cell r="E99">
            <v>92.594444444444449</v>
          </cell>
          <cell r="F99">
            <v>46.297222222222224</v>
          </cell>
          <cell r="G99">
            <v>138.89166666666668</v>
          </cell>
        </row>
        <row r="100">
          <cell r="B100">
            <v>1231</v>
          </cell>
          <cell r="C100" t="str">
            <v>يعقوب نبي</v>
          </cell>
          <cell r="D100" t="str">
            <v>هاينس</v>
          </cell>
          <cell r="E100">
            <v>92.594444444444449</v>
          </cell>
          <cell r="F100">
            <v>46.297222222222224</v>
          </cell>
          <cell r="G100">
            <v>138.89166666666668</v>
          </cell>
        </row>
        <row r="101">
          <cell r="B101">
            <v>1232</v>
          </cell>
          <cell r="C101" t="str">
            <v>مسعود علام</v>
          </cell>
          <cell r="D101" t="str">
            <v>هاينس</v>
          </cell>
          <cell r="E101">
            <v>92.594444444444449</v>
          </cell>
          <cell r="F101">
            <v>46.297222222222224</v>
          </cell>
          <cell r="G101">
            <v>138.89166666666668</v>
          </cell>
        </row>
        <row r="102">
          <cell r="B102">
            <v>1233</v>
          </cell>
          <cell r="C102" t="str">
            <v>حبيب آل ارحمن</v>
          </cell>
          <cell r="D102" t="str">
            <v>هاينس</v>
          </cell>
          <cell r="E102">
            <v>92.594444444444449</v>
          </cell>
          <cell r="F102">
            <v>46.297222222222224</v>
          </cell>
          <cell r="G102">
            <v>138.89166666666668</v>
          </cell>
        </row>
        <row r="103">
          <cell r="B103">
            <v>1258</v>
          </cell>
          <cell r="C103" t="str">
            <v>نظم أل حسن</v>
          </cell>
          <cell r="D103" t="str">
            <v>هاينس</v>
          </cell>
          <cell r="E103">
            <v>92.594444444444449</v>
          </cell>
          <cell r="F103">
            <v>46.297222222222224</v>
          </cell>
          <cell r="G103">
            <v>138.89166666666668</v>
          </cell>
        </row>
        <row r="104">
          <cell r="B104">
            <v>1259</v>
          </cell>
          <cell r="C104" t="str">
            <v xml:space="preserve">محمد كوثر </v>
          </cell>
          <cell r="D104" t="str">
            <v>هاينس</v>
          </cell>
          <cell r="E104">
            <v>92.594444444444449</v>
          </cell>
          <cell r="F104">
            <v>46.297222222222224</v>
          </cell>
          <cell r="G104">
            <v>138.89166666666668</v>
          </cell>
        </row>
        <row r="105">
          <cell r="B105">
            <v>1260</v>
          </cell>
          <cell r="C105" t="str">
            <v>محمود حسن</v>
          </cell>
          <cell r="D105" t="str">
            <v>هاينس</v>
          </cell>
          <cell r="E105">
            <v>92.594444444444449</v>
          </cell>
          <cell r="F105">
            <v>46.297222222222224</v>
          </cell>
          <cell r="G105">
            <v>138.89166666666668</v>
          </cell>
        </row>
        <row r="106">
          <cell r="B106">
            <v>1261</v>
          </cell>
          <cell r="C106" t="str">
            <v>مد طارق</v>
          </cell>
          <cell r="D106" t="str">
            <v>هاينس</v>
          </cell>
          <cell r="E106">
            <v>92.594444444444449</v>
          </cell>
          <cell r="F106">
            <v>46.297222222222224</v>
          </cell>
          <cell r="G106">
            <v>138.89166666666668</v>
          </cell>
        </row>
        <row r="107">
          <cell r="B107">
            <v>1263</v>
          </cell>
          <cell r="C107" t="str">
            <v>شكيل كازي</v>
          </cell>
          <cell r="D107" t="str">
            <v>هاينس</v>
          </cell>
          <cell r="E107">
            <v>92.594444444444449</v>
          </cell>
          <cell r="F107">
            <v>46.297222222222224</v>
          </cell>
          <cell r="G107">
            <v>138.89166666666668</v>
          </cell>
        </row>
        <row r="108">
          <cell r="B108">
            <v>1049</v>
          </cell>
          <cell r="C108" t="str">
            <v>محمد شجون</v>
          </cell>
          <cell r="D108" t="str">
            <v>هاينس</v>
          </cell>
          <cell r="E108">
            <v>92.594444444444449</v>
          </cell>
          <cell r="F108">
            <v>46.297222222222224</v>
          </cell>
          <cell r="G108">
            <v>138.89166666666668</v>
          </cell>
        </row>
        <row r="109">
          <cell r="B109">
            <v>1064</v>
          </cell>
          <cell r="C109" t="str">
            <v>معين الدين وحيد</v>
          </cell>
          <cell r="D109" t="str">
            <v>هاينس</v>
          </cell>
          <cell r="E109">
            <v>183.33333333333334</v>
          </cell>
          <cell r="F109">
            <v>38.69047619047619</v>
          </cell>
          <cell r="G109">
            <v>222.02380952380952</v>
          </cell>
        </row>
        <row r="112">
          <cell r="G11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سماء الموظفين"/>
      <sheetName val="تكاليف السعودة"/>
      <sheetName val="تكاليف المقيمين"/>
      <sheetName val="تقارير"/>
    </sheetNames>
    <sheetDataSet>
      <sheetData sheetId="0"/>
      <sheetData sheetId="1">
        <row r="68">
          <cell r="F68">
            <v>54942.25</v>
          </cell>
        </row>
        <row r="70">
          <cell r="F70">
            <v>30286.524166666666</v>
          </cell>
        </row>
        <row r="71">
          <cell r="F71">
            <v>5707.22</v>
          </cell>
        </row>
        <row r="73">
          <cell r="F73">
            <v>17440</v>
          </cell>
        </row>
        <row r="74">
          <cell r="F74">
            <v>8400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esktop/&#1608;&#1603;&#1575;&#1604;&#1577;%20&#1605;&#1605;&#1603;&#1606;%20&#1581;&#1604;&#1608;&#1604;/&#1605;&#1580;&#1605;&#1608;&#1593;&#1577;%20&#1587;&#1604;&#1591;&#1575;&#1606;%20&#1575;&#1604;&#1585;&#1586;&#1610;&#1581;&#1610;/&#1578;&#1602;&#1585;&#1610;&#1585;%20&#1578;&#1603;&#1604;&#1601;&#1577;%20&#1575;&#1604;&#1605;&#1608;&#1592;&#1601;&#1610;&#1606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81.747267939812" createdVersion="8" refreshedVersion="8" minRefreshableVersion="3" recordCount="228" xr:uid="{3A0AFC56-F373-47A2-AC1D-3C92D39FB527}">
  <cacheSource type="worksheet">
    <worksheetSource ref="A3:U325" sheet="تكاليف المقيمين" r:id="rId2"/>
  </cacheSource>
  <cacheFields count="21">
    <cacheField name="م" numFmtId="0">
      <sharedItems containsMixedTypes="1" containsNumber="1" containsInteger="1" minValue="1" maxValue="226"/>
    </cacheField>
    <cacheField name="الرقم الوظيفي" numFmtId="0">
      <sharedItems containsString="0" containsBlank="1" containsNumber="1" containsInteger="1" minValue="1000" maxValue="1285" count="226">
        <n v="1001"/>
        <n v="1000"/>
        <n v="1002"/>
        <n v="1003"/>
        <n v="1004"/>
        <n v="1005"/>
        <n v="1006"/>
        <n v="1007"/>
        <n v="1009"/>
        <n v="1010"/>
        <n v="1011"/>
        <n v="1012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8"/>
        <n v="1039"/>
        <n v="1041"/>
        <n v="1044"/>
        <n v="1045"/>
        <n v="1047"/>
        <n v="1048"/>
        <n v="1049"/>
        <n v="1050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8"/>
        <n v="1069"/>
        <n v="1070"/>
        <n v="1071"/>
        <n v="1072"/>
        <n v="1073"/>
        <n v="1074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2"/>
        <n v="1104"/>
        <n v="1105"/>
        <n v="1106"/>
        <n v="1108"/>
        <n v="1109"/>
        <n v="1110"/>
        <n v="1111"/>
        <n v="1112"/>
        <n v="1113"/>
        <n v="1114"/>
        <n v="1115"/>
        <n v="1116"/>
        <n v="1117"/>
        <n v="1119"/>
        <n v="1120"/>
        <n v="1123"/>
        <n v="1124"/>
        <n v="1125"/>
        <n v="1127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52"/>
        <n v="1153"/>
        <n v="1154"/>
        <n v="1157"/>
        <n v="1158"/>
        <n v="1159"/>
        <n v="1160"/>
        <n v="1164"/>
        <n v="1165"/>
        <n v="1166"/>
        <n v="1167"/>
        <n v="1168"/>
        <n v="1169"/>
        <n v="1170"/>
        <n v="1171"/>
        <n v="1172"/>
        <n v="1173"/>
        <n v="1176"/>
        <n v="1177"/>
        <n v="1178"/>
        <n v="1181"/>
        <n v="1182"/>
        <n v="1183"/>
        <n v="1184"/>
        <n v="1185"/>
        <n v="1186"/>
        <n v="1187"/>
        <n v="1188"/>
        <n v="1190"/>
        <n v="1191"/>
        <n v="1193"/>
        <n v="1195"/>
        <n v="1196"/>
        <n v="1197"/>
        <n v="1198"/>
        <n v="1201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5"/>
        <n v="1227"/>
        <n v="1228"/>
        <n v="1229"/>
        <n v="1230"/>
        <n v="1231"/>
        <n v="1232"/>
        <n v="1233"/>
        <n v="1234"/>
        <n v="1235"/>
        <n v="1236"/>
        <n v="1237"/>
        <n v="1239"/>
        <n v="1240"/>
        <n v="1241"/>
        <n v="1243"/>
        <n v="1244"/>
        <n v="1247"/>
        <n v="1249"/>
        <n v="1250"/>
        <n v="1251"/>
        <n v="1252"/>
        <n v="1258"/>
        <n v="1259"/>
        <n v="1260"/>
        <n v="1261"/>
        <n v="1262"/>
        <n v="1263"/>
        <n v="1265"/>
        <n v="1267"/>
        <n v="1268"/>
        <n v="1269"/>
        <n v="1270"/>
        <n v="1271"/>
        <n v="1272"/>
        <n v="1275"/>
        <n v="1276"/>
        <n v="1279"/>
        <n v="1280"/>
        <n v="1281"/>
        <n v="1282"/>
        <n v="1283"/>
        <n v="1285"/>
        <m/>
      </sharedItems>
    </cacheField>
    <cacheField name="أسم الموظف" numFmtId="0">
      <sharedItems containsBlank="1"/>
    </cacheField>
    <cacheField name="الجنسية" numFmtId="0">
      <sharedItems containsBlank="1"/>
    </cacheField>
    <cacheField name="الشركة" numFmtId="0">
      <sharedItems containsBlank="1"/>
    </cacheField>
    <cacheField name="المشروع" numFmtId="0">
      <sharedItems containsBlank="1" count="25">
        <s v="النسيم"/>
        <s v="الإدارة"/>
        <s v="مستودع ديراب"/>
        <s v="جملة سلطان/السويلم"/>
        <s v="غرناطة"/>
        <s v="مستودع عكاظ 23"/>
        <s v="أونلاين"/>
        <s v="العنود"/>
        <s v="مستودع عكاظ 20"/>
        <s v="الإستراحة"/>
        <s v="الدائري الغربي"/>
        <s v="المصنع"/>
        <s v="وكالة ممكن"/>
        <s v="الشفا"/>
        <s v="مستودع جملة سلطان"/>
        <s v="هاينس"/>
        <s v="اليرموك"/>
        <s v="المصيف"/>
        <s v="الأندلس"/>
        <s v="لبن"/>
        <s v="المالك"/>
        <s v="ورشة أثاث"/>
        <s v="المدير العام"/>
        <s v="مستودع الغنامية"/>
        <m/>
      </sharedItems>
    </cacheField>
    <cacheField name="الراتب " numFmtId="0">
      <sharedItems containsString="0" containsBlank="1" containsNumber="1" containsInteger="1" minValue="0" maxValue="9464268"/>
    </cacheField>
    <cacheField name="اشتراك التامينات الاجتماعية" numFmtId="0">
      <sharedItems containsString="0" containsBlank="1" containsNumber="1" containsInteger="1" minValue="0" maxValue="292320"/>
    </cacheField>
    <cacheField name="التأمين الطبي " numFmtId="0">
      <sharedItems containsString="0" containsBlank="1" containsNumber="1" minValue="0" maxValue="20475.072499999973"/>
    </cacheField>
    <cacheField name="الشهادة الصحية" numFmtId="0">
      <sharedItems containsString="0" containsBlank="1" containsNumber="1" minValue="0" maxValue="3519.4708333333315"/>
    </cacheField>
    <cacheField name="تكلفة الأجازة" numFmtId="0">
      <sharedItems containsString="0" containsBlank="1" containsNumber="1" minValue="0" maxValue="37753.91666666665"/>
    </cacheField>
    <cacheField name="نهاية الخدمة" numFmtId="0">
      <sharedItems containsString="0" containsBlank="1" containsNumber="1" minValue="0" maxValue="26967.083333333387"/>
    </cacheField>
    <cacheField name="تذاكر طيران" numFmtId="0">
      <sharedItems containsString="0" containsBlank="1" containsNumber="1" minValue="0" maxValue="11412.5"/>
    </cacheField>
    <cacheField name="نقل الكفالة" numFmtId="0">
      <sharedItems containsString="0" containsBlank="1" containsNumber="1" minValue="0" maxValue="7333.3333333333376"/>
    </cacheField>
    <cacheField name="جوازات" numFmtId="0">
      <sharedItems containsString="0" containsBlank="1" containsNumber="1" minValue="0" maxValue="8054.1666666666833"/>
    </cacheField>
    <cacheField name="رخصة العمل" numFmtId="0">
      <sharedItems containsString="0" containsBlank="1" containsNumber="1" minValue="0" maxValue="116424.99999999977"/>
    </cacheField>
    <cacheField name="إيجار السكن" numFmtId="0">
      <sharedItems containsString="0" containsBlank="1" containsNumber="1" minValue="0" maxValue="1000"/>
    </cacheField>
    <cacheField name="كهرباء + مياه" numFmtId="0">
      <sharedItems containsString="0" containsBlank="1" containsNumber="1" minValue="0" maxValue="173.64583333333334"/>
    </cacheField>
    <cacheField name="تحمل نسبة السعودة" numFmtId="0">
      <sharedItems containsString="0" containsBlank="1" containsNumber="1" minValue="0" maxValue="1323"/>
    </cacheField>
    <cacheField name="مجموج شهري " numFmtId="4">
      <sharedItems containsString="0" containsBlank="1" containsNumber="1" minValue="0" maxValue="1144120.9376754388"/>
    </cacheField>
    <cacheField name="مجموع سنوي" numFmtId="4">
      <sharedItems containsString="0" containsBlank="1" containsNumber="1" minValue="0" maxValue="10109995.464007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"/>
    <x v="0"/>
    <s v="سنوار عبد المجيد"/>
    <s v="بنجلاديش"/>
    <s v="شركة ريال البركة للتجارة"/>
    <x v="0"/>
    <n v="2500"/>
    <n v="36"/>
    <n v="70.333333333333329"/>
    <n v="0"/>
    <n v="145.83333333333334"/>
    <n v="104.16666666666667"/>
    <n v="75"/>
    <m/>
    <n v="54.166666666666664"/>
    <n v="808.33333333333337"/>
    <n v="291.66666666666669"/>
    <n v="55.55555555555555"/>
    <n v="425.44683823529419"/>
    <n v="4566.50239379085"/>
    <n v="54798.0287254902"/>
  </r>
  <r>
    <n v="2"/>
    <x v="1"/>
    <s v="سلطان عبدالرحمن صالح الرزيحي "/>
    <s v="سعودي"/>
    <s v="المالك"/>
    <x v="1"/>
    <n v="90000"/>
    <n v="0"/>
    <n v="0"/>
    <n v="0"/>
    <n v="0"/>
    <n v="0"/>
    <n v="0"/>
    <m/>
    <n v="0"/>
    <n v="0"/>
    <n v="0"/>
    <n v="0"/>
    <n v="0"/>
    <n v="90000"/>
    <n v="1080000"/>
  </r>
  <r>
    <n v="3"/>
    <x v="2"/>
    <s v="عبدالرحمن محمد عبده السلمي"/>
    <s v="اليمن"/>
    <s v="شركة ريال البركة للتجارة"/>
    <x v="2"/>
    <n v="7000"/>
    <n v="72"/>
    <n v="936.16666666666663"/>
    <n v="0"/>
    <n v="408.33333333333331"/>
    <n v="291.66666666666669"/>
    <n v="75"/>
    <m/>
    <n v="54.166666666666664"/>
    <n v="808.33333333333337"/>
    <n v="1000"/>
    <m/>
    <n v="425.44683823529419"/>
    <n v="11071.113504901959"/>
    <n v="88863.113504901965"/>
  </r>
  <r>
    <n v="4"/>
    <x v="3"/>
    <s v="سليم عبده علي الرعوي"/>
    <s v="اليمن"/>
    <s v="شركة ريال البركة للتجارة"/>
    <x v="1"/>
    <n v="7000"/>
    <n v="72"/>
    <n v="2012.0833333333333"/>
    <n v="0"/>
    <n v="408.33333333333331"/>
    <n v="291.66666666666669"/>
    <n v="125"/>
    <m/>
    <n v="54.166666666666664"/>
    <n v="808.33333333333337"/>
    <n v="1000"/>
    <m/>
    <n v="425.44683823529419"/>
    <n v="12197.030171568627"/>
    <n v="89989.030171568622"/>
  </r>
  <r>
    <n v="5"/>
    <x v="4"/>
    <s v="مصطفى عبده علي صالح"/>
    <s v="اليمن"/>
    <s v="شركة ريال البركة للتجارة"/>
    <x v="2"/>
    <n v="6000"/>
    <n v="72"/>
    <n v="64.416666666666671"/>
    <n v="0"/>
    <n v="350"/>
    <n v="250"/>
    <n v="62.5"/>
    <m/>
    <n v="54.166666666666664"/>
    <n v="808.33333333333337"/>
    <n v="96.491228070175438"/>
    <n v="35.087719298245609"/>
    <n v="425.44683823529419"/>
    <n v="8218.4424522703812"/>
    <n v="75010.442452270378"/>
  </r>
  <r>
    <n v="6"/>
    <x v="5"/>
    <s v="عبدالسلام محمد سعيد ناجي"/>
    <s v="اليمن"/>
    <s v="مؤسسة سلطان عبدالرحمن صالح الرزيحي للتجارة"/>
    <x v="3"/>
    <n v="4500"/>
    <n v="50"/>
    <n v="595.64"/>
    <n v="0"/>
    <n v="262.5"/>
    <n v="187.5"/>
    <n v="62.5"/>
    <m/>
    <n v="54.166666666666664"/>
    <n v="808.33333333333337"/>
    <n v="312.5"/>
    <n v="104.16666666666667"/>
    <n v="425.44683823529419"/>
    <n v="7362.7535049019616"/>
    <n v="57412.753504901957"/>
  </r>
  <r>
    <n v="7"/>
    <x v="6"/>
    <s v="بلال صالح حمود الفهد"/>
    <s v="اليمن"/>
    <s v="شركة ريال البركة للتجارة"/>
    <x v="4"/>
    <n v="2800"/>
    <n v="40"/>
    <n v="45.835000000000001"/>
    <n v="18.333333333333332"/>
    <n v="163.33333333333334"/>
    <n v="116.66666666666667"/>
    <n v="62.5"/>
    <m/>
    <n v="54.166666666666664"/>
    <n v="808.33333333333337"/>
    <n v="187.5"/>
    <n v="41.666666666666664"/>
    <n v="425.44683823529419"/>
    <n v="4763.7818382352943"/>
    <n v="36003.781838235293"/>
  </r>
  <r>
    <n v="8"/>
    <x v="7"/>
    <s v="محمد عبدالدائم محمد عبدالرحمن"/>
    <s v="اليمن"/>
    <s v="شركة ريال البركة للتجارة"/>
    <x v="5"/>
    <n v="1000"/>
    <n v="20"/>
    <n v="3315.9166666666665"/>
    <n v="0"/>
    <n v="0"/>
    <n v="0"/>
    <n v="0"/>
    <m/>
    <n v="0"/>
    <n v="0"/>
    <n v="0"/>
    <n v="0"/>
    <n v="425.44683823529419"/>
    <n v="4761.3635049019604"/>
    <n v="15981.363504901959"/>
  </r>
  <r>
    <n v="9"/>
    <x v="8"/>
    <s v="اسد الزمان علي"/>
    <s v="بنجلاديش"/>
    <s v="شركة ريال البركة للتجارة"/>
    <x v="6"/>
    <n v="2200"/>
    <n v="32"/>
    <n v="102.41666666666667"/>
    <n v="0"/>
    <n v="128.33333333333334"/>
    <n v="91.666666666666671"/>
    <n v="75"/>
    <m/>
    <n v="54.166666666666664"/>
    <n v="808.33333333333337"/>
    <n v="96.491228070175438"/>
    <n v="35.087719298245609"/>
    <n v="425.44683823529419"/>
    <n v="4048.9424522703821"/>
    <n v="28600.942452270381"/>
  </r>
  <r>
    <n v="10"/>
    <x v="9"/>
    <s v="تفضل ولي"/>
    <s v="بنجلاديش"/>
    <s v="مؤسسة سلطان عبدالرحمن صالح الرزيحي للتجارة"/>
    <x v="3"/>
    <n v="2200"/>
    <n v="32"/>
    <n v="103.08916666666666"/>
    <n v="0"/>
    <n v="128.33333333333334"/>
    <n v="91.666666666666671"/>
    <n v="75"/>
    <m/>
    <n v="54.166666666666664"/>
    <n v="808.33333333333337"/>
    <n v="312.5"/>
    <n v="104.16666666666667"/>
    <n v="425.44683823529419"/>
    <n v="4334.702671568627"/>
    <n v="28886.70267156863"/>
  </r>
  <r>
    <n v="11"/>
    <x v="10"/>
    <s v="أيمن محمد فتحي خلف"/>
    <s v="مصر"/>
    <s v="دوام جزئي"/>
    <x v="1"/>
    <n v="3000"/>
    <n v="0"/>
    <n v="0"/>
    <n v="0"/>
    <n v="0"/>
    <n v="0"/>
    <n v="0"/>
    <n v="0"/>
    <n v="0"/>
    <n v="0"/>
    <n v="0"/>
    <n v="0"/>
    <n v="0"/>
    <n v="3000"/>
    <n v="36000"/>
  </r>
  <r>
    <n v="12"/>
    <x v="11"/>
    <s v="نوبي امير شيخ"/>
    <s v="الهند"/>
    <s v="شركة ريال البركة للتجارة"/>
    <x v="7"/>
    <n v="1900"/>
    <n v="28"/>
    <n v="40"/>
    <n v="0"/>
    <n v="110.83333333333333"/>
    <n v="79.166666666666671"/>
    <n v="75"/>
    <m/>
    <n v="54.166666666666664"/>
    <n v="808.33333333333337"/>
    <n v="325"/>
    <n v="48.611111111111114"/>
    <n v="425.44683823529419"/>
    <n v="3894.5579493464056"/>
    <n v="25102.557949346403"/>
  </r>
  <r>
    <n v="13"/>
    <x v="12"/>
    <s v="عجيب بيلافي"/>
    <s v="الهند"/>
    <s v="شركة ريال البركة للتجارة"/>
    <x v="8"/>
    <n v="2500"/>
    <n v="32"/>
    <n v="12.115"/>
    <n v="0"/>
    <n v="145.83333333333334"/>
    <n v="104.16666666666667"/>
    <n v="75"/>
    <m/>
    <n v="54.166666666666664"/>
    <n v="808.33333333333337"/>
    <n v="96.491228070175438"/>
    <n v="35.087719298245609"/>
    <n v="425.44683823529419"/>
    <n v="4288.6407856037149"/>
    <n v="32140.640785603715"/>
  </r>
  <r>
    <n v="14"/>
    <x v="13"/>
    <s v="معشوق أحمد أنصاري"/>
    <s v="هندي"/>
    <s v="سعد عبدالرحمن صالح الرزيحي"/>
    <x v="9"/>
    <n v="1800"/>
    <n v="0"/>
    <n v="0"/>
    <n v="0"/>
    <n v="105"/>
    <n v="75"/>
    <n v="75"/>
    <m/>
    <n v="50"/>
    <n v="808.33333333333337"/>
    <n v="0"/>
    <n v="0"/>
    <n v="0"/>
    <n v="2913.3333333333335"/>
    <n v="22713.333333333332"/>
  </r>
  <r>
    <n v="15"/>
    <x v="14"/>
    <s v="جهانقير عبد الرزاق بادي"/>
    <s v="بنجلاديش"/>
    <s v="شركة ريال البركة للتجارة"/>
    <x v="0"/>
    <n v="2000"/>
    <n v="26"/>
    <n v="30.583333333333332"/>
    <n v="0"/>
    <n v="116.66666666666667"/>
    <n v="83.333333333333329"/>
    <n v="75"/>
    <m/>
    <n v="54.166666666666664"/>
    <n v="808.33333333333337"/>
    <n v="291.66666666666669"/>
    <n v="55.55555555555555"/>
    <n v="425.44683823529419"/>
    <n v="3966.75239379085"/>
    <n v="26252.752393790848"/>
  </r>
  <r>
    <n v="16"/>
    <x v="15"/>
    <s v="محمد عبدالله محمد الحبجي"/>
    <s v="اليمن"/>
    <s v="شركة ريال البركة للتجارة"/>
    <x v="1"/>
    <n v="5000"/>
    <n v="44"/>
    <m/>
    <n v="0"/>
    <n v="291.66666666666669"/>
    <n v="208.33333333333334"/>
    <n v="125"/>
    <m/>
    <n v="54.166666666666664"/>
    <n v="808.33333333333337"/>
    <n v="0"/>
    <n v="0"/>
    <n v="425.44683823529419"/>
    <n v="6956.9468382352943"/>
    <n v="62440.946838235293"/>
  </r>
  <r>
    <n v="17"/>
    <x v="16"/>
    <s v="رؤوف انصاري سفيدة"/>
    <s v="نيبال"/>
    <s v="شركة ريال البركة للتجارة"/>
    <x v="10"/>
    <n v="2000"/>
    <n v="28"/>
    <n v="40"/>
    <n v="104.29583333333333"/>
    <n v="116.66666666666667"/>
    <n v="83.333333333333329"/>
    <n v="75"/>
    <m/>
    <n v="54.166666666666664"/>
    <n v="808.33333333333337"/>
    <n v="0"/>
    <n v="0"/>
    <n v="425.44683823529419"/>
    <n v="3735.2426715686274"/>
    <n v="26043.242671568627"/>
  </r>
  <r>
    <n v="18"/>
    <x v="17"/>
    <s v="محمد فاروق خليل"/>
    <s v="الهند"/>
    <s v="عبدالرحمن سلطان الرزيحي"/>
    <x v="11"/>
    <n v="1700"/>
    <n v="28"/>
    <n v="0"/>
    <n v="0"/>
    <n v="99.166666666666671"/>
    <n v="70.833333333333329"/>
    <n v="75"/>
    <m/>
    <n v="54.166666666666664"/>
    <n v="808.33333333333337"/>
    <n v="0"/>
    <n v="0"/>
    <n v="0"/>
    <n v="2835.5"/>
    <n v="21843.5"/>
  </r>
  <r>
    <n v="19"/>
    <x v="18"/>
    <s v="ياسر عبدالولي قايد الغابري"/>
    <s v="اليمن"/>
    <s v="شركة ريال البركة للتجارة"/>
    <x v="12"/>
    <n v="5000"/>
    <n v="72"/>
    <n v="1867.0833333333333"/>
    <n v="0"/>
    <n v="291.66666666666669"/>
    <n v="208.33333333333334"/>
    <n v="62.5"/>
    <m/>
    <n v="54.166666666666664"/>
    <n v="808.33333333333337"/>
    <n v="583.33333333333337"/>
    <m/>
    <n v="425.44683823529419"/>
    <n v="9372.8635049019613"/>
    <n v="65164.863504901965"/>
  </r>
  <r>
    <n v="20"/>
    <x v="19"/>
    <s v="عمر احمد علي الشامي"/>
    <s v="اليمن"/>
    <s v="شركة ريال البركة للتجارة"/>
    <x v="2"/>
    <n v="4000"/>
    <n v="44"/>
    <m/>
    <n v="0"/>
    <n v="233.33333333333334"/>
    <n v="166.66666666666666"/>
    <n v="62.5"/>
    <m/>
    <n v="54.166666666666664"/>
    <n v="808.33333333333337"/>
    <n v="0"/>
    <n v="0"/>
    <n v="425.44683823529419"/>
    <n v="5794.4468382352943"/>
    <n v="50278.446838235293"/>
  </r>
  <r>
    <n v="21"/>
    <x v="20"/>
    <s v="عبدالرحمن سلطان الرزيحي"/>
    <s v="سعودي"/>
    <s v="شركة ريال البركة للتجارة"/>
    <x v="1"/>
    <n v="63000"/>
    <n v="192"/>
    <n v="0"/>
    <n v="0"/>
    <n v="3675"/>
    <n v="2625"/>
    <n v="0"/>
    <m/>
    <n v="0"/>
    <n v="0"/>
    <n v="0"/>
    <n v="0"/>
    <n v="0"/>
    <n v="69492"/>
    <n v="764604"/>
  </r>
  <r>
    <n v="22"/>
    <x v="21"/>
    <s v="إسماعيل دحدوح مياه"/>
    <s v="بنجلاديش"/>
    <s v="شركة ريال البركة للتجارة"/>
    <x v="2"/>
    <n v="1800"/>
    <n v="26"/>
    <n v="40"/>
    <n v="0"/>
    <n v="105"/>
    <n v="75"/>
    <n v="75"/>
    <m/>
    <n v="54.166666666666664"/>
    <n v="808.33333333333337"/>
    <n v="0"/>
    <n v="0"/>
    <n v="425.44683823529419"/>
    <n v="3408.9468382352943"/>
    <n v="23494.946838235293"/>
  </r>
  <r>
    <n v="23"/>
    <x v="22"/>
    <s v="فرهد حسين"/>
    <s v="بنجلاديش"/>
    <s v="شركة ريال البركة للتجارة"/>
    <x v="10"/>
    <n v="2500"/>
    <n v="36"/>
    <n v="20.416666666666668"/>
    <n v="18.333333333333332"/>
    <n v="145.83333333333334"/>
    <n v="104.16666666666667"/>
    <n v="75"/>
    <m/>
    <n v="54.166666666666664"/>
    <n v="808.33333333333337"/>
    <n v="197.43589743589743"/>
    <n v="41.666666666666664"/>
    <n v="425.44683823529419"/>
    <n v="4426.7994023378578"/>
    <n v="32322.79940233786"/>
  </r>
  <r>
    <n v="24"/>
    <x v="23"/>
    <s v="أنور حسين"/>
    <s v="بنجلاديش"/>
    <s v="شركة ريال البركة للتجارة"/>
    <x v="0"/>
    <n v="1950"/>
    <n v="26"/>
    <n v="20.416666666666668"/>
    <n v="0"/>
    <n v="113.75"/>
    <n v="81.25"/>
    <n v="75"/>
    <m/>
    <n v="54.166666666666664"/>
    <n v="808.33333333333337"/>
    <n v="291.66666666666669"/>
    <n v="55.55555555555555"/>
    <n v="425.44683823529419"/>
    <n v="3901.5857271241834"/>
    <n v="25637.585727124184"/>
  </r>
  <r>
    <n v="25"/>
    <x v="24"/>
    <s v="محمد شيمون"/>
    <s v="بنجلاديش"/>
    <s v="شركة ريال البركة للتجارة"/>
    <x v="10"/>
    <n v="2100"/>
    <n v="28"/>
    <m/>
    <n v="18.333333333333332"/>
    <n v="122.5"/>
    <n v="87.5"/>
    <n v="75"/>
    <m/>
    <n v="54.166666666666664"/>
    <n v="808.33333333333337"/>
    <n v="197.43589743589743"/>
    <n v="41.666666666666664"/>
    <n v="425.44683823529419"/>
    <n v="3958.3827356711918"/>
    <n v="27366.382735671192"/>
  </r>
  <r>
    <n v="26"/>
    <x v="25"/>
    <s v="فاكي أحمد بري خان"/>
    <s v="الهند"/>
    <s v="شركة ريال البركة للتجارة"/>
    <x v="10"/>
    <n v="1900"/>
    <n v="30"/>
    <n v="30.583333333333332"/>
    <n v="18.333333333333332"/>
    <n v="110.83333333333333"/>
    <n v="79.166666666666671"/>
    <n v="75"/>
    <m/>
    <n v="54.166666666666664"/>
    <n v="808.33333333333337"/>
    <n v="197.43589743589743"/>
    <n v="41.666666666666664"/>
    <n v="425.44683823529419"/>
    <n v="3770.9660690045248"/>
    <n v="25000.966069004524"/>
  </r>
  <r>
    <n v="27"/>
    <x v="26"/>
    <s v="محمد رفيق الإسلام"/>
    <s v="بنجلاديش"/>
    <s v="شركة ريال البركة للتجارة"/>
    <x v="4"/>
    <n v="2100"/>
    <n v="26"/>
    <n v="25.25"/>
    <n v="18.333333333333332"/>
    <n v="122.5"/>
    <n v="87.5"/>
    <n v="75"/>
    <m/>
    <n v="54.166666666666664"/>
    <n v="808.33333333333337"/>
    <n v="187.5"/>
    <n v="41.666666666666664"/>
    <n v="425.44683823529419"/>
    <n v="3971.6968382352943"/>
    <n v="27357.696838235293"/>
  </r>
  <r>
    <n v="28"/>
    <x v="27"/>
    <s v="ميدى حسن"/>
    <s v="بنجلاديش"/>
    <s v="شركة ريال البركة للتجارة"/>
    <x v="2"/>
    <n v="2000"/>
    <n v="26"/>
    <n v="85.833333333333329"/>
    <n v="0"/>
    <n v="116.66666666666667"/>
    <n v="83.333333333333329"/>
    <n v="75"/>
    <m/>
    <n v="54.166666666666664"/>
    <n v="808.33333333333337"/>
    <n v="0"/>
    <n v="0"/>
    <n v="425.44683823529419"/>
    <n v="3674.7801715686278"/>
    <n v="25960.780171568626"/>
  </r>
  <r>
    <n v="29"/>
    <x v="28"/>
    <s v="أبو بكر عبد اللطيف"/>
    <s v="بنجلاديش"/>
    <s v="مؤسسة عبدالرحمن سلطان عبدالرحمن الرزيحي للتجارة"/>
    <x v="13"/>
    <n v="1900"/>
    <n v="26"/>
    <m/>
    <n v="18.333333333333332"/>
    <n v="110.83333333333333"/>
    <n v="79.166666666666671"/>
    <n v="75"/>
    <m/>
    <n v="54.166666666666664"/>
    <n v="808.33333333333337"/>
    <n v="220.23809523809521"/>
    <n v="35.714285714285715"/>
    <n v="197.89473684210526"/>
    <n v="3525.6804511278197"/>
    <n v="24711.680451127821"/>
  </r>
  <r>
    <n v="30"/>
    <x v="29"/>
    <s v="حمزه الاحمر"/>
    <s v="سوريا"/>
    <s v="شركة ريال البركة للتجارة"/>
    <x v="14"/>
    <n v="7000"/>
    <n v="80"/>
    <n v="4838"/>
    <n v="0"/>
    <n v="408.33333333333331"/>
    <n v="291.66666666666669"/>
    <n v="62.5"/>
    <m/>
    <n v="54.166666666666664"/>
    <n v="808.33333333333337"/>
    <n v="1000"/>
    <m/>
    <n v="425.44683823529419"/>
    <n v="14968.446838235293"/>
    <n v="92848.446838235293"/>
  </r>
  <r>
    <n v="31"/>
    <x v="30"/>
    <s v="محمد بدرفيج محمد أكتير"/>
    <s v="بنجلاديش"/>
    <s v="عبدالرحمن سلطان الرزيحي"/>
    <x v="2"/>
    <n v="1900"/>
    <m/>
    <n v="0"/>
    <n v="0"/>
    <n v="110.83333333333333"/>
    <n v="79.166666666666671"/>
    <n v="75"/>
    <m/>
    <n v="50"/>
    <n v="808.33333333333337"/>
    <n v="0"/>
    <n v="0"/>
    <n v="0"/>
    <n v="3023.3333333333335"/>
    <n v="23923.333333333332"/>
  </r>
  <r>
    <n v="32"/>
    <x v="31"/>
    <s v="مد ميلون باطوري"/>
    <s v="بنجلاديش"/>
    <s v="شركة ريال البركة للتجارة"/>
    <x v="6"/>
    <n v="2200"/>
    <n v="30"/>
    <n v="20.416666666666668"/>
    <n v="0"/>
    <n v="128.33333333333334"/>
    <n v="91.666666666666671"/>
    <n v="75"/>
    <m/>
    <n v="54.166666666666664"/>
    <n v="808.33333333333337"/>
    <n v="96.491228070175438"/>
    <n v="35.087719298245609"/>
    <n v="425.44683823529419"/>
    <n v="3964.9424522703821"/>
    <n v="28494.942452270381"/>
  </r>
  <r>
    <n v="33"/>
    <x v="32"/>
    <s v="شاهين هولدير"/>
    <s v="بنجلاديش"/>
    <s v="شركة ريال البركة للتجارة"/>
    <x v="7"/>
    <n v="2000"/>
    <n v="28"/>
    <n v="25.25"/>
    <n v="0"/>
    <n v="116.66666666666667"/>
    <n v="83.333333333333329"/>
    <n v="75"/>
    <m/>
    <n v="54.166666666666664"/>
    <n v="808.33333333333337"/>
    <n v="325"/>
    <n v="48.611111111111114"/>
    <n v="425.44683823529419"/>
    <n v="3989.8079493464056"/>
    <n v="26297.807949346403"/>
  </r>
  <r>
    <n v="34"/>
    <x v="33"/>
    <s v="عارف نور الإسلام"/>
    <s v="بنجلاديش"/>
    <s v="شركة ريال البركة للتجارة"/>
    <x v="7"/>
    <n v="1800"/>
    <n v="24"/>
    <n v="20.416666666666668"/>
    <n v="0"/>
    <n v="105"/>
    <n v="75"/>
    <n v="75"/>
    <m/>
    <n v="54.166666666666664"/>
    <n v="808.33333333333337"/>
    <n v="325"/>
    <n v="48.611111111111114"/>
    <n v="425.44683823529419"/>
    <n v="3760.9746160130726"/>
    <n v="23824.974616013071"/>
  </r>
  <r>
    <n v="35"/>
    <x v="34"/>
    <s v="محمد عارف حسين"/>
    <s v="بنجلاديش"/>
    <s v="شركة ريال البركة للتجارة"/>
    <x v="10"/>
    <n v="1900"/>
    <n v="26"/>
    <n v="30.583333333333332"/>
    <n v="18.333333333333332"/>
    <n v="110.83333333333333"/>
    <n v="79.166666666666671"/>
    <n v="75"/>
    <m/>
    <n v="54.166666666666664"/>
    <n v="808.33333333333337"/>
    <n v="197.43589743589743"/>
    <n v="41.666666666666664"/>
    <n v="425.44683823529419"/>
    <n v="3766.9660690045248"/>
    <n v="24952.966069004524"/>
  </r>
  <r>
    <n v="36"/>
    <x v="35"/>
    <s v="يحي صالح سالم شامس"/>
    <s v="اليمن"/>
    <s v="محل دكان الحلوي للحلويات"/>
    <x v="2"/>
    <n v="3000"/>
    <n v="40"/>
    <n v="147.83333333333334"/>
    <n v="0"/>
    <n v="175"/>
    <n v="125"/>
    <n v="62.5"/>
    <m/>
    <n v="54.166666666666664"/>
    <n v="808.33333333333337"/>
    <n v="0"/>
    <n v="0"/>
    <n v="425.44683823529419"/>
    <n v="4838.2801715686273"/>
    <n v="38278.280171568629"/>
  </r>
  <r>
    <n v="37"/>
    <x v="36"/>
    <s v="محمد عارف الإسلام"/>
    <s v="بنجلاديش"/>
    <s v="شركة ريال البركة للتجارة"/>
    <x v="14"/>
    <n v="2500"/>
    <n v="32"/>
    <m/>
    <n v="0"/>
    <n v="145.83333333333334"/>
    <n v="104.16666666666667"/>
    <n v="75"/>
    <m/>
    <n v="54.166666666666664"/>
    <n v="808.33333333333337"/>
    <n v="96.491228070175438"/>
    <n v="35.087719298245609"/>
    <n v="425.44683823529419"/>
    <n v="4276.5257856037151"/>
    <n v="32128.525785603713"/>
  </r>
  <r>
    <n v="38"/>
    <x v="37"/>
    <s v="محمد علي فورازي"/>
    <s v="بنجلاديش"/>
    <s v="شركة ريال البركة للتجارة"/>
    <x v="10"/>
    <n v="1850"/>
    <n v="26"/>
    <m/>
    <n v="18.333333333333332"/>
    <n v="107.91666666666667"/>
    <n v="77.083333333333329"/>
    <n v="75"/>
    <m/>
    <n v="54.166666666666664"/>
    <n v="808.33333333333337"/>
    <n v="197.43589743589743"/>
    <n v="41.666666666666664"/>
    <n v="425.44683823529419"/>
    <n v="3681.3827356711918"/>
    <n v="24317.382735671192"/>
  </r>
  <r>
    <n v="39"/>
    <x v="38"/>
    <s v="لمياء سليمان صالح المريشد"/>
    <s v="سعودي"/>
    <s v="مؤسسة ممكن حلول لخدمات الأعمال"/>
    <x v="12"/>
    <n v="4000"/>
    <n v="490"/>
    <n v="0"/>
    <n v="0"/>
    <n v="0"/>
    <n v="0"/>
    <n v="0"/>
    <n v="0"/>
    <n v="0"/>
    <n v="0"/>
    <n v="0"/>
    <n v="0"/>
    <n v="0"/>
    <n v="4490"/>
    <n v="53880"/>
  </r>
  <r>
    <n v="40"/>
    <x v="39"/>
    <s v="هشام عثمان موسى احمد"/>
    <s v="السودان"/>
    <s v="شركة ريال البركة للتجارة"/>
    <x v="8"/>
    <n v="2600"/>
    <n v="36"/>
    <n v="34.333333333333336"/>
    <n v="0"/>
    <n v="151.66666666666666"/>
    <n v="108.33333333333333"/>
    <n v="62.5"/>
    <m/>
    <n v="54.166666666666664"/>
    <n v="808.33333333333337"/>
    <n v="96.491228070175438"/>
    <n v="35.087719298245609"/>
    <n v="425.44683823529419"/>
    <n v="4412.3591189370491"/>
    <n v="33408.359118937049"/>
  </r>
  <r>
    <n v="41"/>
    <x v="40"/>
    <s v="محمد شؤيف حسين"/>
    <s v="بنجلاديش"/>
    <s v="شركة ريال البركة للتجارة"/>
    <x v="7"/>
    <n v="1900"/>
    <n v="26"/>
    <n v="16.25"/>
    <n v="0"/>
    <n v="110.83333333333333"/>
    <n v="79.166666666666671"/>
    <n v="75"/>
    <m/>
    <n v="54.166666666666664"/>
    <n v="808.33333333333337"/>
    <n v="325"/>
    <n v="48.611111111111114"/>
    <n v="425.44683823529419"/>
    <n v="3868.8079493464056"/>
    <n v="25054.807949346403"/>
  </r>
  <r>
    <n v="42"/>
    <x v="41"/>
    <s v="محمد شجون"/>
    <s v="بنجلاديش"/>
    <s v="شركة ريال البركة للتجارة"/>
    <x v="15"/>
    <n v="1950"/>
    <n v="26"/>
    <n v="20.416666666666668"/>
    <n v="18.333333333333332"/>
    <n v="113.75"/>
    <n v="81.25"/>
    <n v="75"/>
    <m/>
    <n v="54.166666666666664"/>
    <n v="808.33333333333337"/>
    <n v="92.594444444444449"/>
    <n v="46.297222222222224"/>
    <n v="425.44683823529419"/>
    <n v="3711.5885049019612"/>
    <n v="25447.58850490196"/>
  </r>
  <r>
    <n v="43"/>
    <x v="42"/>
    <s v="محمد عطية سعد"/>
    <s v="مصر"/>
    <s v="دوام جزئي"/>
    <x v="1"/>
    <n v="3000"/>
    <n v="0"/>
    <n v="0"/>
    <n v="0"/>
    <n v="0"/>
    <n v="0"/>
    <n v="0"/>
    <n v="0"/>
    <n v="0"/>
    <n v="0"/>
    <n v="0"/>
    <n v="0"/>
    <n v="0"/>
    <n v="3000"/>
    <n v="36000"/>
  </r>
  <r>
    <n v="44"/>
    <x v="43"/>
    <s v="محمد يحي محسن عميسان"/>
    <s v="اليمن"/>
    <s v="تحت التجربة"/>
    <x v="16"/>
    <n v="15000"/>
    <n v="0"/>
    <n v="0"/>
    <n v="0"/>
    <n v="0"/>
    <n v="0"/>
    <n v="0"/>
    <n v="0"/>
    <n v="0"/>
    <n v="0"/>
    <n v="0"/>
    <n v="0"/>
    <n v="0"/>
    <n v="15000"/>
    <n v="180000"/>
  </r>
  <r>
    <n v="45"/>
    <x v="44"/>
    <s v="بشاير خليل أحمد العنزي"/>
    <s v="سعودي"/>
    <s v="شركة ريال البركة للتجارة"/>
    <x v="10"/>
    <n v="4500"/>
    <n v="490"/>
    <n v="31.5"/>
    <n v="18.333333333333332"/>
    <n v="262.5"/>
    <n v="187.5"/>
    <n v="0"/>
    <m/>
    <n v="0"/>
    <n v="0"/>
    <n v="0"/>
    <n v="0"/>
    <n v="0"/>
    <n v="5489.833333333333"/>
    <n v="60379.833333333336"/>
  </r>
  <r>
    <n v="46"/>
    <x v="45"/>
    <s v="نبيل محمد علي السلمي"/>
    <s v="اليمن"/>
    <s v="شركة ريال البركة للتجارة"/>
    <x v="7"/>
    <n v="2800"/>
    <n v="40"/>
    <n v="64.416666666666671"/>
    <n v="0"/>
    <n v="163.33333333333334"/>
    <n v="116.66666666666667"/>
    <n v="62.5"/>
    <m/>
    <n v="54.166666666666664"/>
    <n v="808.33333333333337"/>
    <n v="325"/>
    <n v="48.611111111111114"/>
    <n v="425.44683823529419"/>
    <n v="4908.4746160130717"/>
    <n v="36148.474616013067"/>
  </r>
  <r>
    <n v="47"/>
    <x v="46"/>
    <s v="محضار عبدالله حسين السيد"/>
    <s v="اليمن"/>
    <s v="شركة ريال البركة للتجارة"/>
    <x v="8"/>
    <n v="4000"/>
    <n v="56"/>
    <n v="2011.5"/>
    <n v="0"/>
    <n v="233.33333333333334"/>
    <n v="166.66666666666666"/>
    <n v="62.5"/>
    <m/>
    <n v="54.166666666666664"/>
    <n v="808.33333333333337"/>
    <n v="500"/>
    <m/>
    <n v="425.44683823529419"/>
    <n v="8317.9468382352934"/>
    <n v="52933.946838235293"/>
  </r>
  <r>
    <n v="48"/>
    <x v="47"/>
    <s v="جمال علي فرحان الفنيني"/>
    <s v="اليمن"/>
    <s v="شركة ريال البركة للتجارة"/>
    <x v="2"/>
    <n v="3500"/>
    <n v="44"/>
    <n v="84.25"/>
    <n v="0"/>
    <n v="204.16666666666666"/>
    <n v="145.83333333333334"/>
    <n v="62.5"/>
    <m/>
    <n v="54.166666666666664"/>
    <n v="808.33333333333337"/>
    <n v="197.43589743589743"/>
    <n v="41.666666666666664"/>
    <n v="425.44683823529419"/>
    <n v="5567.7994023378587"/>
    <n v="44551.799402337856"/>
  </r>
  <r>
    <n v="49"/>
    <x v="48"/>
    <s v="أكرم ال حقي"/>
    <s v="بنجلاديش"/>
    <s v="مؤسسة زاوية ريال بركة للكماليات"/>
    <x v="17"/>
    <n v="1900"/>
    <n v="32"/>
    <m/>
    <n v="0"/>
    <n v="110.83333333333333"/>
    <n v="79.166666666666671"/>
    <n v="75"/>
    <m/>
    <n v="54.166666666666664"/>
    <n v="808.33333333333337"/>
    <n v="0"/>
    <n v="0"/>
    <n v="0"/>
    <n v="3059.5"/>
    <n v="24311.5"/>
  </r>
  <r>
    <n v="50"/>
    <x v="49"/>
    <s v="ألمغير حسين"/>
    <s v="بنجلاديش"/>
    <s v="مؤسسة زاوية ريال بركة للكماليات"/>
    <x v="16"/>
    <n v="1900"/>
    <n v="32"/>
    <m/>
    <n v="0"/>
    <n v="110.83333333333333"/>
    <n v="79.166666666666671"/>
    <n v="75"/>
    <m/>
    <n v="54.166666666666664"/>
    <n v="808.33333333333337"/>
    <n v="312.5"/>
    <n v="52.083333333333336"/>
    <n v="0"/>
    <n v="3424.0833333333335"/>
    <n v="24676.083333333332"/>
  </r>
  <r>
    <n v="51"/>
    <x v="50"/>
    <s v="رامجان علي صديقي"/>
    <s v="بنجلاديش"/>
    <s v="مؤسسة زاوية ريال بركة للكماليات"/>
    <x v="17"/>
    <n v="1900"/>
    <n v="32"/>
    <m/>
    <n v="0"/>
    <n v="110.83333333333333"/>
    <n v="79.166666666666671"/>
    <n v="75"/>
    <m/>
    <n v="54.166666666666664"/>
    <n v="808.33333333333337"/>
    <n v="0"/>
    <n v="0"/>
    <n v="0"/>
    <n v="3059.5"/>
    <n v="24311.5"/>
  </r>
  <r>
    <n v="52"/>
    <x v="51"/>
    <s v="عبدالرحمن علي حسين قرانه"/>
    <s v="اليمن"/>
    <s v="مؤسسة زاوية ريال بركة للكماليات"/>
    <x v="17"/>
    <n v="2300"/>
    <n v="40"/>
    <m/>
    <n v="0"/>
    <n v="134.16666666666666"/>
    <n v="95.833333333333329"/>
    <n v="62.5"/>
    <m/>
    <n v="54.166666666666664"/>
    <n v="808.33333333333337"/>
    <n v="0"/>
    <n v="0"/>
    <n v="0"/>
    <n v="3495"/>
    <n v="29235"/>
  </r>
  <r>
    <n v="53"/>
    <x v="52"/>
    <s v="ماجد محمد يحيى السودي"/>
    <s v="اليمن"/>
    <s v="مؤسسة زاوية ريال بركة للكماليات"/>
    <x v="17"/>
    <n v="2500"/>
    <n v="40"/>
    <m/>
    <n v="0"/>
    <n v="145.83333333333334"/>
    <n v="104.16666666666667"/>
    <n v="62.5"/>
    <m/>
    <n v="54.166666666666664"/>
    <n v="808.33333333333337"/>
    <n v="0"/>
    <n v="0"/>
    <n v="0"/>
    <n v="3715"/>
    <n v="31655"/>
  </r>
  <r>
    <n v="54"/>
    <x v="53"/>
    <s v="مراد علي حسن قرانه"/>
    <s v="اليمن"/>
    <s v="مؤسسة زاوية ريال بركة للكماليات"/>
    <x v="17"/>
    <n v="3300"/>
    <n v="66"/>
    <m/>
    <n v="0"/>
    <n v="192.5"/>
    <n v="137.5"/>
    <n v="62.5"/>
    <m/>
    <n v="54.166666666666664"/>
    <n v="808.33333333333337"/>
    <n v="0"/>
    <n v="0"/>
    <n v="0"/>
    <n v="4621"/>
    <n v="41647"/>
  </r>
  <r>
    <n v="55"/>
    <x v="54"/>
    <s v="جميل علي حسن عبدالله"/>
    <s v="اليمن"/>
    <s v="شركة ريال البركة للتجارة"/>
    <x v="2"/>
    <n v="3300"/>
    <n v="40"/>
    <n v="113.33333333333333"/>
    <n v="0"/>
    <n v="192.5"/>
    <n v="137.5"/>
    <n v="62.5"/>
    <m/>
    <n v="54.166666666666664"/>
    <n v="808.33333333333337"/>
    <n v="197.43589743589743"/>
    <n v="41.666666666666664"/>
    <n v="425.44683823529419"/>
    <n v="5372.8827356711918"/>
    <n v="42112.882735671192"/>
  </r>
  <r>
    <n v="56"/>
    <x v="55"/>
    <s v="معين الدين وحيد"/>
    <s v="بنجلاديش"/>
    <s v="محل دكان الحلوي للحلويات"/>
    <x v="15"/>
    <n v="2500"/>
    <n v="28"/>
    <m/>
    <n v="18.333333333333332"/>
    <n v="145.83333333333334"/>
    <n v="104.16666666666667"/>
    <n v="75"/>
    <m/>
    <n v="54.166666666666664"/>
    <n v="808.33333333333337"/>
    <n v="197.43589743589743"/>
    <n v="41.666666666666664"/>
    <n v="425.44683823529419"/>
    <n v="4398.3827356711918"/>
    <n v="32206.382735671192"/>
  </r>
  <r>
    <n v="57"/>
    <x v="56"/>
    <s v="عمر محمد عبده علي السلمي"/>
    <s v="اليمن"/>
    <s v="مؤسسة عبدالرحمن سلطان عبدالرحمن الرزيحي للتجارة"/>
    <x v="13"/>
    <n v="2800"/>
    <n v="40"/>
    <n v="43.083333333333336"/>
    <n v="18.333333333333332"/>
    <n v="163.33333333333334"/>
    <n v="116.66666666666667"/>
    <n v="62.5"/>
    <m/>
    <n v="54.166666666666664"/>
    <n v="808.33333333333337"/>
    <n v="220.23809523809521"/>
    <n v="35.714285714285715"/>
    <n v="197.89473684210526"/>
    <n v="4560.2637844611527"/>
    <n v="35800.263784461153"/>
  </r>
  <r>
    <n v="58"/>
    <x v="57"/>
    <s v="محمد عبدالله حسين محمد السيد"/>
    <s v="اليمن"/>
    <s v="مؤسسة عبدالرحمن سلطان عبدالرحمن الرزيحي للتجارة"/>
    <x v="8"/>
    <n v="2000"/>
    <n v="26"/>
    <n v="43.083333333333336"/>
    <n v="0"/>
    <n v="116.66666666666667"/>
    <n v="83.333333333333329"/>
    <n v="62.5"/>
    <m/>
    <n v="54.166666666666664"/>
    <n v="808.33333333333337"/>
    <n v="96.491228070175438"/>
    <n v="35.087719298245609"/>
    <n v="197.89473684210526"/>
    <n v="3523.5570175438602"/>
    <n v="25809.557017543859"/>
  </r>
  <r>
    <n v="59"/>
    <x v="58"/>
    <s v="تهاني محمد محسن السهلي"/>
    <s v="سعودي"/>
    <s v="شركة ريال البركة للتجارة"/>
    <x v="10"/>
    <n v="4500"/>
    <n v="490"/>
    <m/>
    <n v="80.333333333333329"/>
    <n v="262.5"/>
    <n v="187.5"/>
    <n v="0"/>
    <m/>
    <n v="0"/>
    <n v="0"/>
    <n v="0"/>
    <n v="0"/>
    <n v="0"/>
    <n v="5520.333333333333"/>
    <n v="60410.333333333336"/>
  </r>
  <r>
    <n v="60"/>
    <x v="59"/>
    <s v="هشام مقبل عبده علي السلمي"/>
    <s v="اليمن"/>
    <s v="مؤسسة عبدالرحمن سلطان عبدالرحمن الرزيحي للتجارة"/>
    <x v="18"/>
    <n v="2800"/>
    <n v="40"/>
    <m/>
    <n v="0"/>
    <n v="163.33333333333334"/>
    <n v="116.66666666666667"/>
    <n v="62.5"/>
    <m/>
    <n v="54.166666666666664"/>
    <n v="808.33333333333337"/>
    <n v="500"/>
    <m/>
    <n v="197.89473684210526"/>
    <n v="4742.894736842105"/>
    <n v="35982.894736842107"/>
  </r>
  <r>
    <n v="61"/>
    <x v="60"/>
    <s v="مطيع صالح حمود قايد الفهد"/>
    <s v="اليمن"/>
    <s v="محل دكان الحلوي للحلويات"/>
    <x v="11"/>
    <n v="2000"/>
    <n v="28"/>
    <n v="53.5"/>
    <n v="0"/>
    <n v="116.66666666666667"/>
    <n v="83.333333333333329"/>
    <n v="62.5"/>
    <m/>
    <n v="54.166666666666664"/>
    <n v="808.33333333333337"/>
    <n v="0"/>
    <n v="0"/>
    <n v="425.44683823529419"/>
    <n v="3631.9468382352943"/>
    <n v="25939.946838235293"/>
  </r>
  <r>
    <n v="62"/>
    <x v="61"/>
    <s v="أحمد أحمد عبدالله أحمد"/>
    <s v="اليمن"/>
    <s v="مؤسسة زاوية ريال بركة للكماليات"/>
    <x v="16"/>
    <n v="2300"/>
    <n v="40"/>
    <m/>
    <n v="0"/>
    <n v="134.16666666666666"/>
    <n v="95.833333333333329"/>
    <n v="62.5"/>
    <m/>
    <n v="54.166666666666664"/>
    <n v="808.33333333333337"/>
    <n v="312.5"/>
    <n v="52.083333333333336"/>
    <n v="0"/>
    <n v="3859.5833333333335"/>
    <n v="29599.583333333332"/>
  </r>
  <r>
    <n v="63"/>
    <x v="62"/>
    <s v="محمد أحمد محمد عبد القوي الزيادي"/>
    <s v="اليمن"/>
    <s v="مؤسسة زاوية ريال بركة للكماليات"/>
    <x v="16"/>
    <n v="2500"/>
    <n v="40"/>
    <m/>
    <n v="0"/>
    <n v="145.83333333333334"/>
    <n v="104.16666666666667"/>
    <n v="62.5"/>
    <m/>
    <n v="54.166666666666664"/>
    <n v="808.33333333333337"/>
    <n v="312.5"/>
    <n v="52.083333333333336"/>
    <n v="0"/>
    <n v="4079.5833333333335"/>
    <n v="32019.583333333332"/>
  </r>
  <r>
    <n v="64"/>
    <x v="63"/>
    <s v="محمد عباس علي"/>
    <s v="بنجلاديش"/>
    <s v="شركة ريال البركة للتجارة"/>
    <x v="4"/>
    <n v="1900"/>
    <n v="26"/>
    <n v="25.25"/>
    <n v="18.333333333333332"/>
    <n v="110.83333333333333"/>
    <n v="79.166666666666671"/>
    <n v="75"/>
    <m/>
    <n v="54.166666666666664"/>
    <n v="808.33333333333337"/>
    <n v="187.5"/>
    <n v="41.666666666666664"/>
    <n v="425.44683823529419"/>
    <n v="3751.6968382352939"/>
    <n v="24937.696838235293"/>
  </r>
  <r>
    <n v="65"/>
    <x v="64"/>
    <s v="زكريا علي صالح احمد"/>
    <s v="اليمن"/>
    <s v="شركة ريال البركة للتجارة"/>
    <x v="1"/>
    <n v="3500"/>
    <n v="50"/>
    <n v="1877.5"/>
    <n v="0"/>
    <n v="204.16666666666666"/>
    <n v="145.83333333333334"/>
    <n v="125"/>
    <m/>
    <n v="54.166666666666664"/>
    <n v="808.33333333333337"/>
    <n v="500"/>
    <m/>
    <n v="425.44683823529419"/>
    <n v="7690.4468382352943"/>
    <n v="46740.446838235293"/>
  </r>
  <r>
    <n v="66"/>
    <x v="65"/>
    <s v="ايمان حسين"/>
    <s v="بنجلاديش"/>
    <s v="شركة ريال البركة للتجارة"/>
    <x v="14"/>
    <n v="1700"/>
    <n v="24"/>
    <n v="30.583333333333332"/>
    <n v="0"/>
    <n v="99.166666666666671"/>
    <n v="70.833333333333329"/>
    <n v="75"/>
    <m/>
    <n v="54.166666666666664"/>
    <n v="808.33333333333337"/>
    <n v="96.491228070175438"/>
    <n v="35.087719298245609"/>
    <n v="425.44683823529419"/>
    <n v="3419.1091189370491"/>
    <n v="22383.109118937045"/>
  </r>
  <r>
    <n v="67"/>
    <x v="66"/>
    <s v="رابي حسين"/>
    <s v="بنجلاديش"/>
    <s v="مؤسسة سلطان عبدالرحمن صالح الرزيحي للتجارة"/>
    <x v="15"/>
    <n v="1800"/>
    <n v="24"/>
    <n v="20.416666666666668"/>
    <n v="104.29583333333333"/>
    <n v="105"/>
    <n v="75"/>
    <n v="75"/>
    <m/>
    <n v="54.166666666666664"/>
    <n v="808.33333333333337"/>
    <n v="92.594444444444449"/>
    <n v="46.297222222222224"/>
    <n v="425.44683823529419"/>
    <n v="3630.5510049019613"/>
    <n v="23694.551004901961"/>
  </r>
  <r>
    <n v="68"/>
    <x v="67"/>
    <s v="فكري عبدالدائم محمد عبدالرحمن"/>
    <s v="اليمن"/>
    <s v="شركة ريال البركة للتجارة"/>
    <x v="5"/>
    <n v="800"/>
    <n v="16"/>
    <m/>
    <m/>
    <m/>
    <m/>
    <m/>
    <m/>
    <m/>
    <m/>
    <n v="0"/>
    <n v="0"/>
    <n v="425.44683823529419"/>
    <n v="1241.4468382352943"/>
    <n v="10217.446838235293"/>
  </r>
  <r>
    <n v="69"/>
    <x v="68"/>
    <s v="خالق عبد الرشيد"/>
    <s v="بنجلاديش"/>
    <s v="مؤسسة عبدالرحمن سلطان عبدالرحمن الرزيحي للتجارة"/>
    <x v="13"/>
    <n v="1750"/>
    <n v="24"/>
    <n v="30.583333333333332"/>
    <n v="18.333333333333332"/>
    <n v="102.08333333333333"/>
    <n v="72.916666666666671"/>
    <n v="75"/>
    <m/>
    <n v="54.166666666666664"/>
    <n v="808.33333333333337"/>
    <n v="220.23809523809521"/>
    <n v="35.714285714285715"/>
    <n v="197.89473684210526"/>
    <n v="3389.2637844611531"/>
    <n v="22903.263784461153"/>
  </r>
  <r>
    <n v="70"/>
    <x v="69"/>
    <s v="محمد السر علي الخليفة"/>
    <s v="السودان"/>
    <s v="مؤسسة عبدالرحمن سلطان عبدالرحمن الرزيحي للتجارة"/>
    <x v="11"/>
    <n v="1900"/>
    <n v="26"/>
    <n v="113.33333333333333"/>
    <n v="0"/>
    <n v="110.83333333333333"/>
    <n v="79.166666666666671"/>
    <n v="62.5"/>
    <m/>
    <n v="54.166666666666664"/>
    <n v="808.33333333333337"/>
    <n v="0"/>
    <n v="0"/>
    <n v="688"/>
    <n v="3842.333333333333"/>
    <n v="25028.333333333332"/>
  </r>
  <r>
    <n v="71"/>
    <x v="70"/>
    <s v="حسام حسن عبده الحاج حزام"/>
    <s v="اليمن"/>
    <s v="مؤسسة عبدالرحمن سلطان عبدالرحمن الرزيحي للتجارة"/>
    <x v="19"/>
    <n v="2500"/>
    <n v="36"/>
    <n v="34.333333333333336"/>
    <n v="18.333333333333332"/>
    <n v="145.83333333333334"/>
    <n v="104.16666666666667"/>
    <n v="62.5"/>
    <m/>
    <n v="54.166666666666664"/>
    <n v="808.33333333333337"/>
    <n v="546.25"/>
    <n v="31.25"/>
    <n v="197.89473684210526"/>
    <n v="4539.0614035087719"/>
    <n v="32435.061403508771"/>
  </r>
  <r>
    <n v="72"/>
    <x v="71"/>
    <s v="امجد حسين صديقي"/>
    <s v="نيبال"/>
    <s v="شركة ريال البركة للتجارة"/>
    <x v="14"/>
    <n v="1700"/>
    <n v="20"/>
    <n v="16.25"/>
    <n v="0"/>
    <n v="99.166666666666671"/>
    <n v="70.833333333333329"/>
    <n v="75"/>
    <m/>
    <n v="54.166666666666664"/>
    <n v="808.33333333333337"/>
    <n v="96.491228070175438"/>
    <n v="35.087719298245609"/>
    <n v="425.44683823529419"/>
    <n v="3400.7757856037156"/>
    <n v="22320.775785603713"/>
  </r>
  <r>
    <n v="73"/>
    <x v="72"/>
    <s v="خدادين منصور"/>
    <s v="نيبال"/>
    <s v="شركة ريال البركة للتجارة"/>
    <x v="2"/>
    <n v="1700"/>
    <n v="24"/>
    <m/>
    <n v="0"/>
    <n v="99.166666666666671"/>
    <n v="70.833333333333329"/>
    <n v="75"/>
    <m/>
    <n v="54.166666666666664"/>
    <n v="808.33333333333337"/>
    <n v="0"/>
    <n v="0"/>
    <n v="425.44683823529419"/>
    <n v="3256.9468382352943"/>
    <n v="22220.946838235293"/>
  </r>
  <r>
    <n v="74"/>
    <x v="73"/>
    <s v="رانجيف شيخ"/>
    <s v="نيبال"/>
    <s v="مصنع سلطان عبدالرحمن صالح الرزيحي للمنتجات الورقية"/>
    <x v="11"/>
    <n v="1700"/>
    <n v="24"/>
    <n v="20.416666666666668"/>
    <n v="0"/>
    <n v="99.166666666666671"/>
    <n v="70.833333333333329"/>
    <n v="75"/>
    <m/>
    <n v="54.166666666666664"/>
    <n v="808.33333333333337"/>
    <n v="0"/>
    <n v="0"/>
    <n v="425.44683823529419"/>
    <n v="3277.3635049019613"/>
    <n v="22241.363504901961"/>
  </r>
  <r>
    <n v="75"/>
    <x v="74"/>
    <s v="شيخ احمد علام"/>
    <s v="نيبال"/>
    <s v="شركة ريال البركة للتجارة"/>
    <x v="14"/>
    <n v="1700"/>
    <n v="24"/>
    <m/>
    <n v="0"/>
    <n v="99.166666666666671"/>
    <n v="70.833333333333329"/>
    <n v="75"/>
    <m/>
    <n v="54.166666666666664"/>
    <n v="808.33333333333337"/>
    <n v="96.491228070175438"/>
    <n v="35.087719298245609"/>
    <n v="425.44683823529419"/>
    <n v="3388.5257856037156"/>
    <n v="22352.525785603713"/>
  </r>
  <r>
    <n v="76"/>
    <x v="75"/>
    <s v="شيخ اسك"/>
    <s v="نيبال"/>
    <s v="شركة ريال البركة للتجارة"/>
    <x v="6"/>
    <n v="1700"/>
    <n v="24"/>
    <n v="16.25"/>
    <n v="0"/>
    <n v="99.166666666666671"/>
    <n v="70.833333333333329"/>
    <n v="75"/>
    <m/>
    <n v="54.166666666666664"/>
    <n v="808.33333333333337"/>
    <n v="0"/>
    <n v="0"/>
    <n v="425.44683823529419"/>
    <n v="3273.1968382352943"/>
    <n v="22237.196838235293"/>
  </r>
  <r>
    <n v="77"/>
    <x v="76"/>
    <s v="ضيا انصاري"/>
    <s v="نيبال"/>
    <s v="شركة ريال البركة للتجارة"/>
    <x v="14"/>
    <n v="1700"/>
    <n v="24"/>
    <n v="16.25"/>
    <n v="0"/>
    <n v="99.166666666666671"/>
    <n v="70.833333333333329"/>
    <n v="75"/>
    <m/>
    <n v="54.166666666666664"/>
    <n v="808.33333333333337"/>
    <n v="96.491228070175438"/>
    <n v="35.087719298245609"/>
    <n v="425.44683823529419"/>
    <n v="3404.7757856037156"/>
    <n v="22368.775785603713"/>
  </r>
  <r>
    <n v="78"/>
    <x v="77"/>
    <s v="عطا بول انصاري"/>
    <s v="نيبال"/>
    <s v="شركة ريال البركة للتجارة"/>
    <x v="4"/>
    <n v="1700"/>
    <n v="24"/>
    <n v="16.25"/>
    <n v="18.333333333333332"/>
    <n v="99.166666666666671"/>
    <n v="70.833333333333329"/>
    <n v="75"/>
    <m/>
    <n v="54.166666666666664"/>
    <n v="808.33333333333337"/>
    <n v="187.5"/>
    <n v="41.666666666666664"/>
    <n v="425.44683823529419"/>
    <n v="3520.6968382352943"/>
    <n v="22484.696838235293"/>
  </r>
  <r>
    <n v="79"/>
    <x v="78"/>
    <s v="كنانين سيس"/>
    <s v="نيبال"/>
    <s v="مصنع سلطان عبدالرحمن صالح الرزيحي للمنتجات الورقية"/>
    <x v="11"/>
    <n v="1700"/>
    <n v="24"/>
    <n v="20.416666666666668"/>
    <n v="0"/>
    <n v="99.166666666666671"/>
    <n v="70.833333333333329"/>
    <n v="75"/>
    <m/>
    <n v="54.166666666666664"/>
    <n v="808.33333333333337"/>
    <n v="0"/>
    <n v="0"/>
    <n v="425.44683823529419"/>
    <n v="3277.3635049019613"/>
    <n v="22241.363504901961"/>
  </r>
  <r>
    <n v="80"/>
    <x v="79"/>
    <s v="شاة بران"/>
    <s v="بنجلاديش"/>
    <s v="مؤسسة عبدالرحمن سلطان عبدالرحمن الرزيحي للتجارة"/>
    <x v="19"/>
    <n v="1700"/>
    <n v="24"/>
    <n v="20.416666666666668"/>
    <n v="18.333333333333332"/>
    <n v="99.166666666666671"/>
    <n v="70.833333333333329"/>
    <n v="75"/>
    <m/>
    <n v="54.166666666666664"/>
    <n v="808.33333333333337"/>
    <n v="546.25"/>
    <n v="31.25"/>
    <n v="197.89473684210526"/>
    <n v="3645.6447368421054"/>
    <n v="22609.644736842107"/>
  </r>
  <r>
    <n v="81"/>
    <x v="80"/>
    <s v="محمد مأمون حسين"/>
    <s v="بنجلاديش"/>
    <s v="مؤسسة عبدالرحمن سلطان عبدالرحمن الرزيحي للتجارة"/>
    <x v="13"/>
    <n v="1750"/>
    <n v="28"/>
    <n v="20.416666666666668"/>
    <n v="18.333333333333332"/>
    <n v="102.08333333333333"/>
    <n v="72.916666666666671"/>
    <n v="75"/>
    <m/>
    <n v="54.166666666666664"/>
    <n v="808.33333333333337"/>
    <n v="220.23809523809521"/>
    <n v="35.714285714285715"/>
    <n v="197.89473684210526"/>
    <n v="3383.0971177944866"/>
    <n v="22941.097117794488"/>
  </r>
  <r>
    <n v="82"/>
    <x v="81"/>
    <s v="اسف علم كندي عبد الستار"/>
    <s v="الهند"/>
    <s v="شركة ريال البركة للتجارة"/>
    <x v="1"/>
    <n v="2300"/>
    <n v="28"/>
    <m/>
    <n v="0"/>
    <n v="134.16666666666666"/>
    <n v="95.833333333333329"/>
    <n v="75"/>
    <m/>
    <n v="54.166666666666664"/>
    <n v="808.33333333333337"/>
    <n v="96.491228070175438"/>
    <n v="35.087719298245609"/>
    <n v="425.44683823529419"/>
    <n v="4052.5257856037156"/>
    <n v="29660.525785603713"/>
  </r>
  <r>
    <n v="83"/>
    <x v="82"/>
    <s v="وسيم بري خان"/>
    <s v="الهند"/>
    <s v="شركة ريال البركة للتجارة"/>
    <x v="10"/>
    <n v="1800"/>
    <n v="24"/>
    <n v="31.333333333333332"/>
    <n v="18.333333333333332"/>
    <n v="105"/>
    <n v="75"/>
    <n v="75"/>
    <m/>
    <n v="54.166666666666664"/>
    <n v="808.33333333333337"/>
    <n v="197.43589743589743"/>
    <n v="41.666666666666664"/>
    <n v="425.44683823529419"/>
    <n v="3655.7160690045248"/>
    <n v="23719.716069004524"/>
  </r>
  <r>
    <n v="84"/>
    <x v="83"/>
    <s v="بلال حوسان سيفال"/>
    <s v="بنجلاديش"/>
    <s v="مؤسسة عبدالرحمن سلطان عبدالرحمن الرزيحي للتجارة"/>
    <x v="18"/>
    <n v="1650"/>
    <n v="20"/>
    <m/>
    <n v="0"/>
    <n v="96.25"/>
    <n v="68.75"/>
    <n v="75"/>
    <m/>
    <n v="54.166666666666664"/>
    <n v="808.33333333333337"/>
    <n v="333.33333333333331"/>
    <n v="166.66666666666666"/>
    <n v="197.89473684210526"/>
    <n v="3470.3947368421054"/>
    <n v="21840.394736842107"/>
  </r>
  <r>
    <n v="85"/>
    <x v="84"/>
    <s v="سري بيدان ساركار"/>
    <s v="بنجلاديش"/>
    <s v="مؤسسة عبدالرحمن سلطان عبدالرحمن الرزيحي للتجارة"/>
    <x v="13"/>
    <n v="1750"/>
    <n v="24"/>
    <n v="25.25"/>
    <n v="18.333333333333332"/>
    <n v="102.08333333333333"/>
    <n v="72.916666666666671"/>
    <n v="75"/>
    <m/>
    <n v="54.166666666666664"/>
    <n v="808.33333333333337"/>
    <n v="220.23809523809521"/>
    <n v="35.714285714285715"/>
    <n v="197.89473684210526"/>
    <n v="3383.9304511278197"/>
    <n v="22897.930451127821"/>
  </r>
  <r>
    <n v="86"/>
    <x v="85"/>
    <s v="محمد أنس علي"/>
    <s v="بنجلاديش"/>
    <s v="مؤسسة عبدالرحمن سلطان عبدالرحمن الرزيحي للتجارة"/>
    <x v="18"/>
    <n v="1700"/>
    <n v="24"/>
    <n v="16.25"/>
    <n v="0"/>
    <n v="99.166666666666671"/>
    <n v="70.833333333333329"/>
    <n v="75"/>
    <m/>
    <n v="54.166666666666664"/>
    <n v="808.33333333333337"/>
    <n v="333.33333333333331"/>
    <n v="166.66666666666666"/>
    <n v="197.89473684210526"/>
    <n v="3545.6447368421054"/>
    <n v="22509.644736842107"/>
  </r>
  <r>
    <n v="87"/>
    <x v="86"/>
    <s v="مد شبوزا"/>
    <s v="بنجلاديش"/>
    <s v="مؤسسة عبدالرحمن سلطان عبدالرحمن الرزيحي للتجارة"/>
    <x v="19"/>
    <n v="1650"/>
    <n v="20"/>
    <n v="16.25"/>
    <n v="18.333333333333332"/>
    <n v="96.25"/>
    <n v="68.75"/>
    <n v="75"/>
    <m/>
    <n v="54.166666666666664"/>
    <n v="808.33333333333337"/>
    <n v="546.25"/>
    <n v="31.25"/>
    <n v="197.89473684210526"/>
    <n v="3582.4780701754389"/>
    <n v="21952.478070175439"/>
  </r>
  <r>
    <n v="88"/>
    <x v="87"/>
    <s v="محمد فاروق حسين"/>
    <s v="بنجلاديش"/>
    <s v="مؤسسة عبدالرحمن سلطان عبدالرحمن الرزيحي للتجارة"/>
    <x v="19"/>
    <n v="1700"/>
    <n v="24"/>
    <n v="20.416666666666668"/>
    <n v="18.333333333333332"/>
    <n v="99.166666666666671"/>
    <n v="70.833333333333329"/>
    <n v="75"/>
    <m/>
    <n v="54.166666666666664"/>
    <n v="808.33333333333337"/>
    <n v="546.25"/>
    <n v="31.25"/>
    <n v="197.89473684210526"/>
    <n v="3645.6447368421054"/>
    <n v="22609.644736842107"/>
  </r>
  <r>
    <n v="89"/>
    <x v="88"/>
    <s v="عبدالله الطحامي"/>
    <s v="سعودي"/>
    <s v="دوام جزئي"/>
    <x v="12"/>
    <n v="6000"/>
    <n v="0"/>
    <n v="0"/>
    <n v="0"/>
    <n v="0"/>
    <n v="0"/>
    <n v="0"/>
    <n v="0"/>
    <n v="0"/>
    <n v="0"/>
    <n v="0"/>
    <n v="0"/>
    <n v="0"/>
    <n v="6000"/>
    <n v="72000"/>
  </r>
  <r>
    <n v="90"/>
    <x v="89"/>
    <s v="نوره حمد فنيس الكبرى"/>
    <s v="سعودي"/>
    <s v="شركة ريال البركة للتجارة"/>
    <x v="4"/>
    <n v="4300"/>
    <n v="80"/>
    <n v="27.583333333333332"/>
    <n v="18.333333333333332"/>
    <n v="250.83333333333334"/>
    <n v="179.16666666666666"/>
    <n v="0"/>
    <m/>
    <n v="0"/>
    <n v="0"/>
    <n v="0"/>
    <n v="0"/>
    <n v="0"/>
    <n v="4855.9166666666661"/>
    <n v="53035.916666666672"/>
  </r>
  <r>
    <n v="91"/>
    <x v="90"/>
    <s v="مجيد مياه عبدال حنان"/>
    <s v="بنجلاديش"/>
    <s v="مؤسسة عبدالرحمن سلطان عبدالرحمن الرزيحي للتجارة"/>
    <x v="13"/>
    <n v="1750"/>
    <n v="24"/>
    <m/>
    <n v="18.333333333333332"/>
    <n v="102.08333333333333"/>
    <n v="72.916666666666671"/>
    <n v="75"/>
    <m/>
    <n v="54.166666666666664"/>
    <n v="808.33333333333337"/>
    <n v="220.23809523809521"/>
    <n v="35.714285714285715"/>
    <n v="197.89473684210526"/>
    <n v="3358.6804511278201"/>
    <n v="22872.680451127821"/>
  </r>
  <r>
    <n v="92"/>
    <x v="91"/>
    <s v="الهنوف خالد محمد الباحوث"/>
    <s v="سعودي"/>
    <s v="شركة ريال البركة للتجارة"/>
    <x v="4"/>
    <n v="4300"/>
    <n v="80"/>
    <n v="27.583333333333332"/>
    <n v="18.333333333333332"/>
    <n v="250.83333333333334"/>
    <n v="179.16666666666666"/>
    <n v="0"/>
    <m/>
    <n v="0"/>
    <n v="0"/>
    <n v="0"/>
    <n v="0"/>
    <n v="0"/>
    <n v="4855.9166666666661"/>
    <n v="53035.916666666672"/>
  </r>
  <r>
    <n v="93"/>
    <x v="92"/>
    <s v="حافظ محمد يحي حكمي"/>
    <s v="سعودي"/>
    <s v="عن بعد"/>
    <x v="12"/>
    <n v="5500"/>
    <n v="0"/>
    <n v="0"/>
    <n v="0"/>
    <n v="0"/>
    <n v="0"/>
    <n v="0"/>
    <n v="0"/>
    <n v="0"/>
    <n v="0"/>
    <n v="0"/>
    <n v="0"/>
    <n v="0"/>
    <n v="5500"/>
    <n v="66000"/>
  </r>
  <r>
    <n v="94"/>
    <x v="93"/>
    <s v="محمد عبدالمنعم السيد عرفه"/>
    <s v="مصر"/>
    <s v="مؤسسة عبدالرحمن سلطان عبدالرحمن الرزيحي للتجارة"/>
    <x v="20"/>
    <n v="400"/>
    <n v="8"/>
    <m/>
    <n v="0"/>
    <n v="0"/>
    <n v="0"/>
    <n v="0"/>
    <m/>
    <n v="0"/>
    <n v="0"/>
    <n v="0"/>
    <n v="0"/>
    <n v="688"/>
    <n v="1096"/>
    <n v="5584"/>
  </r>
  <r>
    <n v="95"/>
    <x v="94"/>
    <s v="عمر محمود محمد احمد"/>
    <s v="مصر"/>
    <s v="شركة ريال البركة للتجارة"/>
    <x v="1"/>
    <n v="3500"/>
    <n v="48"/>
    <n v="43.083333333333336"/>
    <n v="0"/>
    <n v="204.16666666666666"/>
    <n v="145.83333333333334"/>
    <n v="125"/>
    <m/>
    <n v="54.166666666666664"/>
    <n v="808.33333333333337"/>
    <n v="658.33333333333337"/>
    <n v="83.333333333333329"/>
    <n v="425.44683823529419"/>
    <n v="6095.6968382352934"/>
    <n v="45123.696838235301"/>
  </r>
  <r>
    <n v="96"/>
    <x v="95"/>
    <s v="احمد سمير محمود الجندى"/>
    <s v="مصر"/>
    <s v="شركة ريال البركة للتجارة"/>
    <x v="2"/>
    <n v="2500"/>
    <n v="32"/>
    <n v="43.083333333333336"/>
    <n v="0"/>
    <n v="145.83333333333334"/>
    <n v="104.16666666666667"/>
    <n v="62.5"/>
    <m/>
    <n v="54.166666666666664"/>
    <n v="808.33333333333337"/>
    <n v="0"/>
    <n v="0"/>
    <n v="425.44683823529419"/>
    <n v="4175.5301715686273"/>
    <n v="32027.530171568626"/>
  </r>
  <r>
    <n v="97"/>
    <x v="96"/>
    <s v="خالد محمود لالديم"/>
    <s v="باكستان"/>
    <s v="شركة ريال البركة للتجارة"/>
    <x v="1"/>
    <n v="4000"/>
    <n v="56"/>
    <n v="34.599166666666669"/>
    <n v="0"/>
    <n v="233.33333333333334"/>
    <n v="166.66666666666666"/>
    <n v="75"/>
    <m/>
    <n v="54.166666666666664"/>
    <n v="808.33333333333337"/>
    <n v="0"/>
    <n v="0"/>
    <n v="425.44683823529419"/>
    <n v="5853.5460049019612"/>
    <n v="50469.54600490196"/>
  </r>
  <r>
    <n v="98"/>
    <x v="97"/>
    <s v="أبو طاهر أبو الحسم"/>
    <s v="بنجلاديش"/>
    <s v="مؤسسة عبدالرحمن سلطان عبدالرحمن الرزيحي للتجارة"/>
    <x v="18"/>
    <n v="1650"/>
    <n v="24"/>
    <n v="30.583333333333332"/>
    <n v="0"/>
    <n v="96.25"/>
    <n v="68.75"/>
    <n v="75"/>
    <m/>
    <n v="54.166666666666664"/>
    <n v="808.33333333333337"/>
    <n v="333.33333333333331"/>
    <n v="166.66666666666666"/>
    <n v="197.89473684210526"/>
    <n v="3504.9780701754389"/>
    <n v="21918.978070175439"/>
  </r>
  <r>
    <n v="99"/>
    <x v="98"/>
    <s v="طه اسامه طه يسين"/>
    <s v="مصر"/>
    <s v="شركة ريال البركة للتجارة"/>
    <x v="1"/>
    <n v="3200"/>
    <n v="48"/>
    <n v="43.083333333333336"/>
    <n v="0"/>
    <n v="186.66666666666666"/>
    <n v="133.33333333333334"/>
    <n v="125"/>
    <m/>
    <n v="54.166666666666664"/>
    <n v="808.33333333333337"/>
    <n v="658.33333333333337"/>
    <n v="83.333333333333329"/>
    <n v="425.44683823529419"/>
    <n v="5765.6968382352934"/>
    <n v="41493.696838235301"/>
  </r>
  <r>
    <n v="100"/>
    <x v="99"/>
    <s v="عمار عبدالغني صادق حمود الجعمي"/>
    <s v="اليمن"/>
    <s v="شركة ريال البركة للتجارة"/>
    <x v="6"/>
    <n v="2600"/>
    <n v="36"/>
    <n v="34.333333333333336"/>
    <n v="0"/>
    <n v="151.66666666666666"/>
    <n v="108.33333333333333"/>
    <n v="62.5"/>
    <m/>
    <n v="54.166666666666664"/>
    <n v="808.33333333333337"/>
    <n v="96.491228070175438"/>
    <n v="35.087719298245609"/>
    <n v="425.44683823529419"/>
    <n v="4412.3591189370491"/>
    <n v="33408.359118937049"/>
  </r>
  <r>
    <n v="101"/>
    <x v="100"/>
    <s v="فواز سليمان صالح المريشد"/>
    <s v="سعودي"/>
    <s v="شركة ريال البركة للتجارة"/>
    <x v="12"/>
    <n v="5500"/>
    <n v="490"/>
    <n v="20.416666666666668"/>
    <n v="0"/>
    <n v="320.83333333333331"/>
    <n v="229.16666666666666"/>
    <n v="0"/>
    <m/>
    <n v="0"/>
    <n v="0"/>
    <n v="0"/>
    <n v="0"/>
    <n v="0"/>
    <n v="6560.416666666667"/>
    <n v="72450.416666666672"/>
  </r>
  <r>
    <n v="102"/>
    <x v="101"/>
    <s v="شير محمد قلشي"/>
    <s v="باكستان"/>
    <s v="مؤسسة عبدالرحمن سلطان عبدالرحمن الرزيحي للتجارة"/>
    <x v="20"/>
    <n v="400"/>
    <n v="8"/>
    <n v="40"/>
    <n v="0"/>
    <n v="0"/>
    <n v="0"/>
    <n v="0"/>
    <m/>
    <n v="0"/>
    <n v="0"/>
    <n v="0"/>
    <n v="0"/>
    <n v="688"/>
    <n v="1136"/>
    <n v="5624"/>
  </r>
  <r>
    <n v="103"/>
    <x v="102"/>
    <s v="عبد الله محمد عبده حكمي"/>
    <s v="سعودي"/>
    <s v="مؤسسة زاوية ريال بركة للكماليات"/>
    <x v="17"/>
    <n v="4500"/>
    <n v="490"/>
    <m/>
    <n v="0"/>
    <n v="262.5"/>
    <n v="187.5"/>
    <n v="0"/>
    <m/>
    <n v="0"/>
    <n v="0"/>
    <n v="0"/>
    <n v="0"/>
    <m/>
    <n v="5440"/>
    <n v="60330"/>
  </r>
  <r>
    <n v="104"/>
    <x v="103"/>
    <s v="منيرة شافي هضيبان النتيفات"/>
    <s v="سعودي"/>
    <s v="شركة ريال البركة للتجارة"/>
    <x v="4"/>
    <n v="4300"/>
    <n v="490"/>
    <n v="27.583333333333332"/>
    <n v="18.333333333333332"/>
    <n v="250.83333333333334"/>
    <n v="179.16666666666666"/>
    <n v="0"/>
    <m/>
    <n v="0"/>
    <n v="0"/>
    <n v="0"/>
    <n v="0"/>
    <n v="0"/>
    <n v="5265.9166666666661"/>
    <n v="57955.916666666672"/>
  </r>
  <r>
    <n v="105"/>
    <x v="104"/>
    <s v="شذى فرحان معاشي العنزي"/>
    <s v="سعودي"/>
    <s v="شركة ريال البركة للتجارة"/>
    <x v="10"/>
    <n v="4060"/>
    <n v="490"/>
    <n v="27.583333333333332"/>
    <n v="80.333333333333329"/>
    <n v="236.83333333333334"/>
    <n v="169.16666666666666"/>
    <n v="0"/>
    <m/>
    <n v="0"/>
    <n v="0"/>
    <n v="0"/>
    <n v="0"/>
    <n v="0"/>
    <n v="5063.9166666666661"/>
    <n v="55113.916666666672"/>
  </r>
  <r>
    <n v="106"/>
    <x v="105"/>
    <s v="أشواق سويد يحي قاصر"/>
    <s v="سعودي"/>
    <s v="مؤسسة عبدالرحمن سلطان عبدالرحمن الرزيحي للتجارة"/>
    <x v="19"/>
    <n v="4200"/>
    <n v="490"/>
    <n v="31.5"/>
    <n v="80.333333333333329"/>
    <n v="245"/>
    <n v="175"/>
    <n v="0"/>
    <m/>
    <n v="0"/>
    <n v="0"/>
    <n v="0"/>
    <n v="0"/>
    <n v="1150"/>
    <n v="6371.833333333333"/>
    <n v="57961.833333333336"/>
  </r>
  <r>
    <n v="107"/>
    <x v="106"/>
    <s v="بنين عبدالله موسي آل درويش"/>
    <s v="سعودي"/>
    <s v="شركة ريال البركة للتجارة"/>
    <x v="7"/>
    <n v="4300"/>
    <n v="490"/>
    <n v="27.583333333333332"/>
    <n v="0"/>
    <n v="250.83333333333334"/>
    <n v="179.16666666666666"/>
    <n v="0"/>
    <m/>
    <n v="0"/>
    <n v="0"/>
    <n v="0"/>
    <n v="0"/>
    <n v="0"/>
    <n v="5247.583333333333"/>
    <n v="57937.583333333336"/>
  </r>
  <r>
    <n v="108"/>
    <x v="107"/>
    <s v="محمد عيضة عوض المالكي"/>
    <s v="سعودي"/>
    <s v="مؤسسة زاوية ريال بركة للكماليات"/>
    <x v="16"/>
    <n v="4000"/>
    <n v="490"/>
    <m/>
    <n v="0"/>
    <n v="233.33333333333334"/>
    <n v="166.66666666666666"/>
    <n v="0"/>
    <m/>
    <n v="0"/>
    <n v="0"/>
    <n v="0"/>
    <n v="0"/>
    <n v="0"/>
    <n v="4890"/>
    <n v="54280"/>
  </r>
  <r>
    <n v="109"/>
    <x v="108"/>
    <s v="محمد عبدالسلام محمد سيف العامري"/>
    <s v="اليمن"/>
    <s v="شركة ريال البركة للتجارة"/>
    <x v="14"/>
    <n v="2800"/>
    <n v="50"/>
    <n v="22.448333333333334"/>
    <n v="0"/>
    <n v="163.33333333333334"/>
    <n v="116.66666666666667"/>
    <n v="62.5"/>
    <m/>
    <n v="54.166666666666664"/>
    <n v="808.33333333333337"/>
    <n v="96.491228070175438"/>
    <n v="35.087719298245609"/>
    <n v="425.44683823529419"/>
    <n v="4634.4741189370479"/>
    <n v="35984.474118937047"/>
  </r>
  <r>
    <n v="110"/>
    <x v="109"/>
    <s v="اسامه عبداللطيف عمر عبداللطيف"/>
    <s v="مصر"/>
    <s v="شركة ريال البركة للتجارة"/>
    <x v="1"/>
    <n v="3000"/>
    <n v="54"/>
    <m/>
    <n v="0"/>
    <n v="175"/>
    <n v="125"/>
    <n v="125"/>
    <m/>
    <n v="54.166666666666664"/>
    <n v="808.33333333333337"/>
    <n v="500"/>
    <m/>
    <n v="425.44683823529419"/>
    <n v="5266.9468382352943"/>
    <n v="38860.946838235293"/>
  </r>
  <r>
    <n v="111"/>
    <x v="110"/>
    <s v="منيرة سالم إبراهيم المفتاح"/>
    <s v="سعودي"/>
    <s v="مؤسسة عبدالرحمن سلطان عبدالرحمن الرزيحي للتجارة"/>
    <x v="13"/>
    <n v="4000"/>
    <n v="80"/>
    <n v="26.446666666666669"/>
    <n v="18.333333333333332"/>
    <n v="233.33333333333334"/>
    <n v="166.66666666666666"/>
    <n v="0"/>
    <m/>
    <n v="0"/>
    <n v="0"/>
    <n v="0"/>
    <n v="0"/>
    <n v="1150"/>
    <n v="5674.78"/>
    <n v="50554.78"/>
  </r>
  <r>
    <n v="112"/>
    <x v="111"/>
    <s v="عبد الله يحي حسن مجممي"/>
    <s v="سعودي"/>
    <s v="مؤسسة عبدالرحمن سلطان عبدالرحمن الرزيحي للتجارة"/>
    <x v="19"/>
    <n v="4000"/>
    <n v="80"/>
    <n v="15.58"/>
    <n v="18.333333333333332"/>
    <n v="233.33333333333334"/>
    <n v="166.66666666666666"/>
    <n v="0"/>
    <m/>
    <n v="0"/>
    <n v="0"/>
    <n v="0"/>
    <n v="0"/>
    <n v="1150"/>
    <n v="5663.913333333333"/>
    <n v="50543.913333333338"/>
  </r>
  <r>
    <n v="113"/>
    <x v="112"/>
    <s v="عزالدين عبدالله موسي الفكي"/>
    <s v="السودان"/>
    <s v="شركة ريال البركة للتجارة"/>
    <x v="8"/>
    <n v="2200"/>
    <n v="36"/>
    <n v="28.17"/>
    <n v="0"/>
    <n v="128.33333333333334"/>
    <n v="91.666666666666671"/>
    <n v="62.5"/>
    <m/>
    <n v="54.166666666666664"/>
    <n v="808.33333333333337"/>
    <n v="96.491228070175438"/>
    <n v="35.087719298245609"/>
    <n v="425.44683823529419"/>
    <n v="3966.1957856037156"/>
    <n v="28562.195785603712"/>
  </r>
  <r>
    <n v="114"/>
    <x v="113"/>
    <s v="محسن يحي محسن عميسان"/>
    <s v="اليمن"/>
    <s v="شركة ممكن للاثاث ( شركة شخص واحد )"/>
    <x v="21"/>
    <n v="5000"/>
    <n v="28"/>
    <m/>
    <n v="0"/>
    <n v="291.66666666666669"/>
    <n v="208.33333333333334"/>
    <n v="62.5"/>
    <n v="166.66666666666666"/>
    <n v="54.166666666666664"/>
    <n v="808.33333333333337"/>
    <n v="0"/>
    <n v="0"/>
    <n v="1253.3333333333333"/>
    <n v="7873"/>
    <n v="63181"/>
  </r>
  <r>
    <n v="115"/>
    <x v="114"/>
    <s v="ضيف الله احمد عبدالله اليافعي"/>
    <s v="اليمن"/>
    <s v="شركة ممكن للاثاث ( شركة شخص واحد )"/>
    <x v="21"/>
    <n v="3500"/>
    <n v="50"/>
    <m/>
    <n v="0"/>
    <n v="204.16666666666666"/>
    <n v="145.83333333333334"/>
    <n v="62.5"/>
    <n v="166.66666666666666"/>
    <n v="54.166666666666664"/>
    <n v="808.33333333333337"/>
    <n v="0"/>
    <n v="0"/>
    <n v="1253.3333333333333"/>
    <n v="6245"/>
    <n v="45295"/>
  </r>
  <r>
    <n v="116"/>
    <x v="115"/>
    <s v="اسامه عبده احمد عبدالله العبادي"/>
    <s v="اليمن"/>
    <s v="شركة ممكن للاثاث ( شركة شخص واحد )"/>
    <x v="21"/>
    <n v="2200"/>
    <n v="24"/>
    <m/>
    <n v="0"/>
    <n v="128.33333333333334"/>
    <n v="91.666666666666671"/>
    <n v="62.5"/>
    <n v="166.66666666666666"/>
    <n v="54.166666666666664"/>
    <n v="808.33333333333337"/>
    <n v="0"/>
    <n v="0"/>
    <n v="1253.3333333333333"/>
    <n v="4789"/>
    <n v="29253"/>
  </r>
  <r>
    <n v="117"/>
    <x v="116"/>
    <s v="عبدالحافظ رشاد علي سعيد"/>
    <s v="اليمن"/>
    <s v="شركة ممكن للاثاث ( شركة شخص واحد )"/>
    <x v="21"/>
    <n v="2000"/>
    <n v="30"/>
    <m/>
    <n v="0"/>
    <n v="116.66666666666667"/>
    <n v="83.333333333333329"/>
    <n v="62.5"/>
    <n v="166.66666666666666"/>
    <n v="54.166666666666664"/>
    <n v="808.33333333333337"/>
    <n v="0"/>
    <n v="0"/>
    <n v="1253.3333333333333"/>
    <n v="4575"/>
    <n v="26905"/>
  </r>
  <r>
    <n v="118"/>
    <x v="117"/>
    <s v="حسن عبده حزام عساج"/>
    <s v="اليمن"/>
    <s v="شركة ممكن للاثاث ( شركة شخص واحد )"/>
    <x v="21"/>
    <n v="2800"/>
    <n v="24"/>
    <m/>
    <n v="0"/>
    <n v="163.33333333333334"/>
    <n v="116.66666666666667"/>
    <n v="62.5"/>
    <n v="166.66666666666666"/>
    <n v="54.166666666666664"/>
    <n v="808.33333333333337"/>
    <n v="0"/>
    <n v="0"/>
    <n v="1253.3333333333333"/>
    <n v="5448.9999999999991"/>
    <n v="36513"/>
  </r>
  <r>
    <n v="119"/>
    <x v="118"/>
    <s v="محمد عمر سعد محمود"/>
    <s v="مصر"/>
    <s v="شركة ممكن للاثاث ( شركة شخص واحد )"/>
    <x v="21"/>
    <n v="3500"/>
    <n v="50"/>
    <m/>
    <n v="0"/>
    <n v="204.16666666666666"/>
    <n v="145.83333333333334"/>
    <n v="62.5"/>
    <n v="166.66666666666666"/>
    <n v="54.166666666666664"/>
    <n v="808.33333333333337"/>
    <n v="0"/>
    <n v="0"/>
    <n v="1253.3333333333333"/>
    <n v="6245"/>
    <n v="45295"/>
  </r>
  <r>
    <n v="120"/>
    <x v="119"/>
    <s v="صالحه علي أحمد هزازي"/>
    <s v="سعودي"/>
    <s v="شركة ريال البركة للتجارة"/>
    <x v="7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21"/>
    <x v="120"/>
    <s v="علي سمير حسن"/>
    <s v="مصر"/>
    <s v="مصنع سلطان عبدالرحمن صالح الرزيحي للمنتجات الورقية"/>
    <x v="11"/>
    <n v="2250"/>
    <n v="36"/>
    <n v="0"/>
    <n v="0"/>
    <n v="131.25"/>
    <n v="93.75"/>
    <n v="62.5"/>
    <n v="0"/>
    <n v="54.166666666666664"/>
    <n v="808.33333333333337"/>
    <n v="0"/>
    <n v="0"/>
    <n v="425.44683823529419"/>
    <n v="3861.4468382352943"/>
    <n v="29007.446838235293"/>
  </r>
  <r>
    <n v="122"/>
    <x v="121"/>
    <s v="أحمد جابر احمد مدكور"/>
    <s v="مصر"/>
    <s v="مصنع سلطان عبدالرحمن صالح الرزيحي للمنتجات الورقية"/>
    <x v="11"/>
    <n v="4000"/>
    <n v="60"/>
    <n v="0"/>
    <n v="0"/>
    <n v="233.33333333333334"/>
    <n v="166.66666666666666"/>
    <n v="62.5"/>
    <n v="0"/>
    <n v="54.166666666666664"/>
    <n v="808.33333333333337"/>
    <n v="0"/>
    <n v="0"/>
    <n v="425.44683823529419"/>
    <n v="5810.4468382352943"/>
    <n v="50470.446838235293"/>
  </r>
  <r>
    <n v="123"/>
    <x v="122"/>
    <s v="معتز عصام الصافي الرضي"/>
    <s v="السودان"/>
    <s v="شركة ريال البركة للتجارة"/>
    <x v="6"/>
    <n v="2400"/>
    <n v="36"/>
    <n v="22.448333333333334"/>
    <n v="0"/>
    <n v="140"/>
    <n v="100"/>
    <n v="62.5"/>
    <n v="166.66666666666666"/>
    <n v="54.166666666666664"/>
    <n v="808.33333333333337"/>
    <n v="96.491228070175438"/>
    <n v="35.087719298245609"/>
    <n v="425.44683823529419"/>
    <n v="4347.1407856037149"/>
    <n v="31143.140785603715"/>
  </r>
  <r>
    <n v="124"/>
    <x v="123"/>
    <s v="AMIR ALAM WARKOTAY KHAN"/>
    <s v="باكستان"/>
    <s v="سلطان عبدالرحمن صالح الرزيحي "/>
    <x v="20"/>
    <n v="2000"/>
    <n v="30"/>
    <n v="0"/>
    <n v="0"/>
    <n v="116.66666666666667"/>
    <n v="83.333333333333329"/>
    <n v="75"/>
    <n v="166.66666666666666"/>
    <n v="54.166666666666664"/>
    <n v="808.33333333333337"/>
    <n v="0"/>
    <n v="0"/>
    <n v="0"/>
    <n v="3334.1666666666665"/>
    <n v="25664.166666666668"/>
  </r>
  <r>
    <n v="125"/>
    <x v="124"/>
    <s v="صالحة محمد أحمد عتين"/>
    <s v="سعودي"/>
    <s v="مؤسسة سلطان عبدالرحمن صالح الرزيحي للتجارة"/>
    <x v="3"/>
    <n v="4000"/>
    <n v="490"/>
    <n v="69.410833333333329"/>
    <n v="0"/>
    <n v="233.33333333333334"/>
    <n v="166.66666666666666"/>
    <n v="0"/>
    <n v="0"/>
    <n v="0"/>
    <n v="0"/>
    <n v="0"/>
    <n v="0"/>
    <n v="1323"/>
    <n v="6282.4108333333334"/>
    <n v="55672.410833333335"/>
  </r>
  <r>
    <n v="126"/>
    <x v="125"/>
    <s v="مرام عبدالوهاب الخولاني"/>
    <s v="اليمن"/>
    <s v="عن بعد"/>
    <x v="12"/>
    <n v="2000"/>
    <n v="0"/>
    <n v="0"/>
    <n v="0"/>
    <n v="0"/>
    <m/>
    <n v="0"/>
    <n v="0"/>
    <n v="0"/>
    <n v="0"/>
    <n v="0"/>
    <n v="0"/>
    <n v="0"/>
    <n v="2000"/>
    <n v="24000"/>
  </r>
  <r>
    <n v="127"/>
    <x v="126"/>
    <s v="سجاء علي عبدالله المحيميد"/>
    <s v="سعودي"/>
    <s v="مؤسسة عبدالرحمن سلطان عبدالرحمن الرزيحي للتجارة"/>
    <x v="18"/>
    <n v="4000"/>
    <n v="490"/>
    <m/>
    <n v="0"/>
    <n v="233.33333333333334"/>
    <n v="166.66666666666666"/>
    <n v="0"/>
    <n v="0"/>
    <n v="0"/>
    <n v="0"/>
    <n v="0"/>
    <n v="0"/>
    <n v="1150"/>
    <n v="6040"/>
    <n v="55430"/>
  </r>
  <r>
    <n v="128"/>
    <x v="127"/>
    <s v="سارة عدنان علي الصالح"/>
    <s v="سعودي"/>
    <s v="مؤسسة عبدالرحمن سلطان عبدالرحمن الرزيحي للتجارة"/>
    <x v="18"/>
    <n v="4000"/>
    <n v="490"/>
    <m/>
    <n v="0"/>
    <n v="233.33333333333334"/>
    <n v="166.66666666666666"/>
    <n v="0"/>
    <n v="0"/>
    <n v="0"/>
    <n v="0"/>
    <n v="0"/>
    <n v="0"/>
    <n v="1150"/>
    <n v="6040"/>
    <n v="55430"/>
  </r>
  <r>
    <n v="129"/>
    <x v="128"/>
    <s v="فاطمه علي عبدالله المطوع"/>
    <s v="سعودي"/>
    <s v="مؤسسة عبدالرحمن سلطان عبدالرحمن الرزيحي للتجارة"/>
    <x v="18"/>
    <n v="4000"/>
    <n v="490"/>
    <m/>
    <n v="0"/>
    <n v="233.33333333333334"/>
    <n v="166.66666666666666"/>
    <n v="0"/>
    <n v="0"/>
    <n v="0"/>
    <n v="0"/>
    <n v="0"/>
    <n v="0"/>
    <n v="1150"/>
    <n v="6040"/>
    <n v="55430"/>
  </r>
  <r>
    <n v="130"/>
    <x v="129"/>
    <s v="نور محمد حسين الحدب"/>
    <s v="سعودي"/>
    <s v="مؤسسة عبدالرحمن سلطان عبدالرحمن الرزيحي للتجارة"/>
    <x v="18"/>
    <n v="4000"/>
    <n v="490"/>
    <m/>
    <n v="0"/>
    <n v="233.33333333333334"/>
    <n v="166.66666666666666"/>
    <n v="0"/>
    <n v="0"/>
    <n v="0"/>
    <n v="0"/>
    <n v="0"/>
    <n v="0"/>
    <n v="1150"/>
    <n v="6040"/>
    <n v="55430"/>
  </r>
  <r>
    <n v="131"/>
    <x v="130"/>
    <s v="محمد كوثر"/>
    <s v="بنجلاديش"/>
    <s v="تحت التجربة"/>
    <x v="22"/>
    <n v="1800"/>
    <m/>
    <n v="0"/>
    <n v="0"/>
    <n v="105"/>
    <n v="75"/>
    <n v="75"/>
    <n v="166.66666666666666"/>
    <n v="50"/>
    <n v="0"/>
    <n v="96.491228070175438"/>
    <n v="35.087719298245609"/>
    <n v="0"/>
    <n v="2403.2456140350878"/>
    <n v="22203.245614035088"/>
  </r>
  <r>
    <n v="132"/>
    <x v="131"/>
    <s v="سيف أحمد محسن اليمني"/>
    <s v="اليمن"/>
    <s v="تحت التجربة"/>
    <x v="23"/>
    <n v="1000"/>
    <n v="0"/>
    <n v="0"/>
    <n v="0"/>
    <n v="0"/>
    <n v="0"/>
    <n v="0"/>
    <n v="0"/>
    <n v="0"/>
    <n v="0"/>
    <n v="0"/>
    <n v="0"/>
    <n v="0"/>
    <n v="1000"/>
    <n v="12000"/>
  </r>
  <r>
    <n v="133"/>
    <x v="132"/>
    <s v="غدير راشد محمد السبيعي"/>
    <s v="سعودي"/>
    <s v="مؤسسة عبدالرحمن سلطان عبدالرحمن الرزيحي للتجارة"/>
    <x v="13"/>
    <n v="4000"/>
    <n v="490"/>
    <m/>
    <n v="18.333333333333332"/>
    <n v="233.33333333333334"/>
    <n v="166.66666666666666"/>
    <n v="0"/>
    <n v="0"/>
    <n v="0"/>
    <n v="0"/>
    <n v="0"/>
    <n v="0"/>
    <n v="1150"/>
    <n v="6058.333333333333"/>
    <n v="55448.333333333336"/>
  </r>
  <r>
    <n v="134"/>
    <x v="133"/>
    <s v="جيهان عبد ماطر المطيري"/>
    <s v="سعودي"/>
    <s v="مؤسسة عبدالرحمن سلطان عبدالرحمن الرزيحي للتجارة"/>
    <x v="19"/>
    <n v="4000"/>
    <n v="490"/>
    <m/>
    <n v="80.333333333333329"/>
    <n v="233.33333333333334"/>
    <n v="166.66666666666666"/>
    <n v="0"/>
    <n v="0"/>
    <n v="0"/>
    <n v="0"/>
    <n v="0"/>
    <n v="0"/>
    <n v="1150"/>
    <n v="6120.333333333333"/>
    <n v="55510.333333333336"/>
  </r>
  <r>
    <n v="135"/>
    <x v="134"/>
    <s v="رفاه ماطر علي اليامي"/>
    <s v="سعودي"/>
    <s v="شركة ريال البركة للتجارة"/>
    <x v="10"/>
    <n v="4000"/>
    <n v="490"/>
    <m/>
    <n v="80.333333333333329"/>
    <n v="233.33333333333334"/>
    <n v="166.66666666666666"/>
    <n v="0"/>
    <n v="0"/>
    <n v="0"/>
    <n v="0"/>
    <n v="0"/>
    <n v="0"/>
    <n v="0"/>
    <n v="4970.333333333333"/>
    <n v="54360.333333333336"/>
  </r>
  <r>
    <n v="136"/>
    <x v="135"/>
    <s v="مرسلين مد شفيق الإسلام"/>
    <s v="بنجلاديش"/>
    <s v="شركة ريال البركة للتجارة"/>
    <x v="10"/>
    <n v="1600"/>
    <n v="32"/>
    <m/>
    <n v="104.29583333333333"/>
    <n v="93.333333333333329"/>
    <n v="66.666666666666671"/>
    <n v="75"/>
    <n v="166.66666666666666"/>
    <n v="54.166666666666664"/>
    <n v="808.33333333333337"/>
    <n v="197.43589743589743"/>
    <n v="41.666666666666664"/>
    <n v="425.44683823529419"/>
    <n v="3665.0119023378584"/>
    <n v="21617.011902337861"/>
  </r>
  <r>
    <n v="137"/>
    <x v="136"/>
    <s v="حمزه قايد غالب المليكي"/>
    <s v="اليمن"/>
    <s v="مؤسسة عبدالرحمن سلطان عبدالرحمن الرزيحي للتجارة"/>
    <x v="13"/>
    <n v="2000"/>
    <n v="40"/>
    <m/>
    <n v="104.29583333333333"/>
    <n v="116.66666666666667"/>
    <n v="83.333333333333329"/>
    <n v="62.5"/>
    <n v="166.66666666666666"/>
    <n v="54.166666666666664"/>
    <n v="808.33333333333337"/>
    <n v="220.23809523809521"/>
    <n v="35.714285714285715"/>
    <n v="197.89473684210526"/>
    <n v="3889.8096177944863"/>
    <n v="26329.80961779449"/>
  </r>
  <r>
    <n v="138"/>
    <x v="137"/>
    <s v="ليون مياه"/>
    <s v="بنجلاديش"/>
    <s v="مؤسسة سلطان عبدالرحمن صالح الرزيحي للتجارة"/>
    <x v="15"/>
    <n v="1600"/>
    <n v="24"/>
    <n v="31.860833333333332"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88.6618382352945"/>
    <n v="21452.661838235294"/>
  </r>
  <r>
    <n v="139"/>
    <x v="138"/>
    <s v="مد راسل"/>
    <s v="بنجلاديش"/>
    <s v="مؤسسة سلطان عبدالرحمن صالح الرزيحي للتجارة"/>
    <x v="15"/>
    <n v="1600"/>
    <n v="24"/>
    <n v="31.689166666666665"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88.4901715686278"/>
    <n v="21452.490171568628"/>
  </r>
  <r>
    <n v="140"/>
    <x v="139"/>
    <s v="ياسين عرفات"/>
    <s v="بنجلاديش"/>
    <s v="مؤسسة سلطان عبدالرحمن صالح الرزيحي للتجارة"/>
    <x v="15"/>
    <n v="1600"/>
    <n v="24"/>
    <n v="31.860833333333332"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88.6618382352945"/>
    <n v="21452.661838235294"/>
  </r>
  <r>
    <n v="141"/>
    <x v="140"/>
    <s v="صفايات حسين"/>
    <s v="بنجلاديش"/>
    <s v="مؤسسة سلطان عبدالرحمن صالح الرزيحي للتجارة"/>
    <x v="15"/>
    <n v="1600"/>
    <n v="24"/>
    <n v="31.689166666666665"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88.4901715686278"/>
    <n v="21452.490171568628"/>
  </r>
  <r>
    <n v="142"/>
    <x v="141"/>
    <s v="نجود محمد جبران سفياني"/>
    <s v="سعودي"/>
    <s v="شركة ريال البركة للتجارة"/>
    <x v="10"/>
    <n v="4000"/>
    <n v="490"/>
    <m/>
    <n v="80.333333333333329"/>
    <n v="233.33333333333334"/>
    <n v="166.66666666666666"/>
    <n v="0"/>
    <n v="0"/>
    <n v="0"/>
    <n v="0"/>
    <n v="0"/>
    <n v="0"/>
    <n v="0"/>
    <n v="4970.333333333333"/>
    <n v="54360.333333333336"/>
  </r>
  <r>
    <n v="143"/>
    <x v="142"/>
    <s v="اسامه عبدالقوي محسن احمد القاضي"/>
    <s v="اليمن"/>
    <s v="مؤسسة سلطان عبدالرحمن صالح الرزيحي للتجارة"/>
    <x v="14"/>
    <n v="2200"/>
    <n v="40"/>
    <n v="32.035833333333336"/>
    <n v="0"/>
    <n v="128.33333333333334"/>
    <n v="91.666666666666671"/>
    <n v="62.5"/>
    <n v="166.66666666666666"/>
    <n v="54.166666666666664"/>
    <n v="808.33333333333337"/>
    <n v="96.491228070175438"/>
    <n v="35.087719298245609"/>
    <n v="425.44683823529419"/>
    <n v="4140.7282856037154"/>
    <n v="28780.728285603713"/>
  </r>
  <r>
    <n v="144"/>
    <x v="143"/>
    <s v="سويل كمال أوسين"/>
    <s v="بنجلاديش"/>
    <s v="شركة ريال البركة للتجارة"/>
    <x v="7"/>
    <n v="1600"/>
    <n v="24"/>
    <m/>
    <n v="0"/>
    <n v="93.333333333333329"/>
    <n v="66.666666666666671"/>
    <n v="75"/>
    <n v="166.66666666666666"/>
    <n v="54.166666666666664"/>
    <n v="808.33333333333337"/>
    <n v="325"/>
    <n v="48.611111111111114"/>
    <n v="425.44683823529419"/>
    <n v="3687.2246160130726"/>
    <n v="21551.224616013071"/>
  </r>
  <r>
    <n v="145"/>
    <x v="144"/>
    <s v="محفوظ ال رحمان"/>
    <s v="بنجلاديش"/>
    <s v="مؤسسة سلطان عبدالرحمن صالح الرزيحي للتجارة"/>
    <x v="15"/>
    <n v="1600"/>
    <n v="24"/>
    <n v="0"/>
    <n v="0"/>
    <n v="93.333333333333329"/>
    <n v="66.666666666666671"/>
    <n v="75"/>
    <n v="0"/>
    <n v="0"/>
    <m/>
    <n v="92.594444444444449"/>
    <n v="46.297222222222224"/>
    <n v="425.44683823529419"/>
    <n v="2423.3385049019607"/>
    <n v="20287.33850490196"/>
  </r>
  <r>
    <n v="146"/>
    <x v="145"/>
    <s v="محمد حمود محمد علي الراعي"/>
    <s v="اليمن"/>
    <s v="شركة ريال البركة للتجارة"/>
    <x v="2"/>
    <n v="2500"/>
    <n v="40"/>
    <m/>
    <n v="0"/>
    <n v="145.83333333333334"/>
    <n v="104.16666666666667"/>
    <n v="62.5"/>
    <n v="166.66666666666666"/>
    <n v="54.166666666666664"/>
    <n v="808.33333333333337"/>
    <n v="197.43589743589743"/>
    <n v="41.666666666666664"/>
    <n v="425.44683823529419"/>
    <n v="4546.2160690045248"/>
    <n v="32486.216069004528"/>
  </r>
  <r>
    <n v="147"/>
    <x v="146"/>
    <s v="أحمد سليمان محمد عبد المنعم"/>
    <s v="مصر"/>
    <s v="مصنع سلطان عبدالرحمن صالح الرزيحي للمنتجات الورقية"/>
    <x v="12"/>
    <n v="6000"/>
    <n v="80"/>
    <m/>
    <n v="0"/>
    <n v="350"/>
    <n v="250"/>
    <n v="62.5"/>
    <n v="166.66666666666666"/>
    <n v="54.166666666666664"/>
    <n v="8.3333333333333339"/>
    <n v="347.29166666666669"/>
    <n v="173.64583333333334"/>
    <n v="425.44683823529419"/>
    <n v="7918.0510049019613"/>
    <n v="74798.051004901965"/>
  </r>
  <r>
    <n v="148"/>
    <x v="147"/>
    <s v="مد زكريا مد ربي الله"/>
    <s v="بنجلاديش"/>
    <s v="شركة ريال البركة للتجارة"/>
    <x v="10"/>
    <n v="1900"/>
    <n v="24"/>
    <n v="0"/>
    <n v="0"/>
    <n v="110.83333333333333"/>
    <n v="79.166666666666671"/>
    <n v="62.5"/>
    <m/>
    <n v="54.166666666666664"/>
    <n v="808.33333333333337"/>
    <n v="197.43589743589743"/>
    <n v="41.666666666666664"/>
    <n v="425.44683823529419"/>
    <n v="3703.5494023378583"/>
    <n v="24867.54940233786"/>
  </r>
  <r>
    <n v="149"/>
    <x v="148"/>
    <s v="زكرياء تعلي"/>
    <s v="المغرب"/>
    <s v="مؤسسة سلطان عبدالرحمن صالح الرزيحي للتجارة"/>
    <x v="15"/>
    <n v="4000"/>
    <n v="80"/>
    <m/>
    <n v="104.29583333333333"/>
    <n v="233.33333333333334"/>
    <n v="166.66666666666666"/>
    <n v="62.5"/>
    <n v="166.66666666666666"/>
    <n v="54.166666666666664"/>
    <n v="808.33333333333337"/>
    <n v="92.594444444444449"/>
    <n v="46.297222222222224"/>
    <n v="425.44683823529419"/>
    <n v="6240.3010049019622"/>
    <n v="51120.301004901958"/>
  </r>
  <r>
    <n v="150"/>
    <x v="149"/>
    <s v="يوسف ناجي حزام فازع"/>
    <s v="اليمن"/>
    <s v="مصنع سلطان عبدالرحمن صالح الرزيحي للمنتجات الورقية"/>
    <x v="12"/>
    <n v="4000"/>
    <n v="80"/>
    <n v="31.145833333333332"/>
    <n v="0"/>
    <n v="233.33333333333334"/>
    <n v="166.66666666666666"/>
    <n v="62.5"/>
    <n v="166.66666666666666"/>
    <n v="54.166666666666664"/>
    <n v="8.3333333333333339"/>
    <n v="347.29166666666669"/>
    <n v="173.64583333333334"/>
    <n v="425.44683823529419"/>
    <n v="5749.1968382352943"/>
    <n v="50629.196838235293"/>
  </r>
  <r>
    <n v="151"/>
    <x v="150"/>
    <s v="سيف الدين مصطفي معوض محمد"/>
    <s v="مصر"/>
    <s v="مصنع سلطان عبدالرحمن صالح الرزيحي للمنتجات الورقية"/>
    <x v="12"/>
    <n v="5000"/>
    <n v="80"/>
    <n v="0"/>
    <n v="0"/>
    <n v="291.66666666666669"/>
    <n v="208.33333333333334"/>
    <n v="62.5"/>
    <m/>
    <n v="0"/>
    <n v="0"/>
    <n v="347.29166666666669"/>
    <n v="173.64583333333334"/>
    <n v="425.44683823529419"/>
    <n v="6588.8843382352943"/>
    <n v="62468.884338235293"/>
  </r>
  <r>
    <n v="152"/>
    <x v="151"/>
    <s v="ميد أنعام ال حقي"/>
    <s v="بنجلاديش"/>
    <s v="مؤسسة سلطان عبدالرحمن صالح الرزيحي للتجارة"/>
    <x v="15"/>
    <n v="1800"/>
    <n v="24"/>
    <n v="38.403333333333329"/>
    <n v="104.29583333333333"/>
    <n v="105"/>
    <n v="75"/>
    <n v="75"/>
    <n v="166.66666666666666"/>
    <n v="54.166666666666664"/>
    <n v="808.33333333333337"/>
    <n v="92.594444444444449"/>
    <n v="46.297222222222224"/>
    <n v="425.44683823529419"/>
    <n v="3815.2043382352945"/>
    <n v="23879.204338235293"/>
  </r>
  <r>
    <n v="153"/>
    <x v="152"/>
    <s v="مد إبراهيم هارون رشيد"/>
    <s v="بنجلاديش"/>
    <s v="مؤسسة سلطان عبدالرحمن صالح الرزيحي للتجارة"/>
    <x v="15"/>
    <n v="1600"/>
    <n v="24"/>
    <n v="31.860833333333332"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88.6618382352945"/>
    <n v="21452.661838235294"/>
  </r>
  <r>
    <n v="154"/>
    <x v="153"/>
    <s v="نازميل حسين حسين حسي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55"/>
    <x v="154"/>
    <s v="منصور آيت بنكوهية"/>
    <s v="المغرب"/>
    <s v="تحت التجربة"/>
    <x v="15"/>
    <n v="2500"/>
    <n v="0"/>
    <n v="0"/>
    <n v="0"/>
    <n v="145.83333333333334"/>
    <n v="104.16666666666667"/>
    <n v="62.5"/>
    <n v="0"/>
    <n v="0"/>
    <n v="0"/>
    <n v="92.594444444444449"/>
    <n v="46.297222222222224"/>
    <n v="0"/>
    <n v="2951.3916666666669"/>
    <n v="30451.391666666666"/>
  </r>
  <r>
    <n v="156"/>
    <x v="155"/>
    <s v="JASHIM UDDIN"/>
    <s v="بنجلاديش"/>
    <s v="سلطان عبدالرحمن صالح الرزيحي "/>
    <x v="20"/>
    <n v="2000"/>
    <n v="30"/>
    <n v="0"/>
    <n v="0"/>
    <n v="116.66666666666667"/>
    <n v="83.333333333333329"/>
    <n v="75"/>
    <n v="166.66666666666666"/>
    <n v="54.166666666666664"/>
    <n v="808.33333333333337"/>
    <n v="0"/>
    <n v="0"/>
    <n v="0"/>
    <n v="3334.1666666666665"/>
    <n v="25664.166666666668"/>
  </r>
  <r>
    <n v="157"/>
    <x v="156"/>
    <s v="طارق محمد محمد علوان الخضر"/>
    <s v="اليمن"/>
    <s v="تحت التجربة"/>
    <x v="21"/>
    <n v="2700"/>
    <m/>
    <n v="0"/>
    <n v="0"/>
    <n v="157.5"/>
    <n v="112.5"/>
    <n v="75"/>
    <m/>
    <n v="54.166666666666664"/>
    <n v="808.33333333333337"/>
    <n v="0"/>
    <n v="0"/>
    <n v="0"/>
    <n v="3907.5"/>
    <n v="33607.5"/>
  </r>
  <r>
    <n v="158"/>
    <x v="157"/>
    <s v="فهد محمد نايف الميموني المطيري"/>
    <s v="سعودي"/>
    <s v="مؤسسة سلطان عبدالرحمن صالح الرزيحي للتجارة"/>
    <x v="15"/>
    <n v="4500"/>
    <n v="490"/>
    <n v="32.035833333333336"/>
    <n v="13.333333333333334"/>
    <n v="262.5"/>
    <n v="187.5"/>
    <n v="0"/>
    <n v="0"/>
    <n v="0"/>
    <n v="0"/>
    <n v="0"/>
    <n v="0"/>
    <n v="0"/>
    <n v="5485.3691666666664"/>
    <n v="60375.369166666671"/>
  </r>
  <r>
    <n v="159"/>
    <x v="158"/>
    <s v="عبد الله عبد العزيز محمد السويح"/>
    <s v="سعودي"/>
    <s v="مؤسسة سلطان عبدالرحمن صالح الرزيحي للتجارة"/>
    <x v="15"/>
    <n v="4500"/>
    <n v="490"/>
    <n v="32.035833333333336"/>
    <n v="0"/>
    <n v="262.5"/>
    <n v="187.5"/>
    <n v="0"/>
    <n v="0"/>
    <n v="0"/>
    <n v="0"/>
    <n v="0"/>
    <n v="0"/>
    <n v="0"/>
    <n v="5472.0358333333334"/>
    <n v="60362.035833333335"/>
  </r>
  <r>
    <n v="160"/>
    <x v="159"/>
    <s v="محمد مطلق نائف النفيعي العتيبي"/>
    <s v="سعودي"/>
    <s v="مؤسسة سلطان عبدالرحمن صالح الرزيحي للتجارة"/>
    <x v="15"/>
    <n v="4500"/>
    <n v="490"/>
    <n v="30.803333333333331"/>
    <n v="13.333333333333334"/>
    <n v="262.5"/>
    <n v="187.5"/>
    <n v="0"/>
    <n v="0"/>
    <n v="0"/>
    <n v="0"/>
    <n v="0"/>
    <n v="0"/>
    <n v="0"/>
    <n v="5484.1366666666663"/>
    <n v="60374.136666666673"/>
  </r>
  <r>
    <n v="161"/>
    <x v="160"/>
    <s v="عبد المجيد هاني سعد الهباد"/>
    <s v="سعودي"/>
    <s v="مؤسسة سلطان عبدالرحمن صالح الرزيحي للتجارة"/>
    <x v="15"/>
    <n v="4500"/>
    <n v="490"/>
    <n v="32.035833333333336"/>
    <n v="0"/>
    <n v="262.5"/>
    <n v="187.5"/>
    <n v="0"/>
    <n v="0"/>
    <n v="0"/>
    <n v="0"/>
    <n v="0"/>
    <n v="0"/>
    <n v="0"/>
    <n v="5472.0358333333334"/>
    <n v="60362.035833333335"/>
  </r>
  <r>
    <n v="162"/>
    <x v="161"/>
    <s v="جاسم عبدالكريم محمد قميش"/>
    <s v="سعودي"/>
    <s v="مؤسسة سلطان عبدالرحمن صالح الرزيحي للتجارة"/>
    <x v="15"/>
    <n v="4500"/>
    <n v="490"/>
    <m/>
    <n v="0"/>
    <n v="262.5"/>
    <n v="187.5"/>
    <n v="0"/>
    <n v="0"/>
    <n v="0"/>
    <n v="0"/>
    <n v="0"/>
    <n v="0"/>
    <n v="0"/>
    <n v="5440"/>
    <n v="60330"/>
  </r>
  <r>
    <n v="163"/>
    <x v="162"/>
    <s v="جهاد سعد محمد العشبي"/>
    <s v="اليمن"/>
    <s v="تحت التجربة"/>
    <x v="21"/>
    <n v="2300"/>
    <n v="0"/>
    <m/>
    <n v="0"/>
    <n v="134.16666666666666"/>
    <n v="95.833333333333329"/>
    <n v="62.5"/>
    <m/>
    <n v="54.166666666666664"/>
    <n v="808.33333333333337"/>
    <n v="0"/>
    <n v="0"/>
    <n v="0"/>
    <n v="3455"/>
    <n v="28755"/>
  </r>
  <r>
    <n v="164"/>
    <x v="163"/>
    <s v="هاني ناجي علي محمد عثمان"/>
    <s v="اليمن"/>
    <s v="تحت التجربة"/>
    <x v="21"/>
    <n v="2000"/>
    <n v="0"/>
    <m/>
    <n v="0"/>
    <n v="116.66666666666667"/>
    <n v="83.333333333333329"/>
    <n v="62.5"/>
    <m/>
    <n v="54.166666666666664"/>
    <n v="808.33333333333337"/>
    <n v="0"/>
    <n v="0"/>
    <n v="0"/>
    <n v="3125"/>
    <n v="25125"/>
  </r>
  <r>
    <n v="165"/>
    <x v="164"/>
    <s v="حسين علي محمد علي"/>
    <s v="اليمن"/>
    <s v="تحت التجربة"/>
    <x v="21"/>
    <n v="2000"/>
    <n v="0"/>
    <m/>
    <n v="0"/>
    <n v="116.66666666666667"/>
    <n v="83.333333333333329"/>
    <n v="62.5"/>
    <m/>
    <n v="54.166666666666664"/>
    <n v="808.33333333333337"/>
    <n v="0"/>
    <n v="0"/>
    <n v="0"/>
    <n v="3125"/>
    <n v="25125"/>
  </r>
  <r>
    <n v="166"/>
    <x v="165"/>
    <s v="زياد شايف عبدالله عبده"/>
    <s v="اليمن"/>
    <s v="تحت التجربة"/>
    <x v="21"/>
    <n v="2300"/>
    <n v="0"/>
    <m/>
    <n v="0"/>
    <n v="134.16666666666666"/>
    <n v="95.833333333333329"/>
    <n v="62.5"/>
    <m/>
    <n v="54.166666666666664"/>
    <n v="808.33333333333337"/>
    <n v="0"/>
    <n v="0"/>
    <n v="0"/>
    <n v="3455"/>
    <n v="28755"/>
  </r>
  <r>
    <n v="167"/>
    <x v="166"/>
    <s v="عبد الاله محسن هزاع ناجي"/>
    <s v="اليمن"/>
    <s v="تحت التجربة"/>
    <x v="21"/>
    <n v="2000"/>
    <n v="0"/>
    <m/>
    <n v="0"/>
    <n v="116.66666666666667"/>
    <n v="83.333333333333329"/>
    <n v="62.5"/>
    <m/>
    <n v="54.166666666666664"/>
    <n v="808.33333333333337"/>
    <n v="0"/>
    <n v="0"/>
    <n v="0"/>
    <n v="3125"/>
    <n v="25125"/>
  </r>
  <r>
    <n v="168"/>
    <x v="167"/>
    <s v="بكر عثمان صالح الرعدي"/>
    <s v="اليمن"/>
    <s v="تحت التجربة"/>
    <x v="21"/>
    <n v="2800"/>
    <n v="0"/>
    <m/>
    <n v="0"/>
    <n v="163.33333333333334"/>
    <n v="116.66666666666667"/>
    <n v="62.5"/>
    <m/>
    <n v="54.166666666666664"/>
    <n v="808.33333333333337"/>
    <n v="0"/>
    <n v="0"/>
    <n v="0"/>
    <n v="4005"/>
    <n v="34805"/>
  </r>
  <r>
    <n v="169"/>
    <x v="168"/>
    <s v="محمد نجيب علي اليافعي"/>
    <s v="اليمن"/>
    <s v="تحت التجربة"/>
    <x v="21"/>
    <n v="2300"/>
    <n v="0"/>
    <m/>
    <n v="0"/>
    <n v="134.16666666666666"/>
    <n v="95.833333333333329"/>
    <n v="62.5"/>
    <m/>
    <n v="54.166666666666664"/>
    <n v="808.33333333333337"/>
    <n v="0"/>
    <n v="0"/>
    <n v="0"/>
    <n v="3455"/>
    <n v="28755"/>
  </r>
  <r>
    <n v="170"/>
    <x v="169"/>
    <s v="عبدالغفار الزمان"/>
    <s v="بنجلاديش"/>
    <s v="تحت التجربة"/>
    <x v="21"/>
    <n v="4200"/>
    <n v="0"/>
    <m/>
    <n v="0"/>
    <n v="245"/>
    <n v="175"/>
    <n v="75"/>
    <m/>
    <n v="54.166666666666664"/>
    <n v="808.33333333333337"/>
    <n v="0"/>
    <n v="0"/>
    <n v="0"/>
    <n v="5557.5"/>
    <n v="51757.5"/>
  </r>
  <r>
    <n v="171"/>
    <x v="170"/>
    <s v="خالد علي احمد الخطيب"/>
    <s v="اليمن"/>
    <s v="تحت التجربة"/>
    <x v="21"/>
    <n v="3300"/>
    <n v="0"/>
    <m/>
    <n v="0"/>
    <n v="192.5"/>
    <n v="137.5"/>
    <n v="62.5"/>
    <m/>
    <n v="54.166666666666664"/>
    <n v="808.33333333333337"/>
    <n v="0"/>
    <n v="0"/>
    <n v="0"/>
    <n v="4555"/>
    <n v="40855"/>
  </r>
  <r>
    <n v="172"/>
    <x v="171"/>
    <s v="جميل يحي محسن عميسان"/>
    <s v="اليمن"/>
    <s v="عقد أجير"/>
    <x v="21"/>
    <n v="4000"/>
    <n v="0"/>
    <m/>
    <n v="0"/>
    <n v="233.33333333333334"/>
    <n v="166.66666666666666"/>
    <n v="62.5"/>
    <m/>
    <n v="54.166666666666664"/>
    <n v="808.33333333333337"/>
    <n v="0"/>
    <n v="0"/>
    <m/>
    <n v="5325"/>
    <n v="49325"/>
  </r>
  <r>
    <n v="173"/>
    <x v="172"/>
    <s v="علاء أبو السعود محمد عبدالجواد"/>
    <s v="اليمن"/>
    <s v="تحت التجربة"/>
    <x v="21"/>
    <n v="2500"/>
    <n v="0"/>
    <m/>
    <n v="0"/>
    <n v="145.83333333333334"/>
    <n v="104.16666666666667"/>
    <n v="62.5"/>
    <m/>
    <n v="54.166666666666664"/>
    <n v="808.33333333333337"/>
    <n v="0"/>
    <n v="0"/>
    <n v="0"/>
    <n v="3675"/>
    <n v="31175"/>
  </r>
  <r>
    <n v="174"/>
    <x v="173"/>
    <s v="سكينة ناجي منصور الحرز"/>
    <s v="سعودي"/>
    <s v="شركة ريال البركة للتجارة"/>
    <x v="7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75"/>
    <x v="174"/>
    <s v="بسمه محمد يحيى هارون"/>
    <s v="سعودي"/>
    <s v="مؤسسة عبدالرحمن سلطان عبدالرحمن الرزيحي للتجارة"/>
    <x v="13"/>
    <n v="4000"/>
    <n v="490"/>
    <m/>
    <n v="80.333333333333329"/>
    <n v="233.33333333333334"/>
    <n v="166.66666666666666"/>
    <n v="0"/>
    <n v="0"/>
    <n v="0"/>
    <n v="0"/>
    <n v="0"/>
    <n v="0"/>
    <n v="0"/>
    <n v="4970.333333333333"/>
    <n v="54360.333333333336"/>
  </r>
  <r>
    <n v="176"/>
    <x v="175"/>
    <s v="وعد محمد سعد الدليل الدوسري"/>
    <s v="سعودي"/>
    <s v="مؤسسة عبدالرحمن سلطان عبدالرحمن الرزيحي للتجارة"/>
    <x v="13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77"/>
    <x v="176"/>
    <s v="كليم حسين أي بي رشيد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78"/>
    <x v="177"/>
    <s v="جايد حس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79"/>
    <x v="178"/>
    <s v="مد جمال أوسي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0"/>
    <x v="179"/>
    <s v="محمد طارق مد مياه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1"/>
    <x v="180"/>
    <s v="رافت رافت حسين حسين"/>
    <s v="بنجلاديش"/>
    <s v="مؤسسة سلطان عبدالرحمن صالح الرزيحي للتجارة"/>
    <x v="15"/>
    <n v="1600"/>
    <n v="24"/>
    <m/>
    <n v="0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452.5051715686282"/>
    <n v="21316.505171568628"/>
  </r>
  <r>
    <n v="182"/>
    <x v="181"/>
    <s v="عبدالعزيز عبدالواحد لطف الشلفي"/>
    <s v="اليمن"/>
    <s v="نوف سلطان عبدالرحمن الرزيحي"/>
    <x v="15"/>
    <n v="2300"/>
    <n v="0"/>
    <m/>
    <n v="0"/>
    <n v="134.16666666666666"/>
    <n v="95.833333333333329"/>
    <n v="62.5"/>
    <n v="0"/>
    <n v="50"/>
    <n v="0"/>
    <n v="92.594444444444449"/>
    <n v="46.297222222222224"/>
    <n v="0"/>
    <n v="2781.3916666666669"/>
    <n v="28081.391666666666"/>
  </r>
  <r>
    <n v="183"/>
    <x v="182"/>
    <s v="غيداء سليمان صالح المريشد"/>
    <s v="سعودي"/>
    <s v="تحت التجربة"/>
    <x v="12"/>
    <n v="1200"/>
    <n v="0"/>
    <n v="0"/>
    <n v="0"/>
    <n v="0"/>
    <n v="0"/>
    <n v="0"/>
    <n v="0"/>
    <n v="0"/>
    <n v="0"/>
    <n v="0"/>
    <n v="0"/>
    <n v="0"/>
    <n v="1200"/>
    <n v="14400"/>
  </r>
  <r>
    <n v="184"/>
    <x v="183"/>
    <s v="محمد ريدوري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5"/>
    <x v="184"/>
    <s v="مد تا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6"/>
    <x v="185"/>
    <s v="عريف الرحم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7"/>
    <x v="186"/>
    <s v="رياض أوسي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8"/>
    <x v="187"/>
    <s v="يعقوب نبي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89"/>
    <x v="188"/>
    <s v="مسعود علام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90"/>
    <x v="189"/>
    <s v="حبيب آل ارحمن"/>
    <s v="بنجلاديش"/>
    <s v="مؤسسة سلطان عبدالرحمن صالح الرزيحي للتجارة"/>
    <x v="15"/>
    <n v="1600"/>
    <n v="24"/>
    <m/>
    <n v="104.29583333333333"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556.8010049019613"/>
    <n v="21420.801004901961"/>
  </r>
  <r>
    <n v="191"/>
    <x v="190"/>
    <s v="فيصل عيضه عوض الوهبي المالكي"/>
    <s v="سعودي"/>
    <s v="مؤسسة زاوية ريال بركة للكماليات"/>
    <x v="0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92"/>
    <x v="191"/>
    <s v="محمد علي محمد الشطنان الرشيدي"/>
    <s v="سعودي"/>
    <s v="مؤسسة زاوية ريال بركة للكماليات"/>
    <x v="17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93"/>
    <x v="192"/>
    <s v="بندر فيحان حمدي الشيباني العتيبي"/>
    <s v="سعودي"/>
    <s v="مؤسسة زاوية ريال بركة للكماليات"/>
    <x v="16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94"/>
    <x v="193"/>
    <s v="فاطمة إبراهيم حدور آل عيسى"/>
    <s v="سعودي"/>
    <s v="شركة ريال البركة للتجارة"/>
    <x v="10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95"/>
    <x v="194"/>
    <s v="جابر محمد ناجي علي مراد"/>
    <s v="اليمن"/>
    <s v="تحت التجربة"/>
    <x v="16"/>
    <n v="1900"/>
    <m/>
    <m/>
    <n v="0"/>
    <n v="110.83333333333333"/>
    <n v="79.166666666666671"/>
    <n v="62.5"/>
    <n v="0"/>
    <n v="54.166666666666664"/>
    <n v="808.33333333333337"/>
    <n v="312.5"/>
    <n v="52.083333333333336"/>
    <n v="0"/>
    <n v="3379.5833333333335"/>
    <n v="24279.583333333332"/>
  </r>
  <r>
    <n v="196"/>
    <x v="195"/>
    <s v="كريم مجد علي عباس"/>
    <s v="اليمن"/>
    <s v="تحت التجربة"/>
    <x v="21"/>
    <n v="2800"/>
    <m/>
    <m/>
    <n v="0"/>
    <n v="163.33333333333334"/>
    <n v="116.66666666666667"/>
    <n v="62.5"/>
    <n v="0"/>
    <n v="54.166666666666664"/>
    <n v="808.33333333333337"/>
    <n v="0"/>
    <n v="0"/>
    <n v="0"/>
    <n v="4005"/>
    <n v="34805"/>
  </r>
  <r>
    <n v="197"/>
    <x v="196"/>
    <s v="خليل نجيب اليافعي"/>
    <s v="اليمن"/>
    <s v="تحت التجربة"/>
    <x v="21"/>
    <n v="1700"/>
    <m/>
    <m/>
    <n v="0"/>
    <n v="99.166666666666671"/>
    <n v="70.833333333333329"/>
    <n v="62.5"/>
    <n v="0"/>
    <n v="54.166666666666664"/>
    <n v="808.33333333333337"/>
    <n v="0"/>
    <n v="0"/>
    <n v="0"/>
    <n v="2795"/>
    <n v="21495"/>
  </r>
  <r>
    <n v="198"/>
    <x v="197"/>
    <s v="مبارك عبدالله مبارك دليم"/>
    <s v="سعودي"/>
    <s v="مؤسسة سلطان عبدالرحمن صالح الرزيحي للتجارة"/>
    <x v="15"/>
    <n v="4000"/>
    <n v="490"/>
    <m/>
    <n v="0"/>
    <n v="233.33333333333334"/>
    <n v="166.66666666666666"/>
    <n v="0"/>
    <n v="0"/>
    <n v="0"/>
    <n v="0"/>
    <n v="0"/>
    <n v="0"/>
    <n v="0"/>
    <n v="4890"/>
    <n v="54280"/>
  </r>
  <r>
    <n v="199"/>
    <x v="198"/>
    <s v="عمر عبد القادر حسن"/>
    <s v="مصر"/>
    <s v="عن بعد"/>
    <x v="12"/>
    <n v="1800"/>
    <m/>
    <m/>
    <m/>
    <n v="0"/>
    <n v="0"/>
    <n v="0"/>
    <n v="0"/>
    <n v="0"/>
    <n v="0"/>
    <n v="0"/>
    <n v="0"/>
    <n v="0"/>
    <n v="1800"/>
    <n v="21600"/>
  </r>
  <r>
    <n v="200"/>
    <x v="199"/>
    <s v="منيره دحيم مبارك آل صارم الدوسري"/>
    <s v="سعودي"/>
    <s v="مؤسسة سلطان عبدالرحمن صالح الرزيحي للتجارة"/>
    <x v="15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01"/>
    <x v="200"/>
    <s v="هديل مصبح"/>
    <s v="فلسطين"/>
    <s v="عن بعد"/>
    <x v="12"/>
    <n v="1879"/>
    <m/>
    <m/>
    <m/>
    <n v="0"/>
    <n v="0"/>
    <n v="0"/>
    <n v="0"/>
    <n v="0"/>
    <n v="0"/>
    <n v="0"/>
    <n v="0"/>
    <n v="0"/>
    <n v="1879"/>
    <n v="22548"/>
  </r>
  <r>
    <n v="202"/>
    <x v="201"/>
    <s v="ريناد العمري"/>
    <s v="سعودي"/>
    <s v="عن بعد"/>
    <x v="12"/>
    <n v="3000"/>
    <m/>
    <m/>
    <m/>
    <n v="0"/>
    <n v="0"/>
    <n v="0"/>
    <n v="0"/>
    <n v="0"/>
    <n v="0"/>
    <n v="0"/>
    <n v="0"/>
    <n v="0"/>
    <n v="3000"/>
    <n v="36000"/>
  </r>
  <r>
    <n v="203"/>
    <x v="202"/>
    <s v="أحمد السيد"/>
    <s v="مصر"/>
    <s v="عن بعد"/>
    <x v="12"/>
    <n v="1500"/>
    <m/>
    <m/>
    <m/>
    <n v="0"/>
    <n v="0"/>
    <n v="0"/>
    <n v="0"/>
    <n v="0"/>
    <n v="0"/>
    <n v="0"/>
    <n v="0"/>
    <n v="0"/>
    <n v="1500"/>
    <n v="18000"/>
  </r>
  <r>
    <n v="204"/>
    <x v="203"/>
    <s v="مد لامين"/>
    <s v="بنجلاديش"/>
    <s v="تحت التجربة"/>
    <x v="10"/>
    <n v="1600"/>
    <m/>
    <m/>
    <m/>
    <n v="93.333333333333329"/>
    <n v="66.666666666666671"/>
    <n v="0"/>
    <n v="0"/>
    <n v="0"/>
    <n v="0"/>
    <n v="197.43589743589743"/>
    <n v="41.666666666666664"/>
    <m/>
    <n v="1999.1025641025642"/>
    <n v="19599.102564102566"/>
  </r>
  <r>
    <n v="205"/>
    <x v="204"/>
    <s v="نظم أل حسن"/>
    <s v="بنجلاديش"/>
    <s v="مؤسسة سلطان عبدالرحمن صالح الرزيحي للتجارة"/>
    <x v="15"/>
    <n v="1600"/>
    <n v="24"/>
    <m/>
    <m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452.5051715686282"/>
    <n v="21316.505171568628"/>
  </r>
  <r>
    <n v="206"/>
    <x v="205"/>
    <s v="محمد كوثر "/>
    <s v="بنجلاديش"/>
    <s v="مؤسسة سلطان عبدالرحمن صالح الرزيحي للتجارة"/>
    <x v="15"/>
    <n v="1600"/>
    <n v="24"/>
    <m/>
    <m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452.5051715686282"/>
    <n v="21316.505171568628"/>
  </r>
  <r>
    <n v="207"/>
    <x v="206"/>
    <s v="محمود حسن"/>
    <s v="بنجلاديش"/>
    <s v="مؤسسة سلطان عبدالرحمن صالح الرزيحي للتجارة"/>
    <x v="15"/>
    <n v="1600"/>
    <m/>
    <m/>
    <m/>
    <n v="93.333333333333329"/>
    <n v="66.666666666666671"/>
    <n v="0"/>
    <n v="0"/>
    <n v="0"/>
    <n v="0"/>
    <n v="92.594444444444449"/>
    <n v="46.297222222222224"/>
    <n v="425.44683823529419"/>
    <n v="2324.3385049019607"/>
    <n v="19924.33850490196"/>
  </r>
  <r>
    <n v="208"/>
    <x v="207"/>
    <s v="مد طارق"/>
    <s v="بنجلاديش"/>
    <s v="مؤسسة سلطان عبدالرحمن صالح الرزيحي للتجارة"/>
    <x v="15"/>
    <n v="1600"/>
    <n v="24"/>
    <m/>
    <m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452.5051715686282"/>
    <n v="21316.505171568628"/>
  </r>
  <r>
    <n v="209"/>
    <x v="208"/>
    <s v="غرام عبدالله ناصر الحداني العنزي"/>
    <s v="سعودي"/>
    <s v="مؤسسة سلطان عبدالرحمن صالح الرزيحي للتجارة"/>
    <x v="15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10"/>
    <x v="209"/>
    <s v="شكيل كازي"/>
    <s v="بنجلاديش"/>
    <s v="مؤسسة سلطان عبدالرحمن صالح الرزيحي للتجارة"/>
    <x v="15"/>
    <n v="1600"/>
    <n v="24"/>
    <m/>
    <m/>
    <n v="93.333333333333329"/>
    <n v="66.666666666666671"/>
    <n v="75"/>
    <n v="166.66666666666666"/>
    <n v="54.166666666666664"/>
    <n v="808.33333333333337"/>
    <n v="92.594444444444449"/>
    <n v="46.297222222222224"/>
    <n v="425.44683823529419"/>
    <n v="3452.5051715686282"/>
    <n v="21316.505171568628"/>
  </r>
  <r>
    <n v="211"/>
    <x v="210"/>
    <s v="نادر محمد عبدالله احمد السامعي"/>
    <s v="اليمن"/>
    <s v="تحت التجربة"/>
    <x v="21"/>
    <n v="2200"/>
    <m/>
    <m/>
    <m/>
    <n v="128.33333333333334"/>
    <n v="91.666666666666671"/>
    <n v="0"/>
    <n v="0"/>
    <n v="0"/>
    <n v="0"/>
    <n v="0"/>
    <n v="0"/>
    <m/>
    <n v="2420"/>
    <n v="26620"/>
  </r>
  <r>
    <n v="212"/>
    <x v="211"/>
    <s v="محمد سيد عبدالعظيم سليمان"/>
    <s v="مصر"/>
    <s v="مصنع سلطان عبدالرحمن صالح الرزيحي للمنتجات الورقية"/>
    <x v="12"/>
    <n v="5500"/>
    <n v="80"/>
    <m/>
    <m/>
    <n v="320.83333333333331"/>
    <n v="229.16666666666666"/>
    <n v="125"/>
    <n v="166.66666666666666"/>
    <n v="0"/>
    <n v="0"/>
    <n v="347.29166666666669"/>
    <n v="173.64583333333334"/>
    <n v="425.44683823529419"/>
    <n v="7368.0510049019613"/>
    <n v="68748.051004901965"/>
  </r>
  <r>
    <n v="213"/>
    <x v="212"/>
    <s v="أحمد صبري محمد جعلوص"/>
    <s v="مصر"/>
    <s v="مصنع سلطان عبدالرحمن صالح الرزيحي للمنتجات الورقية"/>
    <x v="12"/>
    <n v="7000"/>
    <n v="120"/>
    <m/>
    <m/>
    <n v="408.33333333333331"/>
    <n v="291.66666666666669"/>
    <n v="125"/>
    <n v="166.66666666666666"/>
    <n v="0"/>
    <n v="0"/>
    <n v="0"/>
    <n v="0"/>
    <n v="425.44683823529419"/>
    <n v="8537.1135049019613"/>
    <n v="86857.113504901965"/>
  </r>
  <r>
    <n v="214"/>
    <x v="213"/>
    <s v="فارس ترحيب عبدالله المزيني الحربي"/>
    <s v="سعودي"/>
    <s v="مؤسسة سلطان عبدالرحمن صالح الرزيحي للتجارة"/>
    <x v="15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15"/>
    <x v="214"/>
    <s v="شهاب الدين عبد الرحمن  عاشور"/>
    <s v="فلسطين"/>
    <s v="تحت التجربة"/>
    <x v="12"/>
    <n v="1500"/>
    <m/>
    <m/>
    <m/>
    <n v="87.5"/>
    <n v="62.5"/>
    <n v="0"/>
    <n v="0"/>
    <n v="0"/>
    <n v="0"/>
    <n v="0"/>
    <n v="0"/>
    <n v="0"/>
    <n v="1650"/>
    <n v="18150"/>
  </r>
  <r>
    <n v="216"/>
    <x v="215"/>
    <s v="عبد الله محمد عبدالله النشار"/>
    <s v="سعودي"/>
    <s v="تحت التجربة"/>
    <x v="12"/>
    <n v="1500"/>
    <m/>
    <m/>
    <m/>
    <n v="87.5"/>
    <n v="62.5"/>
    <n v="0"/>
    <n v="0"/>
    <n v="0"/>
    <n v="0"/>
    <n v="0"/>
    <n v="0"/>
    <n v="0"/>
    <n v="1650"/>
    <n v="18150"/>
  </r>
  <r>
    <n v="217"/>
    <x v="216"/>
    <s v="سعد محمد القرني"/>
    <s v="سعودي"/>
    <s v="تحت التجربة"/>
    <x v="12"/>
    <n v="5000"/>
    <m/>
    <m/>
    <m/>
    <n v="291.66666666666669"/>
    <n v="208.33333333333334"/>
    <n v="0"/>
    <n v="0"/>
    <n v="0"/>
    <n v="0"/>
    <n v="0"/>
    <n v="0"/>
    <n v="0"/>
    <n v="5500"/>
    <n v="60500"/>
  </r>
  <r>
    <n v="218"/>
    <x v="217"/>
    <s v="صالح علي"/>
    <s v="تشاد"/>
    <s v="تحت التجربة"/>
    <x v="15"/>
    <n v="3000"/>
    <m/>
    <m/>
    <m/>
    <n v="175"/>
    <n v="125"/>
    <n v="150"/>
    <n v="0"/>
    <n v="0"/>
    <n v="0"/>
    <n v="0"/>
    <n v="0"/>
    <n v="0"/>
    <n v="3450"/>
    <n v="36450"/>
  </r>
  <r>
    <n v="219"/>
    <x v="218"/>
    <s v="احمد محمد علي احمد العبدلي"/>
    <s v="اليمن"/>
    <s v="تحت التجربة"/>
    <x v="12"/>
    <n v="3500"/>
    <m/>
    <m/>
    <m/>
    <n v="204.16666666666666"/>
    <n v="145.83333333333334"/>
    <n v="0"/>
    <n v="0"/>
    <n v="0"/>
    <n v="0"/>
    <n v="0"/>
    <n v="0"/>
    <n v="0"/>
    <n v="3850"/>
    <n v="42350"/>
  </r>
  <r>
    <n v="220"/>
    <x v="219"/>
    <s v="نواف ابراهيم سعود العبودي"/>
    <s v="سعودي"/>
    <s v="مؤسسة سلطان عبدالرحمن صالح الرزيحي للتجارة"/>
    <x v="15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21"/>
    <x v="220"/>
    <s v="بياترس دينا منيازي"/>
    <s v="كينيا"/>
    <s v="سلطان عبدالرحمن صالح الرزيحي "/>
    <x v="20"/>
    <n v="0"/>
    <m/>
    <m/>
    <m/>
    <m/>
    <m/>
    <m/>
    <m/>
    <m/>
    <m/>
    <n v="0"/>
    <n v="0"/>
    <n v="0"/>
    <n v="0"/>
    <n v="0"/>
  </r>
  <r>
    <n v="222"/>
    <x v="221"/>
    <s v="اصيل عبدالله علي احمد"/>
    <s v="اليمن"/>
    <s v="تحت التجربة"/>
    <x v="21"/>
    <n v="2300"/>
    <m/>
    <m/>
    <m/>
    <n v="134.16666666666666"/>
    <n v="95.833333333333329"/>
    <m/>
    <m/>
    <m/>
    <m/>
    <n v="0"/>
    <n v="0"/>
    <n v="0"/>
    <n v="2530"/>
    <n v="27830"/>
  </r>
  <r>
    <n v="223"/>
    <x v="222"/>
    <s v="إبراهيم إبراهيم محمد أبو شنب"/>
    <s v="مصر"/>
    <s v="تحت التجربة"/>
    <x v="11"/>
    <n v="5000"/>
    <m/>
    <m/>
    <m/>
    <n v="291.66666666666669"/>
    <n v="208.33333333333334"/>
    <n v="125"/>
    <n v="166.66666666666666"/>
    <n v="54.166666666666664"/>
    <n v="8.3333333333333339"/>
    <n v="0"/>
    <n v="0"/>
    <n v="425.24666666666667"/>
    <n v="6279.4133333333339"/>
    <n v="61279.41333333333"/>
  </r>
  <r>
    <n v="224"/>
    <x v="223"/>
    <s v="ساميه جابر احمد هزازي"/>
    <s v="سعودي"/>
    <s v="شركة ريال البركة للتجارة"/>
    <x v="10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25"/>
    <x v="224"/>
    <s v="بندر محمد احمد ازيبي"/>
    <s v="سعودي"/>
    <s v="مؤسسة زاوية ريال بركة للكماليات"/>
    <x v="17"/>
    <n v="4000"/>
    <n v="490"/>
    <m/>
    <m/>
    <n v="233.33333333333334"/>
    <n v="166.66666666666666"/>
    <n v="0"/>
    <n v="0"/>
    <n v="0"/>
    <n v="0"/>
    <n v="0"/>
    <n v="0"/>
    <n v="0"/>
    <n v="4890"/>
    <n v="54280"/>
  </r>
  <r>
    <n v="226"/>
    <x v="225"/>
    <m/>
    <m/>
    <m/>
    <x v="24"/>
    <m/>
    <m/>
    <m/>
    <m/>
    <m/>
    <m/>
    <m/>
    <m/>
    <m/>
    <m/>
    <m/>
    <m/>
    <m/>
    <m/>
    <m/>
  </r>
  <r>
    <s v="الإجمالي شهري"/>
    <x v="225"/>
    <m/>
    <m/>
    <m/>
    <x v="24"/>
    <n v="788689"/>
    <n v="24360"/>
    <m/>
    <m/>
    <m/>
    <m/>
    <m/>
    <m/>
    <m/>
    <m/>
    <m/>
    <m/>
    <m/>
    <n v="1144120.9376754388"/>
    <m/>
  </r>
  <r>
    <s v="الإجمالي سنوي"/>
    <x v="225"/>
    <m/>
    <m/>
    <m/>
    <x v="24"/>
    <n v="9464268"/>
    <n v="292320"/>
    <n v="20475.072499999973"/>
    <n v="3519.4708333333315"/>
    <n v="37753.91666666665"/>
    <n v="26967.083333333387"/>
    <n v="11412.5"/>
    <n v="7333.3333333333376"/>
    <n v="8054.1666666666833"/>
    <n v="116424.99999999977"/>
    <m/>
    <m/>
    <m/>
    <m/>
    <n v="10109995.4640071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AE436-ADB1-4A5C-AA2A-B8F76BB6511F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P28" firstHeaderRow="0" firstDataRow="1" firstDataCol="1"/>
  <pivotFields count="21">
    <pivotField showAll="0"/>
    <pivotField showAll="0" countASubtotal="1">
      <items count="22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countA"/>
      </items>
    </pivotField>
    <pivotField showAll="0"/>
    <pivotField showAll="0"/>
    <pivotField showAll="0"/>
    <pivotField axis="axisRow" showAll="0">
      <items count="26">
        <item x="1"/>
        <item x="9"/>
        <item x="18"/>
        <item x="10"/>
        <item x="13"/>
        <item x="7"/>
        <item x="20"/>
        <item x="22"/>
        <item x="11"/>
        <item x="17"/>
        <item x="0"/>
        <item x="16"/>
        <item x="6"/>
        <item x="3"/>
        <item x="4"/>
        <item x="19"/>
        <item x="23"/>
        <item x="14"/>
        <item x="2"/>
        <item x="8"/>
        <item x="5"/>
        <item x="15"/>
        <item x="21"/>
        <item x="12"/>
        <item h="1"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مجموع من الراتب " fld="6" baseField="0" baseItem="0"/>
    <dataField name="مجموع من اشتراك التامينات الاجتماعية" fld="7" baseField="0" baseItem="0"/>
    <dataField name="مجموع من التأمين الطبي " fld="8" baseField="0" baseItem="0"/>
    <dataField name="مجموع من الشهادة الصحية" fld="9" baseField="0" baseItem="0"/>
    <dataField name="مجموع من تكلفة الأجازة" fld="10" baseField="0" baseItem="0"/>
    <dataField name="مجموع من نهاية الخدمة" fld="11" baseField="0" baseItem="0"/>
    <dataField name="مجموع من تذاكر طيران" fld="12" baseField="0" baseItem="0"/>
    <dataField name="مجموع من نقل الكفالة" fld="13" baseField="0" baseItem="0"/>
    <dataField name="مجموع من جوازات" fld="14" baseField="0" baseItem="0"/>
    <dataField name="مجموع من رخصة العمل" fld="15" baseField="0" baseItem="0"/>
    <dataField name="مجموع من إيجار السكن" fld="16" baseField="0" baseItem="0"/>
    <dataField name="مجموع من كهرباء + مياه" fld="17" baseField="0" baseItem="0"/>
    <dataField name="مجموع من تحمل نسبة السعودة" fld="18" baseField="0" baseItem="0"/>
    <dataField name="مجموع من مجموج شهري " fld="19" baseField="0" baseItem="0"/>
    <dataField name="مجموع من مجموع سنوي" fld="20" baseField="0" baseItem="0"/>
  </dataFields>
  <formats count="7">
    <format dxfId="19">
      <pivotArea outline="0" collapsedLevelsAreSubtotals="1" fieldPosition="0">
        <references count="1">
          <reference field="4294967294" count="8" selected="0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8">
      <pivotArea dataOnly="0" labelOnly="1" outline="0" fieldPosition="0">
        <references count="1">
          <reference field="4294967294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4">
      <pivotArea field="1" type="button" dataOnly="0" labelOnly="1" outline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05"/>
  <sheetViews>
    <sheetView rightToLeft="1" tabSelected="1" showOutlineSymbols="0" showWhiteSpace="0" zoomScaleNormal="100" workbookViewId="0">
      <selection activeCell="J11" sqref="J11"/>
    </sheetView>
  </sheetViews>
  <sheetFormatPr defaultRowHeight="14.25" x14ac:dyDescent="0.2"/>
  <cols>
    <col min="1" max="1" width="4.875" style="3" customWidth="1"/>
    <col min="2" max="2" width="9.5" style="3" bestFit="1" customWidth="1"/>
    <col min="3" max="3" width="27.875" style="3" bestFit="1" customWidth="1"/>
    <col min="4" max="4" width="4.25" style="3" bestFit="1" customWidth="1"/>
    <col min="5" max="5" width="6.625" style="3" bestFit="1" customWidth="1"/>
    <col min="6" max="6" width="9.875" style="3" bestFit="1" customWidth="1"/>
    <col min="7" max="8" width="13" style="3" bestFit="1" customWidth="1"/>
    <col min="9" max="9" width="10.125" style="3" bestFit="1" customWidth="1"/>
    <col min="10" max="10" width="6.625" style="3" customWidth="1"/>
    <col min="11" max="11" width="20.875" style="3" bestFit="1" customWidth="1"/>
    <col min="12" max="12" width="18.625" style="3" bestFit="1" customWidth="1"/>
    <col min="13" max="13" width="11.25" style="3" bestFit="1" customWidth="1"/>
    <col min="14" max="14" width="6.25" style="3" bestFit="1" customWidth="1"/>
    <col min="15" max="15" width="17.75" style="3" bestFit="1" customWidth="1"/>
    <col min="16" max="16" width="7.5" style="3" bestFit="1" customWidth="1"/>
    <col min="17" max="17" width="18.75" style="3" bestFit="1" customWidth="1"/>
    <col min="18" max="18" width="11.75" style="3" bestFit="1" customWidth="1"/>
    <col min="19" max="19" width="9" style="3" bestFit="1" customWidth="1"/>
    <col min="20" max="20" width="7" style="3" bestFit="1" customWidth="1"/>
    <col min="21" max="21" width="10.875" style="3" bestFit="1" customWidth="1"/>
    <col min="22" max="22" width="11.125" style="3" bestFit="1" customWidth="1"/>
    <col min="23" max="23" width="19.125" style="3" bestFit="1" customWidth="1"/>
    <col min="24" max="24" width="11.125" style="3" bestFit="1" customWidth="1"/>
    <col min="25" max="25" width="16.125" style="3" bestFit="1" customWidth="1"/>
    <col min="26" max="26" width="14.125" style="3" bestFit="1" customWidth="1"/>
    <col min="27" max="27" width="33.875" style="3" bestFit="1" customWidth="1"/>
    <col min="28" max="28" width="26.75" style="3" bestFit="1" customWidth="1"/>
    <col min="29" max="29" width="6.625" style="3" bestFit="1" customWidth="1"/>
    <col min="30" max="30" width="10.875" style="3" bestFit="1" customWidth="1"/>
    <col min="31" max="31" width="36.125" style="3" bestFit="1" customWidth="1"/>
    <col min="32" max="32" width="10.625" style="3" bestFit="1" customWidth="1"/>
    <col min="33" max="33" width="18.875" style="3" bestFit="1" customWidth="1"/>
    <col min="34" max="34" width="11.375" style="3" bestFit="1" customWidth="1"/>
    <col min="35" max="35" width="36.25" style="3" bestFit="1" customWidth="1"/>
    <col min="36" max="36" width="12.125" style="3" bestFit="1" customWidth="1"/>
    <col min="37" max="37" width="10.125" style="3" bestFit="1" customWidth="1"/>
    <col min="38" max="38" width="11" style="3" bestFit="1" customWidth="1"/>
    <col min="39" max="16384" width="9" style="3"/>
  </cols>
  <sheetData>
    <row r="1" spans="1:38" ht="39.950000000000003" customHeight="1" x14ac:dyDescent="0.2">
      <c r="B1" s="4"/>
      <c r="H1" s="6">
        <f ca="1">TODAY()</f>
        <v>45228</v>
      </c>
    </row>
    <row r="2" spans="1:38" ht="20.100000000000001" customHeight="1" x14ac:dyDescent="0.2">
      <c r="B2" s="5"/>
    </row>
    <row r="3" spans="1:38" s="8" customFormat="1" ht="20.100000000000001" customHeight="1" x14ac:dyDescent="0.2">
      <c r="A3" s="12" t="s">
        <v>3505</v>
      </c>
      <c r="B3" s="12" t="s">
        <v>3504</v>
      </c>
      <c r="C3" s="12" t="s">
        <v>0</v>
      </c>
      <c r="D3" s="12" t="s">
        <v>1</v>
      </c>
      <c r="E3" s="12" t="s">
        <v>2</v>
      </c>
      <c r="F3" s="12" t="s">
        <v>3</v>
      </c>
      <c r="G3" s="13" t="s">
        <v>4</v>
      </c>
      <c r="H3" s="13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  <c r="R3" s="12" t="s">
        <v>15</v>
      </c>
      <c r="S3" s="12" t="s">
        <v>16</v>
      </c>
      <c r="T3" s="12" t="s">
        <v>17</v>
      </c>
      <c r="U3" s="12" t="s">
        <v>18</v>
      </c>
      <c r="V3" s="12" t="s">
        <v>19</v>
      </c>
      <c r="W3" s="12" t="s">
        <v>20</v>
      </c>
      <c r="X3" s="12" t="s">
        <v>21</v>
      </c>
      <c r="Y3" s="12" t="s">
        <v>22</v>
      </c>
      <c r="Z3" s="12" t="s">
        <v>23</v>
      </c>
      <c r="AA3" s="12" t="s">
        <v>24</v>
      </c>
      <c r="AB3" s="12" t="s">
        <v>25</v>
      </c>
      <c r="AC3" s="12" t="s">
        <v>26</v>
      </c>
      <c r="AD3" s="12" t="s">
        <v>27</v>
      </c>
      <c r="AE3" s="12" t="s">
        <v>28</v>
      </c>
      <c r="AF3" s="12" t="s">
        <v>29</v>
      </c>
      <c r="AG3" s="12" t="s">
        <v>30</v>
      </c>
      <c r="AH3" s="12" t="s">
        <v>31</v>
      </c>
      <c r="AI3" s="12" t="s">
        <v>32</v>
      </c>
      <c r="AJ3" s="12" t="s">
        <v>33</v>
      </c>
      <c r="AK3" s="12" t="s">
        <v>34</v>
      </c>
      <c r="AL3" s="12" t="s">
        <v>35</v>
      </c>
    </row>
    <row r="4" spans="1:38" ht="20.100000000000001" customHeight="1" x14ac:dyDescent="0.2">
      <c r="A4" s="3">
        <f t="shared" ref="A4:A67" si="0">ROW()-3</f>
        <v>1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2">
        <v>46903</v>
      </c>
      <c r="I4" s="2">
        <v>25459</v>
      </c>
      <c r="J4" s="7">
        <f ca="1">($H$1-I4)/365</f>
        <v>54.161643835616438</v>
      </c>
      <c r="K4" s="1" t="s">
        <v>42</v>
      </c>
      <c r="L4" s="1" t="s">
        <v>43</v>
      </c>
      <c r="M4" s="2">
        <v>37257</v>
      </c>
      <c r="N4" s="1">
        <v>2</v>
      </c>
      <c r="O4" s="2">
        <v>37257</v>
      </c>
      <c r="P4" s="1" t="s">
        <v>44</v>
      </c>
      <c r="Q4" s="1" t="s">
        <v>45</v>
      </c>
      <c r="R4" s="1" t="s">
        <v>46</v>
      </c>
      <c r="S4" s="1" t="s">
        <v>47</v>
      </c>
      <c r="T4" s="1" t="s">
        <v>42</v>
      </c>
      <c r="U4" s="2" t="s">
        <v>42</v>
      </c>
      <c r="V4" s="2">
        <v>44926</v>
      </c>
      <c r="W4" s="2" t="s">
        <v>42</v>
      </c>
      <c r="X4" s="1" t="s">
        <v>42</v>
      </c>
      <c r="Y4" s="2" t="s">
        <v>42</v>
      </c>
      <c r="Z4" s="1" t="s">
        <v>48</v>
      </c>
      <c r="AA4" s="1" t="s">
        <v>42</v>
      </c>
      <c r="AB4" s="1" t="s">
        <v>49</v>
      </c>
      <c r="AC4" s="1" t="s">
        <v>50</v>
      </c>
      <c r="AD4" s="1">
        <v>1023619636</v>
      </c>
      <c r="AE4" s="1" t="s">
        <v>37</v>
      </c>
      <c r="AF4" s="1"/>
      <c r="AG4" s="2" t="s">
        <v>42</v>
      </c>
      <c r="AH4" s="1" t="s">
        <v>42</v>
      </c>
      <c r="AI4" s="1" t="s">
        <v>51</v>
      </c>
      <c r="AJ4" s="1"/>
      <c r="AK4" s="2" t="s">
        <v>42</v>
      </c>
      <c r="AL4" s="1" t="s">
        <v>3507</v>
      </c>
    </row>
    <row r="5" spans="1:38" ht="20.100000000000001" customHeight="1" x14ac:dyDescent="0.2">
      <c r="A5" s="3">
        <f t="shared" si="0"/>
        <v>2</v>
      </c>
      <c r="B5" s="1" t="s">
        <v>52</v>
      </c>
      <c r="C5" s="1" t="s">
        <v>53</v>
      </c>
      <c r="D5" s="1" t="s">
        <v>38</v>
      </c>
      <c r="E5" s="1" t="s">
        <v>54</v>
      </c>
      <c r="F5" s="1" t="s">
        <v>55</v>
      </c>
      <c r="G5" s="1" t="s">
        <v>56</v>
      </c>
      <c r="H5" s="2">
        <v>45269</v>
      </c>
      <c r="I5" s="2">
        <v>24108</v>
      </c>
      <c r="J5" s="7">
        <f t="shared" ref="J5:J68" ca="1" si="1">($H$1-I5)/365</f>
        <v>57.863013698630134</v>
      </c>
      <c r="K5" s="1" t="s">
        <v>57</v>
      </c>
      <c r="L5" s="1" t="s">
        <v>58</v>
      </c>
      <c r="M5" s="2">
        <v>37377</v>
      </c>
      <c r="N5" s="1">
        <v>2</v>
      </c>
      <c r="O5" s="2">
        <v>44130</v>
      </c>
      <c r="P5" s="1" t="s">
        <v>44</v>
      </c>
      <c r="Q5" s="1" t="s">
        <v>59</v>
      </c>
      <c r="R5" s="1" t="s">
        <v>60</v>
      </c>
      <c r="S5" s="1" t="s">
        <v>47</v>
      </c>
      <c r="T5" s="1">
        <v>12</v>
      </c>
      <c r="U5" s="2" t="s">
        <v>42</v>
      </c>
      <c r="V5" s="2">
        <v>45292</v>
      </c>
      <c r="W5" s="2" t="s">
        <v>42</v>
      </c>
      <c r="X5" s="1" t="s">
        <v>61</v>
      </c>
      <c r="Y5" s="2">
        <v>46164</v>
      </c>
      <c r="Z5" s="1" t="s">
        <v>62</v>
      </c>
      <c r="AA5" s="1" t="s">
        <v>63</v>
      </c>
      <c r="AB5" s="1" t="s">
        <v>64</v>
      </c>
      <c r="AC5" s="1" t="s">
        <v>50</v>
      </c>
      <c r="AD5" s="1">
        <v>7014477116</v>
      </c>
      <c r="AE5" s="1" t="s">
        <v>65</v>
      </c>
      <c r="AF5" s="1" t="s">
        <v>66</v>
      </c>
      <c r="AG5" s="2" t="s">
        <v>42</v>
      </c>
      <c r="AH5" s="1"/>
      <c r="AI5" s="1" t="s">
        <v>42</v>
      </c>
      <c r="AJ5" s="1"/>
      <c r="AK5" s="2" t="s">
        <v>42</v>
      </c>
      <c r="AL5" s="1" t="s">
        <v>3507</v>
      </c>
    </row>
    <row r="6" spans="1:38" ht="20.100000000000001" customHeight="1" x14ac:dyDescent="0.2">
      <c r="A6" s="3">
        <f t="shared" si="0"/>
        <v>3</v>
      </c>
      <c r="B6" s="1" t="s">
        <v>67</v>
      </c>
      <c r="C6" s="1" t="s">
        <v>68</v>
      </c>
      <c r="D6" s="1" t="s">
        <v>38</v>
      </c>
      <c r="E6" s="1" t="s">
        <v>69</v>
      </c>
      <c r="F6" s="1" t="s">
        <v>70</v>
      </c>
      <c r="G6" s="1" t="s">
        <v>71</v>
      </c>
      <c r="H6" s="2">
        <v>45367</v>
      </c>
      <c r="I6" s="2">
        <v>31189</v>
      </c>
      <c r="J6" s="7">
        <f t="shared" ca="1" si="1"/>
        <v>38.463013698630135</v>
      </c>
      <c r="K6" s="1" t="s">
        <v>72</v>
      </c>
      <c r="L6" s="1" t="s">
        <v>72</v>
      </c>
      <c r="M6" s="2">
        <v>40165</v>
      </c>
      <c r="N6" s="1">
        <v>2</v>
      </c>
      <c r="O6" s="2">
        <v>42773</v>
      </c>
      <c r="P6" s="1" t="s">
        <v>44</v>
      </c>
      <c r="Q6" s="1" t="s">
        <v>66</v>
      </c>
      <c r="R6" s="1" t="s">
        <v>73</v>
      </c>
      <c r="S6" s="1" t="s">
        <v>47</v>
      </c>
      <c r="T6" s="1">
        <v>8</v>
      </c>
      <c r="U6" s="2" t="s">
        <v>42</v>
      </c>
      <c r="V6" s="2">
        <v>45292</v>
      </c>
      <c r="W6" s="2" t="s">
        <v>42</v>
      </c>
      <c r="X6" s="1" t="s">
        <v>74</v>
      </c>
      <c r="Y6" s="2">
        <v>45029</v>
      </c>
      <c r="Z6" s="1" t="s">
        <v>75</v>
      </c>
      <c r="AA6" s="1" t="s">
        <v>42</v>
      </c>
      <c r="AB6" s="1" t="s">
        <v>76</v>
      </c>
      <c r="AC6" s="1" t="s">
        <v>50</v>
      </c>
      <c r="AD6" s="1">
        <v>7014477116</v>
      </c>
      <c r="AE6" s="1" t="s">
        <v>65</v>
      </c>
      <c r="AF6" s="1" t="s">
        <v>66</v>
      </c>
      <c r="AG6" s="2" t="s">
        <v>42</v>
      </c>
      <c r="AH6" s="1"/>
      <c r="AI6" s="1" t="s">
        <v>42</v>
      </c>
      <c r="AJ6" s="1"/>
      <c r="AK6" s="2" t="s">
        <v>42</v>
      </c>
      <c r="AL6" s="1" t="s">
        <v>3507</v>
      </c>
    </row>
    <row r="7" spans="1:38" ht="20.100000000000001" customHeight="1" x14ac:dyDescent="0.2">
      <c r="A7" s="3">
        <f t="shared" si="0"/>
        <v>4</v>
      </c>
      <c r="B7" s="1" t="s">
        <v>77</v>
      </c>
      <c r="C7" s="1" t="s">
        <v>78</v>
      </c>
      <c r="D7" s="1" t="s">
        <v>38</v>
      </c>
      <c r="E7" s="1" t="s">
        <v>69</v>
      </c>
      <c r="F7" s="1" t="s">
        <v>70</v>
      </c>
      <c r="G7" s="1" t="s">
        <v>79</v>
      </c>
      <c r="H7" s="2">
        <v>45428</v>
      </c>
      <c r="I7" s="2">
        <v>29587</v>
      </c>
      <c r="J7" s="7">
        <f t="shared" ca="1" si="1"/>
        <v>42.852054794520548</v>
      </c>
      <c r="K7" s="1" t="s">
        <v>80</v>
      </c>
      <c r="L7" s="1" t="s">
        <v>81</v>
      </c>
      <c r="M7" s="2">
        <v>40238</v>
      </c>
      <c r="N7" s="1">
        <v>2</v>
      </c>
      <c r="O7" s="2">
        <v>43259</v>
      </c>
      <c r="P7" s="1" t="s">
        <v>44</v>
      </c>
      <c r="Q7" s="1" t="s">
        <v>45</v>
      </c>
      <c r="R7" s="1" t="s">
        <v>73</v>
      </c>
      <c r="S7" s="1" t="s">
        <v>47</v>
      </c>
      <c r="T7" s="1">
        <v>8</v>
      </c>
      <c r="U7" s="2" t="s">
        <v>42</v>
      </c>
      <c r="V7" s="2">
        <v>45444</v>
      </c>
      <c r="W7" s="2" t="s">
        <v>42</v>
      </c>
      <c r="X7" s="1" t="s">
        <v>82</v>
      </c>
      <c r="Y7" s="2">
        <v>45029</v>
      </c>
      <c r="Z7" s="1" t="s">
        <v>83</v>
      </c>
      <c r="AA7" s="1" t="s">
        <v>84</v>
      </c>
      <c r="AB7" s="1" t="s">
        <v>85</v>
      </c>
      <c r="AC7" s="1" t="s">
        <v>50</v>
      </c>
      <c r="AD7" s="1">
        <v>7014477116</v>
      </c>
      <c r="AE7" s="1" t="s">
        <v>65</v>
      </c>
      <c r="AF7" s="1"/>
      <c r="AG7" s="2" t="s">
        <v>42</v>
      </c>
      <c r="AH7" s="1"/>
      <c r="AI7" s="1" t="s">
        <v>42</v>
      </c>
      <c r="AJ7" s="1"/>
      <c r="AK7" s="2" t="s">
        <v>42</v>
      </c>
      <c r="AL7" s="1" t="s">
        <v>3507</v>
      </c>
    </row>
    <row r="8" spans="1:38" ht="20.100000000000001" customHeight="1" x14ac:dyDescent="0.2">
      <c r="A8" s="3">
        <f t="shared" si="0"/>
        <v>5</v>
      </c>
      <c r="B8" s="1" t="s">
        <v>86</v>
      </c>
      <c r="C8" s="1" t="s">
        <v>87</v>
      </c>
      <c r="D8" s="1" t="s">
        <v>38</v>
      </c>
      <c r="E8" s="1" t="s">
        <v>69</v>
      </c>
      <c r="F8" s="1" t="s">
        <v>70</v>
      </c>
      <c r="G8" s="1" t="s">
        <v>88</v>
      </c>
      <c r="H8" s="2">
        <v>45350</v>
      </c>
      <c r="I8" s="2">
        <v>29587</v>
      </c>
      <c r="J8" s="7">
        <f t="shared" ca="1" si="1"/>
        <v>42.852054794520548</v>
      </c>
      <c r="K8" s="1" t="s">
        <v>89</v>
      </c>
      <c r="L8" s="1" t="s">
        <v>90</v>
      </c>
      <c r="M8" s="2">
        <v>40337</v>
      </c>
      <c r="N8" s="1">
        <v>2</v>
      </c>
      <c r="O8" s="2">
        <v>40344</v>
      </c>
      <c r="P8" s="1" t="s">
        <v>44</v>
      </c>
      <c r="Q8" s="1" t="s">
        <v>66</v>
      </c>
      <c r="R8" s="1" t="s">
        <v>73</v>
      </c>
      <c r="S8" s="1" t="s">
        <v>47</v>
      </c>
      <c r="T8" s="1">
        <v>8</v>
      </c>
      <c r="U8" s="2" t="s">
        <v>42</v>
      </c>
      <c r="V8" s="2">
        <v>45085</v>
      </c>
      <c r="W8" s="2" t="s">
        <v>42</v>
      </c>
      <c r="X8" s="1" t="s">
        <v>91</v>
      </c>
      <c r="Y8" s="2">
        <v>46988</v>
      </c>
      <c r="Z8" s="1" t="s">
        <v>92</v>
      </c>
      <c r="AA8" s="1" t="s">
        <v>93</v>
      </c>
      <c r="AB8" s="1" t="s">
        <v>94</v>
      </c>
      <c r="AC8" s="1" t="s">
        <v>50</v>
      </c>
      <c r="AD8" s="1">
        <v>7014477116</v>
      </c>
      <c r="AE8" s="1" t="s">
        <v>65</v>
      </c>
      <c r="AF8" s="1" t="s">
        <v>66</v>
      </c>
      <c r="AG8" s="2" t="s">
        <v>42</v>
      </c>
      <c r="AH8" s="1"/>
      <c r="AI8" s="1" t="s">
        <v>42</v>
      </c>
      <c r="AJ8" s="1"/>
      <c r="AK8" s="2" t="s">
        <v>42</v>
      </c>
      <c r="AL8" s="1" t="s">
        <v>3507</v>
      </c>
    </row>
    <row r="9" spans="1:38" ht="20.100000000000001" customHeight="1" x14ac:dyDescent="0.2">
      <c r="A9" s="3">
        <f t="shared" si="0"/>
        <v>6</v>
      </c>
      <c r="B9" s="1" t="s">
        <v>95</v>
      </c>
      <c r="C9" s="1" t="s">
        <v>96</v>
      </c>
      <c r="D9" s="1" t="s">
        <v>38</v>
      </c>
      <c r="E9" s="1" t="s">
        <v>69</v>
      </c>
      <c r="F9" s="1" t="s">
        <v>70</v>
      </c>
      <c r="G9" s="1" t="s">
        <v>97</v>
      </c>
      <c r="H9" s="2">
        <v>45369</v>
      </c>
      <c r="I9" s="2">
        <v>31413</v>
      </c>
      <c r="J9" s="7">
        <f t="shared" ca="1" si="1"/>
        <v>37.849315068493148</v>
      </c>
      <c r="K9" s="1" t="s">
        <v>57</v>
      </c>
      <c r="L9" s="1" t="s">
        <v>58</v>
      </c>
      <c r="M9" s="2">
        <v>41244</v>
      </c>
      <c r="N9" s="1">
        <v>2</v>
      </c>
      <c r="O9" s="2">
        <v>44540</v>
      </c>
      <c r="P9" s="1" t="s">
        <v>44</v>
      </c>
      <c r="Q9" s="1" t="s">
        <v>98</v>
      </c>
      <c r="R9" s="1" t="s">
        <v>60</v>
      </c>
      <c r="S9" s="1" t="s">
        <v>47</v>
      </c>
      <c r="T9" s="1">
        <v>12</v>
      </c>
      <c r="U9" s="2" t="s">
        <v>42</v>
      </c>
      <c r="V9" s="2">
        <v>44895</v>
      </c>
      <c r="W9" s="2" t="s">
        <v>42</v>
      </c>
      <c r="X9" s="1" t="s">
        <v>99</v>
      </c>
      <c r="Y9" s="2">
        <v>46997</v>
      </c>
      <c r="Z9" s="1" t="s">
        <v>100</v>
      </c>
      <c r="AA9" s="1" t="s">
        <v>101</v>
      </c>
      <c r="AB9" s="1" t="s">
        <v>102</v>
      </c>
      <c r="AC9" s="1" t="s">
        <v>50</v>
      </c>
      <c r="AD9" s="1">
        <v>7009073037</v>
      </c>
      <c r="AE9" s="1" t="s">
        <v>103</v>
      </c>
      <c r="AF9" s="1"/>
      <c r="AG9" s="2" t="s">
        <v>42</v>
      </c>
      <c r="AH9" s="1"/>
      <c r="AI9" s="1" t="s">
        <v>42</v>
      </c>
      <c r="AJ9" s="1"/>
      <c r="AK9" s="2" t="s">
        <v>42</v>
      </c>
      <c r="AL9" s="1" t="s">
        <v>3507</v>
      </c>
    </row>
    <row r="10" spans="1:38" ht="20.100000000000001" customHeight="1" x14ac:dyDescent="0.2">
      <c r="A10" s="3">
        <f t="shared" si="0"/>
        <v>7</v>
      </c>
      <c r="B10" s="1" t="s">
        <v>104</v>
      </c>
      <c r="C10" s="1" t="s">
        <v>105</v>
      </c>
      <c r="D10" s="1" t="s">
        <v>38</v>
      </c>
      <c r="E10" s="1" t="s">
        <v>69</v>
      </c>
      <c r="F10" s="1" t="s">
        <v>70</v>
      </c>
      <c r="G10" s="1" t="s">
        <v>106</v>
      </c>
      <c r="H10" s="2">
        <v>45249</v>
      </c>
      <c r="I10" s="2">
        <v>30682</v>
      </c>
      <c r="J10" s="7">
        <f t="shared" ca="1" si="1"/>
        <v>39.852054794520548</v>
      </c>
      <c r="K10" s="1" t="s">
        <v>57</v>
      </c>
      <c r="L10" s="1" t="s">
        <v>58</v>
      </c>
      <c r="M10" s="2">
        <v>41244</v>
      </c>
      <c r="N10" s="1">
        <v>2</v>
      </c>
      <c r="O10" s="2">
        <v>44635</v>
      </c>
      <c r="P10" s="1" t="s">
        <v>44</v>
      </c>
      <c r="Q10" s="1" t="s">
        <v>107</v>
      </c>
      <c r="R10" s="1" t="s">
        <v>60</v>
      </c>
      <c r="S10" s="1" t="s">
        <v>47</v>
      </c>
      <c r="T10" s="1">
        <v>12</v>
      </c>
      <c r="U10" s="2" t="s">
        <v>42</v>
      </c>
      <c r="V10" s="2">
        <v>44895</v>
      </c>
      <c r="W10" s="2">
        <v>45014</v>
      </c>
      <c r="X10" s="1" t="s">
        <v>108</v>
      </c>
      <c r="Y10" s="2">
        <v>46910</v>
      </c>
      <c r="Z10" s="1" t="s">
        <v>109</v>
      </c>
      <c r="AA10" s="1" t="s">
        <v>110</v>
      </c>
      <c r="AB10" s="1" t="s">
        <v>111</v>
      </c>
      <c r="AC10" s="1" t="s">
        <v>50</v>
      </c>
      <c r="AD10" s="1">
        <v>7014477116</v>
      </c>
      <c r="AE10" s="1" t="s">
        <v>65</v>
      </c>
      <c r="AF10" s="1" t="s">
        <v>66</v>
      </c>
      <c r="AG10" s="2" t="s">
        <v>42</v>
      </c>
      <c r="AH10" s="1"/>
      <c r="AI10" s="1" t="s">
        <v>42</v>
      </c>
      <c r="AJ10" s="1"/>
      <c r="AK10" s="2" t="s">
        <v>42</v>
      </c>
      <c r="AL10" s="1" t="s">
        <v>3507</v>
      </c>
    </row>
    <row r="11" spans="1:38" ht="20.100000000000001" customHeight="1" x14ac:dyDescent="0.2">
      <c r="A11" s="3">
        <f t="shared" si="0"/>
        <v>8</v>
      </c>
      <c r="B11" s="1" t="s">
        <v>112</v>
      </c>
      <c r="C11" s="1" t="s">
        <v>113</v>
      </c>
      <c r="D11" s="1" t="s">
        <v>38</v>
      </c>
      <c r="E11" s="1" t="s">
        <v>69</v>
      </c>
      <c r="F11" s="1" t="s">
        <v>70</v>
      </c>
      <c r="G11" s="1" t="s">
        <v>114</v>
      </c>
      <c r="H11" s="2">
        <v>45388</v>
      </c>
      <c r="I11" s="2">
        <v>31001</v>
      </c>
      <c r="J11" s="7">
        <f t="shared" ca="1" si="1"/>
        <v>38.978082191780821</v>
      </c>
      <c r="K11" s="1" t="s">
        <v>80</v>
      </c>
      <c r="L11" s="1" t="s">
        <v>72</v>
      </c>
      <c r="M11" s="2">
        <v>41275</v>
      </c>
      <c r="N11" s="1">
        <v>2</v>
      </c>
      <c r="O11" s="2">
        <v>44663</v>
      </c>
      <c r="P11" s="1" t="s">
        <v>44</v>
      </c>
      <c r="Q11" s="1" t="s">
        <v>115</v>
      </c>
      <c r="R11" s="1" t="s">
        <v>116</v>
      </c>
      <c r="S11" s="1" t="s">
        <v>47</v>
      </c>
      <c r="T11" s="1">
        <v>8</v>
      </c>
      <c r="U11" s="2" t="s">
        <v>42</v>
      </c>
      <c r="V11" s="2">
        <v>44926</v>
      </c>
      <c r="W11" s="2" t="s">
        <v>42</v>
      </c>
      <c r="X11" s="1" t="s">
        <v>117</v>
      </c>
      <c r="Y11" s="2">
        <v>46226</v>
      </c>
      <c r="Z11" s="1" t="s">
        <v>118</v>
      </c>
      <c r="AA11" s="1" t="s">
        <v>42</v>
      </c>
      <c r="AB11" s="1" t="s">
        <v>42</v>
      </c>
      <c r="AC11" s="1" t="s">
        <v>50</v>
      </c>
      <c r="AD11" s="1">
        <v>7014477116</v>
      </c>
      <c r="AE11" s="1" t="s">
        <v>65</v>
      </c>
      <c r="AF11" s="1"/>
      <c r="AG11" s="2" t="s">
        <v>42</v>
      </c>
      <c r="AH11" s="1"/>
      <c r="AI11" s="1" t="s">
        <v>51</v>
      </c>
      <c r="AJ11" s="1"/>
      <c r="AK11" s="2" t="s">
        <v>42</v>
      </c>
      <c r="AL11" s="1" t="s">
        <v>3507</v>
      </c>
    </row>
    <row r="12" spans="1:38" ht="20.100000000000001" customHeight="1" x14ac:dyDescent="0.2">
      <c r="A12" s="3">
        <f t="shared" si="0"/>
        <v>9</v>
      </c>
      <c r="B12" s="1" t="s">
        <v>119</v>
      </c>
      <c r="C12" s="1" t="s">
        <v>120</v>
      </c>
      <c r="D12" s="1" t="s">
        <v>121</v>
      </c>
      <c r="E12" s="1" t="s">
        <v>39</v>
      </c>
      <c r="F12" s="1" t="s">
        <v>40</v>
      </c>
      <c r="G12" s="1" t="s">
        <v>122</v>
      </c>
      <c r="H12" s="2" t="s">
        <v>42</v>
      </c>
      <c r="I12" s="2">
        <v>24040</v>
      </c>
      <c r="J12" s="7">
        <f t="shared" ca="1" si="1"/>
        <v>58.049315068493151</v>
      </c>
      <c r="K12" s="1" t="s">
        <v>123</v>
      </c>
      <c r="L12" s="1" t="s">
        <v>123</v>
      </c>
      <c r="M12" s="2">
        <v>41405</v>
      </c>
      <c r="N12" s="1">
        <v>2</v>
      </c>
      <c r="O12" s="2">
        <v>41405</v>
      </c>
      <c r="P12" s="1" t="s">
        <v>44</v>
      </c>
      <c r="Q12" s="1" t="s">
        <v>408</v>
      </c>
      <c r="R12" s="1" t="s">
        <v>124</v>
      </c>
      <c r="S12" s="1" t="s">
        <v>125</v>
      </c>
      <c r="T12" s="1" t="s">
        <v>42</v>
      </c>
      <c r="U12" s="2" t="s">
        <v>42</v>
      </c>
      <c r="V12" s="2">
        <v>45056</v>
      </c>
      <c r="W12" s="2" t="s">
        <v>42</v>
      </c>
      <c r="X12" s="1" t="s">
        <v>42</v>
      </c>
      <c r="Y12" s="2" t="s">
        <v>42</v>
      </c>
      <c r="Z12" s="1" t="s">
        <v>126</v>
      </c>
      <c r="AA12" s="1" t="s">
        <v>127</v>
      </c>
      <c r="AB12" s="1" t="s">
        <v>128</v>
      </c>
      <c r="AC12" s="1" t="s">
        <v>129</v>
      </c>
      <c r="AD12" s="1">
        <v>7014477116</v>
      </c>
      <c r="AE12" s="1" t="s">
        <v>65</v>
      </c>
      <c r="AF12" s="1"/>
      <c r="AG12" s="2" t="s">
        <v>42</v>
      </c>
      <c r="AH12" s="1"/>
      <c r="AI12" s="1" t="s">
        <v>42</v>
      </c>
      <c r="AJ12" s="1"/>
      <c r="AK12" s="2" t="s">
        <v>42</v>
      </c>
      <c r="AL12" s="1" t="s">
        <v>3507</v>
      </c>
    </row>
    <row r="13" spans="1:38" ht="20.100000000000001" customHeight="1" x14ac:dyDescent="0.2">
      <c r="A13" s="3">
        <f t="shared" si="0"/>
        <v>10</v>
      </c>
      <c r="B13" s="1" t="s">
        <v>130</v>
      </c>
      <c r="C13" s="1" t="s">
        <v>131</v>
      </c>
      <c r="D13" s="1" t="s">
        <v>38</v>
      </c>
      <c r="E13" s="1" t="s">
        <v>54</v>
      </c>
      <c r="F13" s="1" t="s">
        <v>55</v>
      </c>
      <c r="G13" s="1" t="s">
        <v>132</v>
      </c>
      <c r="H13" s="2">
        <v>45415</v>
      </c>
      <c r="I13" s="2">
        <v>23012</v>
      </c>
      <c r="J13" s="7">
        <f t="shared" ca="1" si="1"/>
        <v>60.865753424657534</v>
      </c>
      <c r="K13" s="1" t="s">
        <v>133</v>
      </c>
      <c r="L13" s="1" t="s">
        <v>134</v>
      </c>
      <c r="M13" s="2">
        <v>41426</v>
      </c>
      <c r="N13" s="1">
        <v>2</v>
      </c>
      <c r="O13" s="2">
        <v>44783</v>
      </c>
      <c r="P13" s="1" t="s">
        <v>44</v>
      </c>
      <c r="Q13" s="1" t="s">
        <v>135</v>
      </c>
      <c r="R13" s="1" t="s">
        <v>60</v>
      </c>
      <c r="S13" s="1" t="s">
        <v>47</v>
      </c>
      <c r="T13" s="1">
        <v>8</v>
      </c>
      <c r="U13" s="2" t="s">
        <v>42</v>
      </c>
      <c r="V13" s="2">
        <v>44926</v>
      </c>
      <c r="W13" s="2" t="s">
        <v>42</v>
      </c>
      <c r="X13" s="1" t="s">
        <v>136</v>
      </c>
      <c r="Y13" s="2">
        <v>45453</v>
      </c>
      <c r="Z13" s="1" t="s">
        <v>137</v>
      </c>
      <c r="AA13" s="1" t="s">
        <v>42</v>
      </c>
      <c r="AB13" s="1" t="s">
        <v>138</v>
      </c>
      <c r="AC13" s="1" t="s">
        <v>129</v>
      </c>
      <c r="AD13" s="1">
        <v>7014477116</v>
      </c>
      <c r="AE13" s="1" t="s">
        <v>65</v>
      </c>
      <c r="AF13" s="1" t="s">
        <v>66</v>
      </c>
      <c r="AG13" s="2" t="s">
        <v>42</v>
      </c>
      <c r="AH13" s="1"/>
      <c r="AI13" s="1" t="s">
        <v>42</v>
      </c>
      <c r="AJ13" s="1"/>
      <c r="AK13" s="2" t="s">
        <v>42</v>
      </c>
      <c r="AL13" s="1" t="s">
        <v>3507</v>
      </c>
    </row>
    <row r="14" spans="1:38" ht="20.100000000000001" customHeight="1" x14ac:dyDescent="0.2">
      <c r="A14" s="3">
        <f t="shared" si="0"/>
        <v>11</v>
      </c>
      <c r="B14" s="1" t="s">
        <v>139</v>
      </c>
      <c r="C14" s="1" t="s">
        <v>140</v>
      </c>
      <c r="D14" s="1" t="s">
        <v>38</v>
      </c>
      <c r="E14" s="1" t="s">
        <v>54</v>
      </c>
      <c r="F14" s="1" t="s">
        <v>55</v>
      </c>
      <c r="G14" s="1" t="s">
        <v>141</v>
      </c>
      <c r="H14" s="2">
        <v>45457</v>
      </c>
      <c r="I14" s="2">
        <v>24838</v>
      </c>
      <c r="J14" s="7">
        <f t="shared" ca="1" si="1"/>
        <v>55.863013698630134</v>
      </c>
      <c r="K14" s="1" t="s">
        <v>133</v>
      </c>
      <c r="L14" s="1" t="s">
        <v>134</v>
      </c>
      <c r="M14" s="2">
        <v>41426</v>
      </c>
      <c r="N14" s="1">
        <v>2</v>
      </c>
      <c r="O14" s="2">
        <v>44626</v>
      </c>
      <c r="P14" s="1" t="s">
        <v>44</v>
      </c>
      <c r="Q14" s="1" t="s">
        <v>142</v>
      </c>
      <c r="R14" s="1" t="s">
        <v>60</v>
      </c>
      <c r="S14" s="1" t="s">
        <v>47</v>
      </c>
      <c r="T14" s="1">
        <v>12</v>
      </c>
      <c r="U14" s="2" t="s">
        <v>42</v>
      </c>
      <c r="V14" s="2">
        <v>44926</v>
      </c>
      <c r="W14" s="2" t="s">
        <v>42</v>
      </c>
      <c r="X14" s="1" t="s">
        <v>143</v>
      </c>
      <c r="Y14" s="2">
        <v>45483</v>
      </c>
      <c r="Z14" s="1" t="s">
        <v>144</v>
      </c>
      <c r="AA14" s="1" t="s">
        <v>145</v>
      </c>
      <c r="AB14" s="1" t="s">
        <v>146</v>
      </c>
      <c r="AC14" s="1" t="s">
        <v>50</v>
      </c>
      <c r="AD14" s="1">
        <v>7009073037</v>
      </c>
      <c r="AE14" s="1" t="s">
        <v>103</v>
      </c>
      <c r="AF14" s="1" t="s">
        <v>147</v>
      </c>
      <c r="AG14" s="2" t="s">
        <v>42</v>
      </c>
      <c r="AH14" s="1"/>
      <c r="AI14" s="1" t="s">
        <v>42</v>
      </c>
      <c r="AJ14" s="1"/>
      <c r="AK14" s="2" t="s">
        <v>42</v>
      </c>
      <c r="AL14" s="1" t="s">
        <v>3507</v>
      </c>
    </row>
    <row r="15" spans="1:38" ht="20.100000000000001" customHeight="1" x14ac:dyDescent="0.2">
      <c r="A15" s="3">
        <f t="shared" si="0"/>
        <v>12</v>
      </c>
      <c r="B15" s="1" t="s">
        <v>148</v>
      </c>
      <c r="C15" s="1" t="s">
        <v>149</v>
      </c>
      <c r="D15" s="1" t="s">
        <v>38</v>
      </c>
      <c r="E15" s="1" t="s">
        <v>150</v>
      </c>
      <c r="F15" s="1" t="s">
        <v>70</v>
      </c>
      <c r="G15" s="1" t="s">
        <v>151</v>
      </c>
      <c r="H15" s="2">
        <v>45283</v>
      </c>
      <c r="I15" s="2">
        <v>32049</v>
      </c>
      <c r="J15" s="7">
        <f t="shared" ca="1" si="1"/>
        <v>36.106849315068494</v>
      </c>
      <c r="K15" s="1" t="s">
        <v>152</v>
      </c>
      <c r="L15" s="1" t="s">
        <v>153</v>
      </c>
      <c r="M15" s="2">
        <v>45082</v>
      </c>
      <c r="N15" s="1">
        <v>2</v>
      </c>
      <c r="O15" s="2">
        <v>45185</v>
      </c>
      <c r="P15" s="1" t="s">
        <v>44</v>
      </c>
      <c r="Q15" s="1" t="s">
        <v>154</v>
      </c>
      <c r="R15" s="1" t="s">
        <v>155</v>
      </c>
      <c r="S15" s="1" t="s">
        <v>156</v>
      </c>
      <c r="T15" s="1">
        <v>8</v>
      </c>
      <c r="U15" s="2">
        <v>45082</v>
      </c>
      <c r="V15" s="2">
        <v>45447</v>
      </c>
      <c r="W15" s="2" t="s">
        <v>42</v>
      </c>
      <c r="X15" s="1" t="s">
        <v>42</v>
      </c>
      <c r="Y15" s="2" t="s">
        <v>42</v>
      </c>
      <c r="Z15" s="1" t="s">
        <v>157</v>
      </c>
      <c r="AA15" s="1" t="s">
        <v>158</v>
      </c>
      <c r="AB15" s="1" t="s">
        <v>159</v>
      </c>
      <c r="AC15" s="1" t="s">
        <v>160</v>
      </c>
      <c r="AD15" s="1">
        <v>7009073037</v>
      </c>
      <c r="AE15" s="1" t="s">
        <v>103</v>
      </c>
      <c r="AF15" s="1"/>
      <c r="AG15" s="2" t="s">
        <v>42</v>
      </c>
      <c r="AH15" s="1"/>
      <c r="AI15" s="1" t="s">
        <v>42</v>
      </c>
      <c r="AJ15" s="1"/>
      <c r="AK15" s="2" t="s">
        <v>42</v>
      </c>
      <c r="AL15" s="1" t="s">
        <v>3507</v>
      </c>
    </row>
    <row r="16" spans="1:38" ht="20.100000000000001" customHeight="1" x14ac:dyDescent="0.2">
      <c r="A16" s="3">
        <f t="shared" si="0"/>
        <v>13</v>
      </c>
      <c r="B16" s="1" t="s">
        <v>161</v>
      </c>
      <c r="C16" s="1" t="s">
        <v>162</v>
      </c>
      <c r="D16" s="1" t="s">
        <v>38</v>
      </c>
      <c r="E16" s="1" t="s">
        <v>163</v>
      </c>
      <c r="F16" s="1" t="s">
        <v>55</v>
      </c>
      <c r="G16" s="1" t="s">
        <v>164</v>
      </c>
      <c r="H16" s="2">
        <v>45254</v>
      </c>
      <c r="I16" s="2">
        <v>29550</v>
      </c>
      <c r="J16" s="7">
        <f t="shared" ca="1" si="1"/>
        <v>42.953424657534249</v>
      </c>
      <c r="K16" s="1" t="s">
        <v>57</v>
      </c>
      <c r="L16" s="1" t="s">
        <v>134</v>
      </c>
      <c r="M16" s="2">
        <v>41975</v>
      </c>
      <c r="N16" s="1">
        <v>2</v>
      </c>
      <c r="O16" s="2">
        <v>44703</v>
      </c>
      <c r="P16" s="1" t="s">
        <v>165</v>
      </c>
      <c r="Q16" s="1" t="s">
        <v>166</v>
      </c>
      <c r="R16" s="1" t="s">
        <v>60</v>
      </c>
      <c r="S16" s="1" t="s">
        <v>47</v>
      </c>
      <c r="T16" s="1">
        <v>12</v>
      </c>
      <c r="U16" s="2" t="s">
        <v>42</v>
      </c>
      <c r="V16" s="2">
        <v>44896</v>
      </c>
      <c r="W16" s="2" t="s">
        <v>42</v>
      </c>
      <c r="X16" s="1" t="s">
        <v>167</v>
      </c>
      <c r="Y16" s="2">
        <v>46753</v>
      </c>
      <c r="Z16" s="1" t="s">
        <v>168</v>
      </c>
      <c r="AA16" s="1" t="s">
        <v>42</v>
      </c>
      <c r="AB16" s="1" t="s">
        <v>169</v>
      </c>
      <c r="AC16" s="1" t="s">
        <v>50</v>
      </c>
      <c r="AD16" s="1">
        <v>7014477116</v>
      </c>
      <c r="AE16" s="1" t="s">
        <v>65</v>
      </c>
      <c r="AF16" s="1" t="s">
        <v>66</v>
      </c>
      <c r="AG16" s="2" t="s">
        <v>42</v>
      </c>
      <c r="AH16" s="1"/>
      <c r="AI16" s="1" t="s">
        <v>42</v>
      </c>
      <c r="AJ16" s="1"/>
      <c r="AK16" s="2" t="s">
        <v>42</v>
      </c>
      <c r="AL16" s="1" t="s">
        <v>3507</v>
      </c>
    </row>
    <row r="17" spans="1:38" ht="20.100000000000001" customHeight="1" x14ac:dyDescent="0.2">
      <c r="A17" s="3">
        <f t="shared" si="0"/>
        <v>14</v>
      </c>
      <c r="B17" s="1" t="s">
        <v>170</v>
      </c>
      <c r="C17" s="1" t="s">
        <v>171</v>
      </c>
      <c r="D17" s="1" t="s">
        <v>121</v>
      </c>
      <c r="E17" s="1" t="s">
        <v>39</v>
      </c>
      <c r="F17" s="1" t="s">
        <v>40</v>
      </c>
      <c r="G17" s="1" t="s">
        <v>172</v>
      </c>
      <c r="H17" s="2" t="s">
        <v>42</v>
      </c>
      <c r="I17" s="2">
        <v>34878</v>
      </c>
      <c r="J17" s="7">
        <f t="shared" ca="1" si="1"/>
        <v>28.356164383561644</v>
      </c>
      <c r="K17" s="1" t="s">
        <v>80</v>
      </c>
      <c r="L17" s="1" t="s">
        <v>80</v>
      </c>
      <c r="M17" s="2">
        <v>42036</v>
      </c>
      <c r="N17" s="1">
        <v>2</v>
      </c>
      <c r="O17" s="2">
        <v>42036</v>
      </c>
      <c r="P17" s="1" t="s">
        <v>44</v>
      </c>
      <c r="Q17" s="1" t="s">
        <v>408</v>
      </c>
      <c r="R17" s="1" t="s">
        <v>124</v>
      </c>
      <c r="S17" s="1" t="s">
        <v>125</v>
      </c>
      <c r="T17" s="1" t="s">
        <v>42</v>
      </c>
      <c r="U17" s="2" t="s">
        <v>42</v>
      </c>
      <c r="V17" s="2">
        <v>44957</v>
      </c>
      <c r="W17" s="2" t="s">
        <v>42</v>
      </c>
      <c r="X17" s="1" t="s">
        <v>42</v>
      </c>
      <c r="Y17" s="2" t="s">
        <v>42</v>
      </c>
      <c r="Z17" s="1" t="s">
        <v>173</v>
      </c>
      <c r="AA17" s="1" t="s">
        <v>42</v>
      </c>
      <c r="AB17" s="1" t="s">
        <v>174</v>
      </c>
      <c r="AC17" s="1" t="s">
        <v>129</v>
      </c>
      <c r="AD17" s="1">
        <v>7014477116</v>
      </c>
      <c r="AE17" s="1" t="s">
        <v>65</v>
      </c>
      <c r="AF17" s="1"/>
      <c r="AG17" s="2" t="s">
        <v>42</v>
      </c>
      <c r="AH17" s="1"/>
      <c r="AI17" s="1" t="s">
        <v>42</v>
      </c>
      <c r="AJ17" s="1"/>
      <c r="AK17" s="2" t="s">
        <v>42</v>
      </c>
      <c r="AL17" s="1" t="s">
        <v>3507</v>
      </c>
    </row>
    <row r="18" spans="1:38" ht="20.100000000000001" customHeight="1" x14ac:dyDescent="0.2">
      <c r="A18" s="3">
        <f t="shared" si="0"/>
        <v>15</v>
      </c>
      <c r="B18" s="1" t="s">
        <v>175</v>
      </c>
      <c r="C18" s="1" t="s">
        <v>176</v>
      </c>
      <c r="D18" s="1" t="s">
        <v>121</v>
      </c>
      <c r="E18" s="1" t="s">
        <v>39</v>
      </c>
      <c r="F18" s="1" t="s">
        <v>40</v>
      </c>
      <c r="G18" s="1" t="s">
        <v>177</v>
      </c>
      <c r="H18" s="2" t="s">
        <v>42</v>
      </c>
      <c r="I18" s="2">
        <v>34715</v>
      </c>
      <c r="J18" s="7">
        <f t="shared" ca="1" si="1"/>
        <v>28.802739726027397</v>
      </c>
      <c r="K18" s="1" t="s">
        <v>80</v>
      </c>
      <c r="L18" s="1" t="s">
        <v>80</v>
      </c>
      <c r="M18" s="2">
        <v>42036</v>
      </c>
      <c r="N18" s="1">
        <v>2</v>
      </c>
      <c r="O18" s="2">
        <v>42036</v>
      </c>
      <c r="P18" s="1" t="s">
        <v>44</v>
      </c>
      <c r="Q18" s="1" t="s">
        <v>178</v>
      </c>
      <c r="R18" s="1" t="s">
        <v>179</v>
      </c>
      <c r="S18" s="1" t="s">
        <v>47</v>
      </c>
      <c r="T18" s="1" t="s">
        <v>42</v>
      </c>
      <c r="U18" s="2" t="s">
        <v>42</v>
      </c>
      <c r="V18" s="2">
        <v>44957</v>
      </c>
      <c r="W18" s="2" t="s">
        <v>42</v>
      </c>
      <c r="X18" s="1" t="s">
        <v>42</v>
      </c>
      <c r="Y18" s="2" t="s">
        <v>42</v>
      </c>
      <c r="Z18" s="1" t="s">
        <v>180</v>
      </c>
      <c r="AA18" s="1" t="s">
        <v>181</v>
      </c>
      <c r="AB18" s="1" t="s">
        <v>182</v>
      </c>
      <c r="AC18" s="1" t="s">
        <v>50</v>
      </c>
      <c r="AD18" s="1">
        <v>7014477116</v>
      </c>
      <c r="AE18" s="1" t="s">
        <v>65</v>
      </c>
      <c r="AF18" s="1"/>
      <c r="AG18" s="2" t="s">
        <v>42</v>
      </c>
      <c r="AH18" s="1"/>
      <c r="AI18" s="1" t="s">
        <v>42</v>
      </c>
      <c r="AJ18" s="1"/>
      <c r="AK18" s="2" t="s">
        <v>42</v>
      </c>
      <c r="AL18" s="1" t="s">
        <v>3507</v>
      </c>
    </row>
    <row r="19" spans="1:38" ht="20.100000000000001" customHeight="1" x14ac:dyDescent="0.2">
      <c r="A19" s="3">
        <f t="shared" si="0"/>
        <v>16</v>
      </c>
      <c r="B19" s="1" t="s">
        <v>183</v>
      </c>
      <c r="C19" s="1" t="s">
        <v>184</v>
      </c>
      <c r="D19" s="1" t="s">
        <v>38</v>
      </c>
      <c r="E19" s="1" t="s">
        <v>163</v>
      </c>
      <c r="F19" s="1" t="s">
        <v>55</v>
      </c>
      <c r="G19" s="1" t="s">
        <v>185</v>
      </c>
      <c r="H19" s="2">
        <v>45379</v>
      </c>
      <c r="I19" s="2">
        <v>36557</v>
      </c>
      <c r="J19" s="7">
        <f t="shared" ca="1" si="1"/>
        <v>23.756164383561643</v>
      </c>
      <c r="K19" s="1" t="s">
        <v>57</v>
      </c>
      <c r="L19" s="1" t="s">
        <v>186</v>
      </c>
      <c r="M19" s="2">
        <v>42105</v>
      </c>
      <c r="N19" s="1">
        <v>2</v>
      </c>
      <c r="O19" s="2">
        <v>45173</v>
      </c>
      <c r="P19" s="1" t="s">
        <v>44</v>
      </c>
      <c r="Q19" s="1" t="s">
        <v>66</v>
      </c>
      <c r="R19" s="1" t="s">
        <v>60</v>
      </c>
      <c r="S19" s="1" t="s">
        <v>47</v>
      </c>
      <c r="T19" s="1">
        <v>8</v>
      </c>
      <c r="U19" s="2" t="s">
        <v>42</v>
      </c>
      <c r="V19" s="2">
        <v>45026</v>
      </c>
      <c r="W19" s="2" t="s">
        <v>42</v>
      </c>
      <c r="X19" s="1" t="s">
        <v>187</v>
      </c>
      <c r="Y19" s="2">
        <v>47420</v>
      </c>
      <c r="Z19" s="1" t="s">
        <v>188</v>
      </c>
      <c r="AA19" s="1" t="s">
        <v>189</v>
      </c>
      <c r="AB19" s="1" t="s">
        <v>190</v>
      </c>
      <c r="AC19" s="1" t="s">
        <v>50</v>
      </c>
      <c r="AD19" s="1">
        <v>7014477116</v>
      </c>
      <c r="AE19" s="1" t="s">
        <v>65</v>
      </c>
      <c r="AF19" s="1" t="s">
        <v>66</v>
      </c>
      <c r="AG19" s="2" t="s">
        <v>42</v>
      </c>
      <c r="AH19" s="1" t="s">
        <v>42</v>
      </c>
      <c r="AI19" s="1" t="s">
        <v>42</v>
      </c>
      <c r="AJ19" s="1"/>
      <c r="AK19" s="2" t="s">
        <v>42</v>
      </c>
      <c r="AL19" s="1" t="s">
        <v>3507</v>
      </c>
    </row>
    <row r="20" spans="1:38" ht="20.100000000000001" customHeight="1" x14ac:dyDescent="0.2">
      <c r="A20" s="3">
        <f t="shared" si="0"/>
        <v>17</v>
      </c>
      <c r="B20" s="1" t="s">
        <v>191</v>
      </c>
      <c r="C20" s="1" t="s">
        <v>192</v>
      </c>
      <c r="D20" s="1" t="s">
        <v>38</v>
      </c>
      <c r="E20" s="1" t="s">
        <v>193</v>
      </c>
      <c r="F20" s="1" t="s">
        <v>55</v>
      </c>
      <c r="G20" s="1" t="s">
        <v>194</v>
      </c>
      <c r="H20" s="2">
        <v>45394</v>
      </c>
      <c r="I20" s="2">
        <v>36587</v>
      </c>
      <c r="J20" s="7">
        <f t="shared" ca="1" si="1"/>
        <v>23.673972602739727</v>
      </c>
      <c r="K20" s="1" t="s">
        <v>42</v>
      </c>
      <c r="L20" s="1" t="s">
        <v>195</v>
      </c>
      <c r="M20" s="2">
        <v>42105</v>
      </c>
      <c r="N20" s="1">
        <v>2</v>
      </c>
      <c r="O20" s="2" t="s">
        <v>42</v>
      </c>
      <c r="P20" s="1" t="s">
        <v>44</v>
      </c>
      <c r="Q20" s="1" t="s">
        <v>66</v>
      </c>
      <c r="R20" s="1" t="s">
        <v>196</v>
      </c>
      <c r="S20" s="1" t="s">
        <v>47</v>
      </c>
      <c r="T20" s="1" t="s">
        <v>42</v>
      </c>
      <c r="U20" s="2" t="s">
        <v>42</v>
      </c>
      <c r="V20" s="2">
        <v>45026</v>
      </c>
      <c r="W20" s="2" t="s">
        <v>42</v>
      </c>
      <c r="X20" s="1" t="s">
        <v>42</v>
      </c>
      <c r="Y20" s="2" t="s">
        <v>42</v>
      </c>
      <c r="Z20" s="1" t="s">
        <v>197</v>
      </c>
      <c r="AA20" s="1" t="s">
        <v>42</v>
      </c>
      <c r="AB20" s="1" t="s">
        <v>198</v>
      </c>
      <c r="AC20" s="1" t="s">
        <v>50</v>
      </c>
      <c r="AD20" s="1" t="s">
        <v>42</v>
      </c>
      <c r="AE20" s="1" t="s">
        <v>199</v>
      </c>
      <c r="AF20" s="1" t="s">
        <v>66</v>
      </c>
      <c r="AG20" s="2" t="s">
        <v>42</v>
      </c>
      <c r="AH20" s="1"/>
      <c r="AI20" s="1" t="s">
        <v>51</v>
      </c>
      <c r="AJ20" s="1"/>
      <c r="AK20" s="2" t="s">
        <v>42</v>
      </c>
      <c r="AL20" s="1" t="s">
        <v>3507</v>
      </c>
    </row>
    <row r="21" spans="1:38" ht="20.100000000000001" customHeight="1" x14ac:dyDescent="0.2">
      <c r="A21" s="3">
        <f t="shared" si="0"/>
        <v>18</v>
      </c>
      <c r="B21" s="1" t="s">
        <v>200</v>
      </c>
      <c r="C21" s="1" t="s">
        <v>201</v>
      </c>
      <c r="D21" s="1" t="s">
        <v>38</v>
      </c>
      <c r="E21" s="1" t="s">
        <v>54</v>
      </c>
      <c r="F21" s="1" t="s">
        <v>55</v>
      </c>
      <c r="G21" s="1" t="s">
        <v>202</v>
      </c>
      <c r="H21" s="2">
        <v>45285</v>
      </c>
      <c r="I21" s="2">
        <v>30531</v>
      </c>
      <c r="J21" s="7">
        <f t="shared" ca="1" si="1"/>
        <v>40.265753424657532</v>
      </c>
      <c r="K21" s="1" t="s">
        <v>57</v>
      </c>
      <c r="L21" s="1" t="s">
        <v>134</v>
      </c>
      <c r="M21" s="2">
        <v>41913</v>
      </c>
      <c r="N21" s="1">
        <v>2</v>
      </c>
      <c r="O21" s="2">
        <v>44368</v>
      </c>
      <c r="P21" s="1" t="s">
        <v>44</v>
      </c>
      <c r="Q21" s="1" t="s">
        <v>203</v>
      </c>
      <c r="R21" s="1" t="s">
        <v>60</v>
      </c>
      <c r="S21" s="1" t="s">
        <v>47</v>
      </c>
      <c r="T21" s="1">
        <v>12</v>
      </c>
      <c r="U21" s="2" t="s">
        <v>42</v>
      </c>
      <c r="V21" s="2">
        <v>45199</v>
      </c>
      <c r="W21" s="2" t="s">
        <v>42</v>
      </c>
      <c r="X21" s="1" t="s">
        <v>204</v>
      </c>
      <c r="Y21" s="2">
        <v>45726</v>
      </c>
      <c r="Z21" s="1" t="s">
        <v>205</v>
      </c>
      <c r="AA21" s="1" t="s">
        <v>206</v>
      </c>
      <c r="AB21" s="1" t="s">
        <v>207</v>
      </c>
      <c r="AC21" s="1" t="s">
        <v>50</v>
      </c>
      <c r="AD21" s="1">
        <v>7014477116</v>
      </c>
      <c r="AE21" s="1" t="s">
        <v>65</v>
      </c>
      <c r="AF21" s="1" t="s">
        <v>66</v>
      </c>
      <c r="AG21" s="2" t="s">
        <v>42</v>
      </c>
      <c r="AH21" s="1"/>
      <c r="AI21" s="1" t="s">
        <v>42</v>
      </c>
      <c r="AJ21" s="1"/>
      <c r="AK21" s="2" t="s">
        <v>42</v>
      </c>
      <c r="AL21" s="1" t="s">
        <v>3507</v>
      </c>
    </row>
    <row r="22" spans="1:38" ht="20.100000000000001" customHeight="1" x14ac:dyDescent="0.2">
      <c r="A22" s="3">
        <f t="shared" si="0"/>
        <v>19</v>
      </c>
      <c r="B22" s="1" t="s">
        <v>208</v>
      </c>
      <c r="C22" s="1" t="s">
        <v>209</v>
      </c>
      <c r="D22" s="1" t="s">
        <v>38</v>
      </c>
      <c r="E22" s="1" t="s">
        <v>69</v>
      </c>
      <c r="F22" s="1" t="s">
        <v>70</v>
      </c>
      <c r="G22" s="1" t="s">
        <v>210</v>
      </c>
      <c r="H22" s="2">
        <v>45315</v>
      </c>
      <c r="I22" s="2">
        <v>32509</v>
      </c>
      <c r="J22" s="7">
        <f t="shared" ca="1" si="1"/>
        <v>34.846575342465755</v>
      </c>
      <c r="K22" s="1" t="s">
        <v>80</v>
      </c>
      <c r="L22" s="1" t="s">
        <v>211</v>
      </c>
      <c r="M22" s="2">
        <v>42401</v>
      </c>
      <c r="N22" s="1">
        <v>2</v>
      </c>
      <c r="O22" s="2">
        <v>44924</v>
      </c>
      <c r="P22" s="1" t="s">
        <v>44</v>
      </c>
      <c r="Q22" s="1" t="s">
        <v>45</v>
      </c>
      <c r="R22" s="1" t="s">
        <v>155</v>
      </c>
      <c r="S22" s="1" t="s">
        <v>47</v>
      </c>
      <c r="T22" s="1">
        <v>8</v>
      </c>
      <c r="U22" s="2" t="s">
        <v>42</v>
      </c>
      <c r="V22" s="2">
        <v>44957</v>
      </c>
      <c r="W22" s="2" t="s">
        <v>42</v>
      </c>
      <c r="X22" s="1" t="s">
        <v>212</v>
      </c>
      <c r="Y22" s="2">
        <v>46581</v>
      </c>
      <c r="Z22" s="1" t="s">
        <v>213</v>
      </c>
      <c r="AA22" s="1" t="s">
        <v>214</v>
      </c>
      <c r="AB22" s="1" t="s">
        <v>215</v>
      </c>
      <c r="AC22" s="1" t="s">
        <v>129</v>
      </c>
      <c r="AD22" s="1">
        <v>7014477116</v>
      </c>
      <c r="AE22" s="1" t="s">
        <v>65</v>
      </c>
      <c r="AF22" s="1"/>
      <c r="AG22" s="2" t="s">
        <v>42</v>
      </c>
      <c r="AH22" s="1"/>
      <c r="AI22" s="1" t="s">
        <v>42</v>
      </c>
      <c r="AJ22" s="1"/>
      <c r="AK22" s="2" t="s">
        <v>42</v>
      </c>
      <c r="AL22" s="1" t="s">
        <v>3507</v>
      </c>
    </row>
    <row r="23" spans="1:38" ht="20.100000000000001" customHeight="1" x14ac:dyDescent="0.2">
      <c r="A23" s="3">
        <f t="shared" si="0"/>
        <v>20</v>
      </c>
      <c r="B23" s="1" t="s">
        <v>216</v>
      </c>
      <c r="C23" s="1" t="s">
        <v>217</v>
      </c>
      <c r="D23" s="1" t="s">
        <v>38</v>
      </c>
      <c r="E23" s="1" t="s">
        <v>218</v>
      </c>
      <c r="F23" s="1" t="s">
        <v>55</v>
      </c>
      <c r="G23" s="1" t="s">
        <v>219</v>
      </c>
      <c r="H23" s="2">
        <v>45240</v>
      </c>
      <c r="I23" s="2">
        <v>28942</v>
      </c>
      <c r="J23" s="7">
        <f t="shared" ca="1" si="1"/>
        <v>44.61917808219178</v>
      </c>
      <c r="K23" s="1" t="s">
        <v>220</v>
      </c>
      <c r="L23" s="1" t="s">
        <v>134</v>
      </c>
      <c r="M23" s="2">
        <v>42472</v>
      </c>
      <c r="N23" s="1">
        <v>2</v>
      </c>
      <c r="O23" s="2">
        <v>44703</v>
      </c>
      <c r="P23" s="1" t="s">
        <v>221</v>
      </c>
      <c r="Q23" s="1" t="s">
        <v>222</v>
      </c>
      <c r="R23" s="1" t="s">
        <v>223</v>
      </c>
      <c r="S23" s="1" t="s">
        <v>47</v>
      </c>
      <c r="T23" s="1">
        <v>12</v>
      </c>
      <c r="U23" s="2" t="s">
        <v>42</v>
      </c>
      <c r="V23" s="2">
        <v>45027</v>
      </c>
      <c r="W23" s="2">
        <v>45144</v>
      </c>
      <c r="X23" s="1" t="s">
        <v>224</v>
      </c>
      <c r="Y23" s="2">
        <v>48031</v>
      </c>
      <c r="Z23" s="1" t="s">
        <v>225</v>
      </c>
      <c r="AA23" s="1" t="s">
        <v>42</v>
      </c>
      <c r="AB23" s="1" t="s">
        <v>226</v>
      </c>
      <c r="AC23" s="1" t="s">
        <v>129</v>
      </c>
      <c r="AD23" s="1">
        <v>7014477116</v>
      </c>
      <c r="AE23" s="1" t="s">
        <v>65</v>
      </c>
      <c r="AF23" s="1" t="s">
        <v>227</v>
      </c>
      <c r="AG23" s="2" t="s">
        <v>42</v>
      </c>
      <c r="AH23" s="1"/>
      <c r="AI23" s="1" t="s">
        <v>42</v>
      </c>
      <c r="AJ23" s="1"/>
      <c r="AK23" s="2" t="s">
        <v>42</v>
      </c>
      <c r="AL23" s="1" t="s">
        <v>3507</v>
      </c>
    </row>
    <row r="24" spans="1:38" ht="20.100000000000001" customHeight="1" x14ac:dyDescent="0.2">
      <c r="A24" s="3">
        <f t="shared" si="0"/>
        <v>21</v>
      </c>
      <c r="B24" s="1" t="s">
        <v>2800</v>
      </c>
      <c r="C24" s="1" t="s">
        <v>2801</v>
      </c>
      <c r="D24" s="1" t="s">
        <v>38</v>
      </c>
      <c r="E24" s="1" t="s">
        <v>163</v>
      </c>
      <c r="F24" s="1" t="s">
        <v>55</v>
      </c>
      <c r="G24" s="1" t="s">
        <v>2802</v>
      </c>
      <c r="H24" s="2">
        <v>45483</v>
      </c>
      <c r="I24" s="2">
        <v>22860</v>
      </c>
      <c r="J24" s="7">
        <f t="shared" ca="1" si="1"/>
        <v>61.282191780821918</v>
      </c>
      <c r="K24" s="1" t="s">
        <v>195</v>
      </c>
      <c r="L24" s="1" t="s">
        <v>134</v>
      </c>
      <c r="M24" s="2">
        <v>42644</v>
      </c>
      <c r="N24" s="1">
        <v>2</v>
      </c>
      <c r="O24" s="2">
        <v>44765</v>
      </c>
      <c r="P24" s="1" t="s">
        <v>44</v>
      </c>
      <c r="Q24" s="1" t="s">
        <v>222</v>
      </c>
      <c r="R24" s="1" t="s">
        <v>223</v>
      </c>
      <c r="S24" s="1" t="s">
        <v>47</v>
      </c>
      <c r="T24" s="1">
        <v>8</v>
      </c>
      <c r="U24" s="2" t="s">
        <v>42</v>
      </c>
      <c r="V24" s="2">
        <v>45199</v>
      </c>
      <c r="W24" s="2" t="s">
        <v>42</v>
      </c>
      <c r="X24" s="1" t="s">
        <v>2803</v>
      </c>
      <c r="Y24" s="2">
        <v>46956</v>
      </c>
      <c r="Z24" s="1" t="s">
        <v>2804</v>
      </c>
      <c r="AA24" s="1" t="s">
        <v>42</v>
      </c>
      <c r="AB24" s="1" t="s">
        <v>226</v>
      </c>
      <c r="AC24" s="1" t="s">
        <v>129</v>
      </c>
      <c r="AD24" s="1">
        <v>1061419220</v>
      </c>
      <c r="AE24" s="1" t="s">
        <v>247</v>
      </c>
      <c r="AF24" s="1"/>
      <c r="AG24" s="2">
        <v>45217</v>
      </c>
      <c r="AH24" s="1" t="s">
        <v>2805</v>
      </c>
      <c r="AI24" s="1" t="s">
        <v>42</v>
      </c>
      <c r="AJ24" s="1"/>
      <c r="AK24" s="2" t="s">
        <v>42</v>
      </c>
      <c r="AL24" s="1" t="s">
        <v>2806</v>
      </c>
    </row>
    <row r="25" spans="1:38" ht="20.100000000000001" customHeight="1" x14ac:dyDescent="0.2">
      <c r="A25" s="3">
        <f t="shared" si="0"/>
        <v>22</v>
      </c>
      <c r="B25" s="1" t="s">
        <v>228</v>
      </c>
      <c r="C25" s="1" t="s">
        <v>229</v>
      </c>
      <c r="D25" s="1" t="s">
        <v>38</v>
      </c>
      <c r="E25" s="1" t="s">
        <v>69</v>
      </c>
      <c r="F25" s="1" t="s">
        <v>70</v>
      </c>
      <c r="G25" s="1" t="s">
        <v>230</v>
      </c>
      <c r="H25" s="2">
        <v>45320</v>
      </c>
      <c r="I25" s="2">
        <v>33431</v>
      </c>
      <c r="J25" s="7">
        <f t="shared" ca="1" si="1"/>
        <v>32.320547945205476</v>
      </c>
      <c r="K25" s="1" t="s">
        <v>80</v>
      </c>
      <c r="L25" s="1" t="s">
        <v>231</v>
      </c>
      <c r="M25" s="2">
        <v>42675</v>
      </c>
      <c r="N25" s="1">
        <v>2</v>
      </c>
      <c r="O25" s="2">
        <v>44369</v>
      </c>
      <c r="P25" s="1" t="s">
        <v>44</v>
      </c>
      <c r="Q25" s="1" t="s">
        <v>178</v>
      </c>
      <c r="R25" s="1" t="s">
        <v>232</v>
      </c>
      <c r="S25" s="1" t="s">
        <v>47</v>
      </c>
      <c r="T25" s="1">
        <v>8</v>
      </c>
      <c r="U25" s="2" t="s">
        <v>42</v>
      </c>
      <c r="V25" s="2">
        <v>44865</v>
      </c>
      <c r="W25" s="2" t="s">
        <v>42</v>
      </c>
      <c r="X25" s="1" t="s">
        <v>233</v>
      </c>
      <c r="Y25" s="2">
        <v>45691</v>
      </c>
      <c r="Z25" s="1" t="s">
        <v>234</v>
      </c>
      <c r="AA25" s="1" t="s">
        <v>235</v>
      </c>
      <c r="AB25" s="1" t="s">
        <v>236</v>
      </c>
      <c r="AC25" s="1" t="s">
        <v>129</v>
      </c>
      <c r="AD25" s="1">
        <v>7014477116</v>
      </c>
      <c r="AE25" s="1" t="s">
        <v>65</v>
      </c>
      <c r="AF25" s="1"/>
      <c r="AG25" s="2" t="s">
        <v>42</v>
      </c>
      <c r="AH25" s="1"/>
      <c r="AI25" s="1" t="s">
        <v>42</v>
      </c>
      <c r="AJ25" s="1"/>
      <c r="AK25" s="2" t="s">
        <v>42</v>
      </c>
      <c r="AL25" s="1" t="s">
        <v>3507</v>
      </c>
    </row>
    <row r="26" spans="1:38" ht="20.100000000000001" customHeight="1" x14ac:dyDescent="0.2">
      <c r="A26" s="3">
        <f t="shared" si="0"/>
        <v>23</v>
      </c>
      <c r="B26" s="1" t="s">
        <v>237</v>
      </c>
      <c r="C26" s="1" t="s">
        <v>238</v>
      </c>
      <c r="D26" s="1" t="s">
        <v>38</v>
      </c>
      <c r="E26" s="1" t="s">
        <v>69</v>
      </c>
      <c r="F26" s="1" t="s">
        <v>70</v>
      </c>
      <c r="G26" s="1" t="s">
        <v>239</v>
      </c>
      <c r="H26" s="2">
        <v>45423</v>
      </c>
      <c r="I26" s="2">
        <v>29587</v>
      </c>
      <c r="J26" s="7">
        <f t="shared" ca="1" si="1"/>
        <v>42.852054794520548</v>
      </c>
      <c r="K26" s="1" t="s">
        <v>240</v>
      </c>
      <c r="L26" s="1" t="s">
        <v>241</v>
      </c>
      <c r="M26" s="2">
        <v>42693</v>
      </c>
      <c r="N26" s="1">
        <v>2</v>
      </c>
      <c r="O26" s="2">
        <v>44693</v>
      </c>
      <c r="P26" s="1" t="s">
        <v>44</v>
      </c>
      <c r="Q26" s="1" t="s">
        <v>66</v>
      </c>
      <c r="R26" s="1" t="s">
        <v>60</v>
      </c>
      <c r="S26" s="1" t="s">
        <v>47</v>
      </c>
      <c r="T26" s="1">
        <v>8</v>
      </c>
      <c r="U26" s="2" t="s">
        <v>42</v>
      </c>
      <c r="V26" s="2">
        <v>44883</v>
      </c>
      <c r="W26" s="2" t="s">
        <v>42</v>
      </c>
      <c r="X26" s="1" t="s">
        <v>242</v>
      </c>
      <c r="Y26" s="2">
        <v>45255</v>
      </c>
      <c r="Z26" s="1" t="s">
        <v>243</v>
      </c>
      <c r="AA26" s="1" t="s">
        <v>244</v>
      </c>
      <c r="AB26" s="1" t="s">
        <v>245</v>
      </c>
      <c r="AC26" s="1" t="s">
        <v>50</v>
      </c>
      <c r="AD26" s="1">
        <v>7014477116</v>
      </c>
      <c r="AE26" s="1" t="s">
        <v>65</v>
      </c>
      <c r="AF26" s="1" t="s">
        <v>66</v>
      </c>
      <c r="AG26" s="2" t="s">
        <v>42</v>
      </c>
      <c r="AH26" s="1"/>
      <c r="AI26" s="1" t="s">
        <v>42</v>
      </c>
      <c r="AJ26" s="1"/>
      <c r="AK26" s="2" t="s">
        <v>42</v>
      </c>
      <c r="AL26" s="1" t="s">
        <v>3507</v>
      </c>
    </row>
    <row r="27" spans="1:38" ht="20.100000000000001" customHeight="1" x14ac:dyDescent="0.2">
      <c r="A27" s="3">
        <f t="shared" si="0"/>
        <v>24</v>
      </c>
      <c r="B27" s="1" t="s">
        <v>246</v>
      </c>
      <c r="C27" s="1" t="s">
        <v>247</v>
      </c>
      <c r="D27" s="1" t="s">
        <v>38</v>
      </c>
      <c r="E27" s="1" t="s">
        <v>39</v>
      </c>
      <c r="F27" s="1" t="s">
        <v>40</v>
      </c>
      <c r="G27" s="1" t="s">
        <v>248</v>
      </c>
      <c r="H27" s="2" t="s">
        <v>42</v>
      </c>
      <c r="I27" s="2">
        <v>32625</v>
      </c>
      <c r="J27" s="7">
        <f t="shared" ca="1" si="1"/>
        <v>34.528767123287672</v>
      </c>
      <c r="K27" s="1" t="s">
        <v>42</v>
      </c>
      <c r="L27" s="1" t="s">
        <v>249</v>
      </c>
      <c r="M27" s="2">
        <v>42705</v>
      </c>
      <c r="N27" s="1">
        <v>2</v>
      </c>
      <c r="O27" s="2">
        <v>42705</v>
      </c>
      <c r="P27" s="1" t="s">
        <v>44</v>
      </c>
      <c r="Q27" s="1" t="s">
        <v>45</v>
      </c>
      <c r="R27" s="1" t="s">
        <v>46</v>
      </c>
      <c r="S27" s="1" t="s">
        <v>47</v>
      </c>
      <c r="T27" s="1">
        <v>8</v>
      </c>
      <c r="U27" s="2" t="s">
        <v>42</v>
      </c>
      <c r="V27" s="2">
        <v>44957</v>
      </c>
      <c r="W27" s="2" t="s">
        <v>42</v>
      </c>
      <c r="X27" s="1" t="s">
        <v>42</v>
      </c>
      <c r="Y27" s="2" t="s">
        <v>42</v>
      </c>
      <c r="Z27" s="1" t="s">
        <v>250</v>
      </c>
      <c r="AA27" s="1" t="s">
        <v>251</v>
      </c>
      <c r="AB27" s="1" t="s">
        <v>252</v>
      </c>
      <c r="AC27" s="1" t="s">
        <v>129</v>
      </c>
      <c r="AD27" s="1">
        <v>7014477116</v>
      </c>
      <c r="AE27" s="1" t="s">
        <v>65</v>
      </c>
      <c r="AF27" s="1"/>
      <c r="AG27" s="2" t="s">
        <v>42</v>
      </c>
      <c r="AH27" s="1"/>
      <c r="AI27" s="1" t="s">
        <v>42</v>
      </c>
      <c r="AJ27" s="1"/>
      <c r="AK27" s="2" t="s">
        <v>42</v>
      </c>
      <c r="AL27" s="1" t="s">
        <v>3507</v>
      </c>
    </row>
    <row r="28" spans="1:38" ht="20.100000000000001" customHeight="1" x14ac:dyDescent="0.2">
      <c r="A28" s="3">
        <f t="shared" si="0"/>
        <v>25</v>
      </c>
      <c r="B28" s="1" t="s">
        <v>253</v>
      </c>
      <c r="C28" s="1" t="s">
        <v>254</v>
      </c>
      <c r="D28" s="1" t="s">
        <v>38</v>
      </c>
      <c r="E28" s="1" t="s">
        <v>54</v>
      </c>
      <c r="F28" s="1" t="s">
        <v>55</v>
      </c>
      <c r="G28" s="1" t="s">
        <v>255</v>
      </c>
      <c r="H28" s="2">
        <v>45373</v>
      </c>
      <c r="I28" s="2">
        <v>27760</v>
      </c>
      <c r="J28" s="7">
        <f t="shared" ca="1" si="1"/>
        <v>47.857534246575341</v>
      </c>
      <c r="K28" s="1" t="s">
        <v>133</v>
      </c>
      <c r="L28" s="1" t="s">
        <v>134</v>
      </c>
      <c r="M28" s="2">
        <v>42725</v>
      </c>
      <c r="N28" s="1">
        <v>2</v>
      </c>
      <c r="O28" s="2">
        <v>44416</v>
      </c>
      <c r="P28" s="1" t="s">
        <v>44</v>
      </c>
      <c r="Q28" s="1" t="s">
        <v>66</v>
      </c>
      <c r="R28" s="1" t="s">
        <v>60</v>
      </c>
      <c r="S28" s="1" t="s">
        <v>47</v>
      </c>
      <c r="T28" s="1">
        <v>8</v>
      </c>
      <c r="U28" s="2" t="s">
        <v>42</v>
      </c>
      <c r="V28" s="2">
        <v>44926</v>
      </c>
      <c r="W28" s="2" t="s">
        <v>42</v>
      </c>
      <c r="X28" s="1" t="s">
        <v>256</v>
      </c>
      <c r="Y28" s="2">
        <v>46543</v>
      </c>
      <c r="Z28" s="1" t="s">
        <v>257</v>
      </c>
      <c r="AA28" s="1" t="s">
        <v>42</v>
      </c>
      <c r="AB28" s="1" t="s">
        <v>258</v>
      </c>
      <c r="AC28" s="1" t="s">
        <v>50</v>
      </c>
      <c r="AD28" s="1">
        <v>7014477116</v>
      </c>
      <c r="AE28" s="1" t="s">
        <v>65</v>
      </c>
      <c r="AF28" s="1" t="s">
        <v>66</v>
      </c>
      <c r="AG28" s="2" t="s">
        <v>42</v>
      </c>
      <c r="AH28" s="1"/>
      <c r="AI28" s="1" t="s">
        <v>42</v>
      </c>
      <c r="AJ28" s="1"/>
      <c r="AK28" s="2" t="s">
        <v>42</v>
      </c>
      <c r="AL28" s="1" t="s">
        <v>3507</v>
      </c>
    </row>
    <row r="29" spans="1:38" ht="20.100000000000001" customHeight="1" x14ac:dyDescent="0.2">
      <c r="A29" s="3">
        <f t="shared" si="0"/>
        <v>26</v>
      </c>
      <c r="B29" s="1" t="s">
        <v>259</v>
      </c>
      <c r="C29" s="1" t="s">
        <v>260</v>
      </c>
      <c r="D29" s="1" t="s">
        <v>38</v>
      </c>
      <c r="E29" s="1" t="s">
        <v>54</v>
      </c>
      <c r="F29" s="1" t="s">
        <v>55</v>
      </c>
      <c r="G29" s="1" t="s">
        <v>261</v>
      </c>
      <c r="H29" s="2">
        <v>45375</v>
      </c>
      <c r="I29" s="2">
        <v>34025</v>
      </c>
      <c r="J29" s="7">
        <f t="shared" ca="1" si="1"/>
        <v>30.693150684931506</v>
      </c>
      <c r="K29" s="1" t="s">
        <v>57</v>
      </c>
      <c r="L29" s="1" t="s">
        <v>58</v>
      </c>
      <c r="M29" s="2">
        <v>42736</v>
      </c>
      <c r="N29" s="1">
        <v>2</v>
      </c>
      <c r="O29" s="2">
        <v>42832</v>
      </c>
      <c r="P29" s="1" t="s">
        <v>44</v>
      </c>
      <c r="Q29" s="1" t="s">
        <v>203</v>
      </c>
      <c r="R29" s="1" t="s">
        <v>60</v>
      </c>
      <c r="S29" s="1" t="s">
        <v>47</v>
      </c>
      <c r="T29" s="1">
        <v>12</v>
      </c>
      <c r="U29" s="2" t="s">
        <v>42</v>
      </c>
      <c r="V29" s="2">
        <v>45077</v>
      </c>
      <c r="W29" s="2">
        <v>45043</v>
      </c>
      <c r="X29" s="1" t="s">
        <v>262</v>
      </c>
      <c r="Y29" s="2">
        <v>46147</v>
      </c>
      <c r="Z29" s="1" t="s">
        <v>263</v>
      </c>
      <c r="AA29" s="1" t="s">
        <v>264</v>
      </c>
      <c r="AB29" s="1" t="s">
        <v>265</v>
      </c>
      <c r="AC29" s="1" t="s">
        <v>266</v>
      </c>
      <c r="AD29" s="1">
        <v>7014477116</v>
      </c>
      <c r="AE29" s="1" t="s">
        <v>65</v>
      </c>
      <c r="AF29" s="1" t="s">
        <v>66</v>
      </c>
      <c r="AG29" s="2" t="s">
        <v>42</v>
      </c>
      <c r="AH29" s="1"/>
      <c r="AI29" s="1" t="s">
        <v>42</v>
      </c>
      <c r="AJ29" s="1"/>
      <c r="AK29" s="2" t="s">
        <v>42</v>
      </c>
      <c r="AL29" s="1" t="s">
        <v>3507</v>
      </c>
    </row>
    <row r="30" spans="1:38" ht="20.100000000000001" customHeight="1" x14ac:dyDescent="0.2">
      <c r="A30" s="3">
        <f t="shared" si="0"/>
        <v>27</v>
      </c>
      <c r="B30" s="1" t="s">
        <v>267</v>
      </c>
      <c r="C30" s="1" t="s">
        <v>268</v>
      </c>
      <c r="D30" s="1" t="s">
        <v>38</v>
      </c>
      <c r="E30" s="1" t="s">
        <v>54</v>
      </c>
      <c r="F30" s="1" t="s">
        <v>55</v>
      </c>
      <c r="G30" s="1" t="s">
        <v>269</v>
      </c>
      <c r="H30" s="2">
        <v>45380</v>
      </c>
      <c r="I30" s="2">
        <v>33270</v>
      </c>
      <c r="J30" s="7">
        <f t="shared" ca="1" si="1"/>
        <v>32.761643835616439</v>
      </c>
      <c r="K30" s="1" t="s">
        <v>57</v>
      </c>
      <c r="L30" s="1" t="s">
        <v>134</v>
      </c>
      <c r="M30" s="2">
        <v>42736</v>
      </c>
      <c r="N30" s="1">
        <v>2</v>
      </c>
      <c r="O30" s="2">
        <v>42744</v>
      </c>
      <c r="P30" s="1" t="s">
        <v>44</v>
      </c>
      <c r="Q30" s="1" t="s">
        <v>270</v>
      </c>
      <c r="R30" s="1" t="s">
        <v>60</v>
      </c>
      <c r="S30" s="1" t="s">
        <v>47</v>
      </c>
      <c r="T30" s="1">
        <v>12</v>
      </c>
      <c r="U30" s="2" t="s">
        <v>42</v>
      </c>
      <c r="V30" s="2">
        <v>45077</v>
      </c>
      <c r="W30" s="2" t="s">
        <v>42</v>
      </c>
      <c r="X30" s="1" t="s">
        <v>271</v>
      </c>
      <c r="Y30" s="2">
        <v>46269</v>
      </c>
      <c r="Z30" s="1" t="s">
        <v>272</v>
      </c>
      <c r="AA30" s="1" t="s">
        <v>273</v>
      </c>
      <c r="AB30" s="1" t="s">
        <v>274</v>
      </c>
      <c r="AC30" s="1" t="s">
        <v>50</v>
      </c>
      <c r="AD30" s="1">
        <v>7014477116</v>
      </c>
      <c r="AE30" s="1" t="s">
        <v>65</v>
      </c>
      <c r="AF30" s="1" t="s">
        <v>66</v>
      </c>
      <c r="AG30" s="2" t="s">
        <v>42</v>
      </c>
      <c r="AH30" s="1"/>
      <c r="AI30" s="1" t="s">
        <v>42</v>
      </c>
      <c r="AJ30" s="1"/>
      <c r="AK30" s="2" t="s">
        <v>42</v>
      </c>
      <c r="AL30" s="1" t="s">
        <v>3507</v>
      </c>
    </row>
    <row r="31" spans="1:38" ht="20.100000000000001" customHeight="1" x14ac:dyDescent="0.2">
      <c r="A31" s="3">
        <f t="shared" si="0"/>
        <v>28</v>
      </c>
      <c r="B31" s="1" t="s">
        <v>275</v>
      </c>
      <c r="C31" s="1" t="s">
        <v>276</v>
      </c>
      <c r="D31" s="1" t="s">
        <v>38</v>
      </c>
      <c r="E31" s="1" t="s">
        <v>54</v>
      </c>
      <c r="F31" s="1" t="s">
        <v>55</v>
      </c>
      <c r="G31" s="1" t="s">
        <v>277</v>
      </c>
      <c r="H31" s="2">
        <v>45392</v>
      </c>
      <c r="I31" s="2">
        <v>34429</v>
      </c>
      <c r="J31" s="7">
        <f t="shared" ca="1" si="1"/>
        <v>29.586301369863012</v>
      </c>
      <c r="K31" s="1" t="s">
        <v>133</v>
      </c>
      <c r="L31" s="1" t="s">
        <v>134</v>
      </c>
      <c r="M31" s="2">
        <v>42750</v>
      </c>
      <c r="N31" s="1">
        <v>2</v>
      </c>
      <c r="O31" s="2">
        <v>42832</v>
      </c>
      <c r="P31" s="1" t="s">
        <v>44</v>
      </c>
      <c r="Q31" s="1" t="s">
        <v>203</v>
      </c>
      <c r="R31" s="1" t="s">
        <v>60</v>
      </c>
      <c r="S31" s="1" t="s">
        <v>47</v>
      </c>
      <c r="T31" s="1">
        <v>12</v>
      </c>
      <c r="U31" s="2" t="s">
        <v>42</v>
      </c>
      <c r="V31" s="2">
        <v>45043</v>
      </c>
      <c r="W31" s="2">
        <v>45014</v>
      </c>
      <c r="X31" s="1" t="s">
        <v>278</v>
      </c>
      <c r="Y31" s="2">
        <v>47043</v>
      </c>
      <c r="Z31" s="1" t="s">
        <v>279</v>
      </c>
      <c r="AA31" s="1" t="s">
        <v>280</v>
      </c>
      <c r="AB31" s="1" t="s">
        <v>281</v>
      </c>
      <c r="AC31" s="1" t="s">
        <v>50</v>
      </c>
      <c r="AD31" s="1">
        <v>7014477116</v>
      </c>
      <c r="AE31" s="1" t="s">
        <v>65</v>
      </c>
      <c r="AF31" s="1" t="s">
        <v>66</v>
      </c>
      <c r="AG31" s="2" t="s">
        <v>42</v>
      </c>
      <c r="AH31" s="1"/>
      <c r="AI31" s="1" t="s">
        <v>42</v>
      </c>
      <c r="AJ31" s="1"/>
      <c r="AK31" s="2" t="s">
        <v>42</v>
      </c>
      <c r="AL31" s="1" t="s">
        <v>3507</v>
      </c>
    </row>
    <row r="32" spans="1:38" ht="20.100000000000001" customHeight="1" x14ac:dyDescent="0.2">
      <c r="A32" s="3">
        <f t="shared" si="0"/>
        <v>29</v>
      </c>
      <c r="B32" s="1" t="s">
        <v>282</v>
      </c>
      <c r="C32" s="1" t="s">
        <v>283</v>
      </c>
      <c r="D32" s="1" t="s">
        <v>38</v>
      </c>
      <c r="E32" s="1" t="s">
        <v>163</v>
      </c>
      <c r="F32" s="1" t="s">
        <v>55</v>
      </c>
      <c r="G32" s="1" t="s">
        <v>284</v>
      </c>
      <c r="H32" s="2">
        <v>45424</v>
      </c>
      <c r="I32" s="2">
        <v>30965</v>
      </c>
      <c r="J32" s="7">
        <f t="shared" ca="1" si="1"/>
        <v>39.076712328767123</v>
      </c>
      <c r="K32" s="1" t="s">
        <v>133</v>
      </c>
      <c r="L32" s="1" t="s">
        <v>134</v>
      </c>
      <c r="M32" s="2">
        <v>42822</v>
      </c>
      <c r="N32" s="1">
        <v>2</v>
      </c>
      <c r="O32" s="2">
        <v>44706</v>
      </c>
      <c r="P32" s="1" t="s">
        <v>44</v>
      </c>
      <c r="Q32" s="1" t="s">
        <v>203</v>
      </c>
      <c r="R32" s="1" t="s">
        <v>60</v>
      </c>
      <c r="S32" s="1" t="s">
        <v>47</v>
      </c>
      <c r="T32" s="1">
        <v>12</v>
      </c>
      <c r="U32" s="2" t="s">
        <v>42</v>
      </c>
      <c r="V32" s="2">
        <v>45012</v>
      </c>
      <c r="W32" s="2">
        <v>45210</v>
      </c>
      <c r="X32" s="1" t="s">
        <v>285</v>
      </c>
      <c r="Y32" s="2">
        <v>46348</v>
      </c>
      <c r="Z32" s="1" t="s">
        <v>286</v>
      </c>
      <c r="AA32" s="1" t="s">
        <v>287</v>
      </c>
      <c r="AB32" s="1" t="s">
        <v>288</v>
      </c>
      <c r="AC32" s="1" t="s">
        <v>50</v>
      </c>
      <c r="AD32" s="1">
        <v>7014477116</v>
      </c>
      <c r="AE32" s="1" t="s">
        <v>65</v>
      </c>
      <c r="AF32" s="1" t="s">
        <v>66</v>
      </c>
      <c r="AG32" s="2" t="s">
        <v>42</v>
      </c>
      <c r="AH32" s="1"/>
      <c r="AI32" s="1" t="s">
        <v>42</v>
      </c>
      <c r="AJ32" s="1"/>
      <c r="AK32" s="2" t="s">
        <v>42</v>
      </c>
      <c r="AL32" s="1" t="s">
        <v>3507</v>
      </c>
    </row>
    <row r="33" spans="1:38" ht="20.100000000000001" customHeight="1" x14ac:dyDescent="0.2">
      <c r="A33" s="3">
        <f t="shared" si="0"/>
        <v>30</v>
      </c>
      <c r="B33" s="1" t="s">
        <v>289</v>
      </c>
      <c r="C33" s="1" t="s">
        <v>290</v>
      </c>
      <c r="D33" s="1" t="s">
        <v>38</v>
      </c>
      <c r="E33" s="1" t="s">
        <v>54</v>
      </c>
      <c r="F33" s="1" t="s">
        <v>55</v>
      </c>
      <c r="G33" s="1" t="s">
        <v>291</v>
      </c>
      <c r="H33" s="2">
        <v>45276</v>
      </c>
      <c r="I33" s="2">
        <v>32820</v>
      </c>
      <c r="J33" s="7">
        <f t="shared" ca="1" si="1"/>
        <v>33.994520547945207</v>
      </c>
      <c r="K33" s="1" t="s">
        <v>57</v>
      </c>
      <c r="L33" s="1" t="s">
        <v>134</v>
      </c>
      <c r="M33" s="2">
        <v>42856</v>
      </c>
      <c r="N33" s="1">
        <v>2</v>
      </c>
      <c r="O33" s="2">
        <v>44525</v>
      </c>
      <c r="P33" s="1" t="s">
        <v>221</v>
      </c>
      <c r="Q33" s="1" t="s">
        <v>292</v>
      </c>
      <c r="R33" s="1" t="s">
        <v>60</v>
      </c>
      <c r="S33" s="1" t="s">
        <v>47</v>
      </c>
      <c r="T33" s="1">
        <v>12</v>
      </c>
      <c r="U33" s="2" t="s">
        <v>42</v>
      </c>
      <c r="V33" s="2">
        <v>45046</v>
      </c>
      <c r="W33" s="2">
        <v>44886</v>
      </c>
      <c r="X33" s="1" t="s">
        <v>293</v>
      </c>
      <c r="Y33" s="2">
        <v>45958</v>
      </c>
      <c r="Z33" s="1" t="s">
        <v>294</v>
      </c>
      <c r="AA33" s="1" t="s">
        <v>295</v>
      </c>
      <c r="AB33" s="1" t="s">
        <v>296</v>
      </c>
      <c r="AC33" s="1" t="s">
        <v>50</v>
      </c>
      <c r="AD33" s="1">
        <v>7014477116</v>
      </c>
      <c r="AE33" s="1" t="s">
        <v>65</v>
      </c>
      <c r="AF33" s="1" t="s">
        <v>66</v>
      </c>
      <c r="AG33" s="2" t="s">
        <v>42</v>
      </c>
      <c r="AH33" s="1"/>
      <c r="AI33" s="1" t="s">
        <v>42</v>
      </c>
      <c r="AJ33" s="1"/>
      <c r="AK33" s="2" t="s">
        <v>42</v>
      </c>
      <c r="AL33" s="1" t="s">
        <v>3507</v>
      </c>
    </row>
    <row r="34" spans="1:38" ht="20.100000000000001" customHeight="1" x14ac:dyDescent="0.2">
      <c r="A34" s="3">
        <f t="shared" si="0"/>
        <v>31</v>
      </c>
      <c r="B34" s="1" t="s">
        <v>297</v>
      </c>
      <c r="C34" s="1" t="s">
        <v>298</v>
      </c>
      <c r="D34" s="1" t="s">
        <v>38</v>
      </c>
      <c r="E34" s="1" t="s">
        <v>54</v>
      </c>
      <c r="F34" s="1" t="s">
        <v>55</v>
      </c>
      <c r="G34" s="1" t="s">
        <v>299</v>
      </c>
      <c r="H34" s="2">
        <v>45357</v>
      </c>
      <c r="I34" s="2">
        <v>33290</v>
      </c>
      <c r="J34" s="7">
        <f t="shared" ca="1" si="1"/>
        <v>32.706849315068496</v>
      </c>
      <c r="K34" s="1" t="s">
        <v>57</v>
      </c>
      <c r="L34" s="1" t="s">
        <v>134</v>
      </c>
      <c r="M34" s="2">
        <v>42872</v>
      </c>
      <c r="N34" s="1">
        <v>2</v>
      </c>
      <c r="O34" s="2">
        <v>42941</v>
      </c>
      <c r="P34" s="1" t="s">
        <v>44</v>
      </c>
      <c r="Q34" s="1" t="s">
        <v>66</v>
      </c>
      <c r="R34" s="1" t="s">
        <v>60</v>
      </c>
      <c r="S34" s="1" t="s">
        <v>47</v>
      </c>
      <c r="T34" s="1">
        <v>8</v>
      </c>
      <c r="U34" s="2" t="s">
        <v>42</v>
      </c>
      <c r="V34" s="2">
        <v>45428</v>
      </c>
      <c r="W34" s="2" t="s">
        <v>42</v>
      </c>
      <c r="X34" s="1" t="s">
        <v>300</v>
      </c>
      <c r="Y34" s="2">
        <v>46118</v>
      </c>
      <c r="Z34" s="1" t="s">
        <v>301</v>
      </c>
      <c r="AA34" s="1" t="s">
        <v>42</v>
      </c>
      <c r="AB34" s="1" t="s">
        <v>302</v>
      </c>
      <c r="AC34" s="1" t="s">
        <v>50</v>
      </c>
      <c r="AD34" s="1">
        <v>7014477116</v>
      </c>
      <c r="AE34" s="1" t="s">
        <v>65</v>
      </c>
      <c r="AF34" s="1" t="s">
        <v>66</v>
      </c>
      <c r="AG34" s="2" t="s">
        <v>42</v>
      </c>
      <c r="AH34" s="1"/>
      <c r="AI34" s="1" t="s">
        <v>42</v>
      </c>
      <c r="AJ34" s="1"/>
      <c r="AK34" s="2" t="s">
        <v>42</v>
      </c>
      <c r="AL34" s="1" t="s">
        <v>3507</v>
      </c>
    </row>
    <row r="35" spans="1:38" ht="20.100000000000001" customHeight="1" x14ac:dyDescent="0.2">
      <c r="A35" s="3">
        <f t="shared" si="0"/>
        <v>32</v>
      </c>
      <c r="B35" s="1" t="s">
        <v>303</v>
      </c>
      <c r="C35" s="1" t="s">
        <v>304</v>
      </c>
      <c r="D35" s="1" t="s">
        <v>38</v>
      </c>
      <c r="E35" s="1" t="s">
        <v>54</v>
      </c>
      <c r="F35" s="1" t="s">
        <v>55</v>
      </c>
      <c r="G35" s="1" t="s">
        <v>305</v>
      </c>
      <c r="H35" s="2">
        <v>45272</v>
      </c>
      <c r="I35" s="2">
        <v>32599</v>
      </c>
      <c r="J35" s="7">
        <f t="shared" ca="1" si="1"/>
        <v>34.6</v>
      </c>
      <c r="K35" s="1" t="s">
        <v>57</v>
      </c>
      <c r="L35" s="1" t="s">
        <v>134</v>
      </c>
      <c r="M35" s="2">
        <v>42933</v>
      </c>
      <c r="N35" s="1">
        <v>2</v>
      </c>
      <c r="O35" s="2">
        <v>44638</v>
      </c>
      <c r="P35" s="1" t="s">
        <v>44</v>
      </c>
      <c r="Q35" s="1" t="s">
        <v>306</v>
      </c>
      <c r="R35" s="1" t="s">
        <v>60</v>
      </c>
      <c r="S35" s="1" t="s">
        <v>47</v>
      </c>
      <c r="T35" s="1">
        <v>12</v>
      </c>
      <c r="U35" s="2" t="s">
        <v>42</v>
      </c>
      <c r="V35" s="2">
        <v>45093</v>
      </c>
      <c r="W35" s="2">
        <v>45013</v>
      </c>
      <c r="X35" s="1" t="s">
        <v>307</v>
      </c>
      <c r="Y35" s="2">
        <v>45483</v>
      </c>
      <c r="Z35" s="1" t="s">
        <v>308</v>
      </c>
      <c r="AA35" s="1" t="s">
        <v>42</v>
      </c>
      <c r="AB35" s="1" t="s">
        <v>309</v>
      </c>
      <c r="AC35" s="1" t="s">
        <v>129</v>
      </c>
      <c r="AD35" s="1">
        <v>7015572543</v>
      </c>
      <c r="AE35" s="1" t="s">
        <v>3506</v>
      </c>
      <c r="AF35" s="1" t="s">
        <v>66</v>
      </c>
      <c r="AG35" s="2" t="s">
        <v>42</v>
      </c>
      <c r="AH35" s="1"/>
      <c r="AI35" s="1" t="s">
        <v>42</v>
      </c>
      <c r="AJ35" s="1"/>
      <c r="AK35" s="2" t="s">
        <v>42</v>
      </c>
      <c r="AL35" s="1" t="s">
        <v>3507</v>
      </c>
    </row>
    <row r="36" spans="1:38" ht="20.100000000000001" customHeight="1" x14ac:dyDescent="0.2">
      <c r="A36" s="3">
        <f t="shared" si="0"/>
        <v>33</v>
      </c>
      <c r="B36" s="1" t="s">
        <v>310</v>
      </c>
      <c r="C36" s="1" t="s">
        <v>311</v>
      </c>
      <c r="D36" s="1" t="s">
        <v>38</v>
      </c>
      <c r="E36" s="1" t="s">
        <v>312</v>
      </c>
      <c r="F36" s="1" t="s">
        <v>70</v>
      </c>
      <c r="G36" s="1" t="s">
        <v>313</v>
      </c>
      <c r="H36" s="2">
        <v>45365</v>
      </c>
      <c r="I36" s="2">
        <v>29587</v>
      </c>
      <c r="J36" s="7">
        <f t="shared" ca="1" si="1"/>
        <v>42.852054794520548</v>
      </c>
      <c r="K36" s="1" t="s">
        <v>80</v>
      </c>
      <c r="L36" s="1" t="s">
        <v>80</v>
      </c>
      <c r="M36" s="2">
        <v>42933</v>
      </c>
      <c r="N36" s="1">
        <v>2</v>
      </c>
      <c r="O36" s="2">
        <v>43771</v>
      </c>
      <c r="P36" s="1" t="s">
        <v>44</v>
      </c>
      <c r="Q36" s="1" t="s">
        <v>142</v>
      </c>
      <c r="R36" s="1" t="s">
        <v>60</v>
      </c>
      <c r="S36" s="1" t="s">
        <v>47</v>
      </c>
      <c r="T36" s="1">
        <v>8</v>
      </c>
      <c r="U36" s="2" t="s">
        <v>42</v>
      </c>
      <c r="V36" s="2">
        <v>45093</v>
      </c>
      <c r="W36" s="2" t="s">
        <v>42</v>
      </c>
      <c r="X36" s="1" t="s">
        <v>314</v>
      </c>
      <c r="Y36" s="2">
        <v>45782</v>
      </c>
      <c r="Z36" s="1" t="s">
        <v>315</v>
      </c>
      <c r="AA36" s="1" t="s">
        <v>42</v>
      </c>
      <c r="AB36" s="1" t="s">
        <v>316</v>
      </c>
      <c r="AC36" s="1" t="s">
        <v>50</v>
      </c>
      <c r="AD36" s="1">
        <v>7014477116</v>
      </c>
      <c r="AE36" s="1" t="s">
        <v>65</v>
      </c>
      <c r="AF36" s="1" t="s">
        <v>147</v>
      </c>
      <c r="AG36" s="2" t="s">
        <v>42</v>
      </c>
      <c r="AH36" s="1"/>
      <c r="AI36" s="1" t="s">
        <v>42</v>
      </c>
      <c r="AJ36" s="1"/>
      <c r="AK36" s="2" t="s">
        <v>42</v>
      </c>
      <c r="AL36" s="1" t="s">
        <v>3507</v>
      </c>
    </row>
    <row r="37" spans="1:38" ht="20.100000000000001" customHeight="1" x14ac:dyDescent="0.2">
      <c r="A37" s="3">
        <f t="shared" si="0"/>
        <v>34</v>
      </c>
      <c r="B37" s="1" t="s">
        <v>317</v>
      </c>
      <c r="C37" s="1" t="s">
        <v>318</v>
      </c>
      <c r="D37" s="1" t="s">
        <v>38</v>
      </c>
      <c r="E37" s="1" t="s">
        <v>54</v>
      </c>
      <c r="F37" s="1" t="s">
        <v>55</v>
      </c>
      <c r="G37" s="1" t="s">
        <v>319</v>
      </c>
      <c r="H37" s="2">
        <v>45513</v>
      </c>
      <c r="I37" s="2">
        <v>34840</v>
      </c>
      <c r="J37" s="7">
        <f t="shared" ca="1" si="1"/>
        <v>28.460273972602739</v>
      </c>
      <c r="K37" s="1" t="s">
        <v>195</v>
      </c>
      <c r="L37" s="1" t="s">
        <v>134</v>
      </c>
      <c r="M37" s="2">
        <v>42948</v>
      </c>
      <c r="N37" s="1">
        <v>2</v>
      </c>
      <c r="O37" s="2" t="s">
        <v>42</v>
      </c>
      <c r="P37" s="1" t="s">
        <v>44</v>
      </c>
      <c r="Q37" s="1" t="s">
        <v>66</v>
      </c>
      <c r="R37" s="1" t="s">
        <v>60</v>
      </c>
      <c r="S37" s="1" t="s">
        <v>320</v>
      </c>
      <c r="T37" s="1" t="s">
        <v>42</v>
      </c>
      <c r="U37" s="2" t="s">
        <v>42</v>
      </c>
      <c r="V37" s="2">
        <v>45169</v>
      </c>
      <c r="W37" s="2" t="s">
        <v>42</v>
      </c>
      <c r="X37" s="1" t="s">
        <v>321</v>
      </c>
      <c r="Y37" s="2">
        <v>46189</v>
      </c>
      <c r="Z37" s="1" t="s">
        <v>322</v>
      </c>
      <c r="AA37" s="1" t="s">
        <v>42</v>
      </c>
      <c r="AB37" s="1" t="s">
        <v>323</v>
      </c>
      <c r="AC37" s="1" t="s">
        <v>50</v>
      </c>
      <c r="AD37" s="1">
        <v>1061419220</v>
      </c>
      <c r="AE37" s="1" t="s">
        <v>247</v>
      </c>
      <c r="AF37" s="1" t="s">
        <v>66</v>
      </c>
      <c r="AG37" s="2" t="s">
        <v>42</v>
      </c>
      <c r="AH37" s="1"/>
      <c r="AI37" s="1" t="s">
        <v>42</v>
      </c>
      <c r="AJ37" s="1"/>
      <c r="AK37" s="2" t="s">
        <v>42</v>
      </c>
      <c r="AL37" s="1" t="s">
        <v>3507</v>
      </c>
    </row>
    <row r="38" spans="1:38" ht="20.100000000000001" customHeight="1" x14ac:dyDescent="0.2">
      <c r="A38" s="3">
        <f t="shared" si="0"/>
        <v>35</v>
      </c>
      <c r="B38" s="1" t="s">
        <v>324</v>
      </c>
      <c r="C38" s="1" t="s">
        <v>325</v>
      </c>
      <c r="D38" s="1" t="s">
        <v>38</v>
      </c>
      <c r="E38" s="1" t="s">
        <v>54</v>
      </c>
      <c r="F38" s="1" t="s">
        <v>55</v>
      </c>
      <c r="G38" s="1" t="s">
        <v>326</v>
      </c>
      <c r="H38" s="2">
        <v>45386</v>
      </c>
      <c r="I38" s="2">
        <v>34699</v>
      </c>
      <c r="J38" s="7">
        <f t="shared" ca="1" si="1"/>
        <v>28.846575342465755</v>
      </c>
      <c r="K38" s="1" t="s">
        <v>133</v>
      </c>
      <c r="L38" s="1" t="s">
        <v>327</v>
      </c>
      <c r="M38" s="2">
        <v>42956</v>
      </c>
      <c r="N38" s="1">
        <v>2</v>
      </c>
      <c r="O38" s="2">
        <v>44417</v>
      </c>
      <c r="P38" s="1" t="s">
        <v>44</v>
      </c>
      <c r="Q38" s="1" t="s">
        <v>135</v>
      </c>
      <c r="R38" s="1" t="s">
        <v>60</v>
      </c>
      <c r="S38" s="1" t="s">
        <v>47</v>
      </c>
      <c r="T38" s="1">
        <v>8</v>
      </c>
      <c r="U38" s="2" t="s">
        <v>42</v>
      </c>
      <c r="V38" s="2">
        <v>45146</v>
      </c>
      <c r="W38" s="2" t="s">
        <v>42</v>
      </c>
      <c r="X38" s="1" t="s">
        <v>328</v>
      </c>
      <c r="Y38" s="2">
        <v>48096</v>
      </c>
      <c r="Z38" s="1" t="s">
        <v>329</v>
      </c>
      <c r="AA38" s="1" t="s">
        <v>330</v>
      </c>
      <c r="AB38" s="1" t="s">
        <v>331</v>
      </c>
      <c r="AC38" s="1" t="s">
        <v>129</v>
      </c>
      <c r="AD38" s="1">
        <v>7014477116</v>
      </c>
      <c r="AE38" s="1" t="s">
        <v>65</v>
      </c>
      <c r="AF38" s="1" t="s">
        <v>66</v>
      </c>
      <c r="AG38" s="2" t="s">
        <v>42</v>
      </c>
      <c r="AH38" s="1" t="s">
        <v>42</v>
      </c>
      <c r="AI38" s="1" t="s">
        <v>42</v>
      </c>
      <c r="AJ38" s="1"/>
      <c r="AK38" s="2" t="s">
        <v>42</v>
      </c>
      <c r="AL38" s="1" t="s">
        <v>3507</v>
      </c>
    </row>
    <row r="39" spans="1:38" ht="20.100000000000001" customHeight="1" x14ac:dyDescent="0.2">
      <c r="A39" s="3">
        <f t="shared" si="0"/>
        <v>36</v>
      </c>
      <c r="B39" s="1" t="s">
        <v>332</v>
      </c>
      <c r="C39" s="1" t="s">
        <v>333</v>
      </c>
      <c r="D39" s="1" t="s">
        <v>38</v>
      </c>
      <c r="E39" s="1" t="s">
        <v>54</v>
      </c>
      <c r="F39" s="1" t="s">
        <v>55</v>
      </c>
      <c r="G39" s="1" t="s">
        <v>334</v>
      </c>
      <c r="H39" s="2">
        <v>45256</v>
      </c>
      <c r="I39" s="2">
        <v>32178</v>
      </c>
      <c r="J39" s="7">
        <f t="shared" ca="1" si="1"/>
        <v>35.753424657534246</v>
      </c>
      <c r="K39" s="1" t="s">
        <v>57</v>
      </c>
      <c r="L39" s="1" t="s">
        <v>134</v>
      </c>
      <c r="M39" s="2">
        <v>42914</v>
      </c>
      <c r="N39" s="1">
        <v>2</v>
      </c>
      <c r="O39" s="2">
        <v>43841</v>
      </c>
      <c r="P39" s="1" t="s">
        <v>335</v>
      </c>
      <c r="Q39" s="1" t="s">
        <v>336</v>
      </c>
      <c r="R39" s="1" t="s">
        <v>60</v>
      </c>
      <c r="S39" s="1" t="s">
        <v>47</v>
      </c>
      <c r="T39" s="1">
        <v>12</v>
      </c>
      <c r="U39" s="2" t="s">
        <v>42</v>
      </c>
      <c r="V39" s="2">
        <v>45104</v>
      </c>
      <c r="W39" s="2" t="s">
        <v>42</v>
      </c>
      <c r="X39" s="1" t="s">
        <v>337</v>
      </c>
      <c r="Y39" s="2">
        <v>45929</v>
      </c>
      <c r="Z39" s="1" t="s">
        <v>338</v>
      </c>
      <c r="AA39" s="1" t="s">
        <v>339</v>
      </c>
      <c r="AB39" s="1" t="s">
        <v>340</v>
      </c>
      <c r="AC39" s="1" t="s">
        <v>50</v>
      </c>
      <c r="AD39" s="1">
        <v>7014477116</v>
      </c>
      <c r="AE39" s="1" t="s">
        <v>65</v>
      </c>
      <c r="AF39" s="1" t="s">
        <v>66</v>
      </c>
      <c r="AG39" s="2" t="s">
        <v>42</v>
      </c>
      <c r="AH39" s="1" t="s">
        <v>341</v>
      </c>
      <c r="AI39" s="1" t="s">
        <v>42</v>
      </c>
      <c r="AJ39" s="1"/>
      <c r="AK39" s="2" t="s">
        <v>42</v>
      </c>
      <c r="AL39" s="1" t="s">
        <v>3507</v>
      </c>
    </row>
    <row r="40" spans="1:38" ht="20.100000000000001" customHeight="1" x14ac:dyDescent="0.2">
      <c r="A40" s="3">
        <f t="shared" si="0"/>
        <v>37</v>
      </c>
      <c r="B40" s="1" t="s">
        <v>342</v>
      </c>
      <c r="C40" s="1" t="s">
        <v>343</v>
      </c>
      <c r="D40" s="1" t="s">
        <v>38</v>
      </c>
      <c r="E40" s="1" t="s">
        <v>54</v>
      </c>
      <c r="F40" s="1" t="s">
        <v>55</v>
      </c>
      <c r="G40" s="1" t="s">
        <v>344</v>
      </c>
      <c r="H40" s="2">
        <v>45381</v>
      </c>
      <c r="I40" s="2">
        <v>33239</v>
      </c>
      <c r="J40" s="7">
        <f t="shared" ca="1" si="1"/>
        <v>32.846575342465755</v>
      </c>
      <c r="K40" s="1" t="s">
        <v>133</v>
      </c>
      <c r="L40" s="1" t="s">
        <v>134</v>
      </c>
      <c r="M40" s="2">
        <v>42997</v>
      </c>
      <c r="N40" s="1">
        <v>2</v>
      </c>
      <c r="O40" s="2">
        <v>45164</v>
      </c>
      <c r="P40" s="1" t="s">
        <v>165</v>
      </c>
      <c r="Q40" s="1" t="s">
        <v>166</v>
      </c>
      <c r="R40" s="1" t="s">
        <v>60</v>
      </c>
      <c r="S40" s="1" t="s">
        <v>47</v>
      </c>
      <c r="T40" s="1">
        <v>12</v>
      </c>
      <c r="U40" s="2" t="s">
        <v>42</v>
      </c>
      <c r="V40" s="2">
        <v>44822</v>
      </c>
      <c r="W40" s="2" t="s">
        <v>42</v>
      </c>
      <c r="X40" s="1" t="s">
        <v>345</v>
      </c>
      <c r="Y40" s="2">
        <v>45936</v>
      </c>
      <c r="Z40" s="1" t="s">
        <v>346</v>
      </c>
      <c r="AA40" s="1" t="s">
        <v>42</v>
      </c>
      <c r="AB40" s="1" t="s">
        <v>347</v>
      </c>
      <c r="AC40" s="1" t="s">
        <v>50</v>
      </c>
      <c r="AD40" s="1">
        <v>7014477116</v>
      </c>
      <c r="AE40" s="1" t="s">
        <v>65</v>
      </c>
      <c r="AF40" s="1" t="s">
        <v>66</v>
      </c>
      <c r="AG40" s="2" t="s">
        <v>42</v>
      </c>
      <c r="AH40" s="1"/>
      <c r="AI40" s="1" t="s">
        <v>42</v>
      </c>
      <c r="AJ40" s="1"/>
      <c r="AK40" s="2" t="s">
        <v>42</v>
      </c>
      <c r="AL40" s="1" t="s">
        <v>3507</v>
      </c>
    </row>
    <row r="41" spans="1:38" ht="20.100000000000001" customHeight="1" x14ac:dyDescent="0.2">
      <c r="A41" s="3">
        <f t="shared" si="0"/>
        <v>38</v>
      </c>
      <c r="B41" s="1" t="s">
        <v>348</v>
      </c>
      <c r="C41" s="1" t="s">
        <v>349</v>
      </c>
      <c r="D41" s="1" t="s">
        <v>121</v>
      </c>
      <c r="E41" s="1" t="s">
        <v>39</v>
      </c>
      <c r="F41" s="1" t="s">
        <v>40</v>
      </c>
      <c r="G41" s="1" t="s">
        <v>350</v>
      </c>
      <c r="H41" s="2" t="s">
        <v>42</v>
      </c>
      <c r="I41" s="2">
        <v>28647</v>
      </c>
      <c r="J41" s="7">
        <f t="shared" ca="1" si="1"/>
        <v>45.42739726027397</v>
      </c>
      <c r="K41" s="1" t="s">
        <v>80</v>
      </c>
      <c r="L41" s="1" t="s">
        <v>80</v>
      </c>
      <c r="M41" s="2">
        <v>43018</v>
      </c>
      <c r="N41" s="1">
        <v>2</v>
      </c>
      <c r="O41" s="2">
        <v>43018</v>
      </c>
      <c r="P41" s="1" t="s">
        <v>44</v>
      </c>
      <c r="Q41" s="1" t="s">
        <v>408</v>
      </c>
      <c r="R41" s="1" t="s">
        <v>124</v>
      </c>
      <c r="S41" s="1" t="s">
        <v>125</v>
      </c>
      <c r="T41" s="1" t="s">
        <v>42</v>
      </c>
      <c r="U41" s="2" t="s">
        <v>42</v>
      </c>
      <c r="V41" s="2">
        <v>44843</v>
      </c>
      <c r="W41" s="2" t="s">
        <v>42</v>
      </c>
      <c r="X41" s="1" t="s">
        <v>42</v>
      </c>
      <c r="Y41" s="2" t="s">
        <v>42</v>
      </c>
      <c r="Z41" s="1" t="s">
        <v>351</v>
      </c>
      <c r="AA41" s="1" t="s">
        <v>42</v>
      </c>
      <c r="AB41" s="1" t="s">
        <v>352</v>
      </c>
      <c r="AC41" s="1" t="s">
        <v>129</v>
      </c>
      <c r="AD41" s="1">
        <v>7014477116</v>
      </c>
      <c r="AE41" s="1" t="s">
        <v>65</v>
      </c>
      <c r="AF41" s="1"/>
      <c r="AG41" s="2" t="s">
        <v>42</v>
      </c>
      <c r="AH41" s="1"/>
      <c r="AI41" s="1" t="s">
        <v>42</v>
      </c>
      <c r="AJ41" s="1"/>
      <c r="AK41" s="2" t="s">
        <v>42</v>
      </c>
      <c r="AL41" s="1" t="s">
        <v>3507</v>
      </c>
    </row>
    <row r="42" spans="1:38" ht="20.100000000000001" customHeight="1" x14ac:dyDescent="0.2">
      <c r="A42" s="3">
        <f t="shared" si="0"/>
        <v>39</v>
      </c>
      <c r="B42" s="1" t="s">
        <v>353</v>
      </c>
      <c r="C42" s="1" t="s">
        <v>354</v>
      </c>
      <c r="D42" s="1" t="s">
        <v>38</v>
      </c>
      <c r="E42" s="1" t="s">
        <v>54</v>
      </c>
      <c r="F42" s="1" t="s">
        <v>55</v>
      </c>
      <c r="G42" s="1" t="s">
        <v>355</v>
      </c>
      <c r="H42" s="2">
        <v>45331</v>
      </c>
      <c r="I42" s="2">
        <v>31329</v>
      </c>
      <c r="J42" s="7">
        <f t="shared" ca="1" si="1"/>
        <v>38.079452054794523</v>
      </c>
      <c r="K42" s="1" t="s">
        <v>57</v>
      </c>
      <c r="L42" s="1" t="s">
        <v>134</v>
      </c>
      <c r="M42" s="2">
        <v>43067</v>
      </c>
      <c r="N42" s="1">
        <v>2</v>
      </c>
      <c r="O42" s="2">
        <v>44819</v>
      </c>
      <c r="P42" s="1" t="s">
        <v>44</v>
      </c>
      <c r="Q42" s="1" t="s">
        <v>292</v>
      </c>
      <c r="R42" s="1" t="s">
        <v>60</v>
      </c>
      <c r="S42" s="1" t="s">
        <v>47</v>
      </c>
      <c r="T42" s="1">
        <v>12</v>
      </c>
      <c r="U42" s="2" t="s">
        <v>42</v>
      </c>
      <c r="V42" s="2">
        <v>44892</v>
      </c>
      <c r="W42" s="2">
        <v>44819</v>
      </c>
      <c r="X42" s="1" t="s">
        <v>356</v>
      </c>
      <c r="Y42" s="2">
        <v>46250</v>
      </c>
      <c r="Z42" s="1" t="s">
        <v>357</v>
      </c>
      <c r="AA42" s="1" t="s">
        <v>358</v>
      </c>
      <c r="AB42" s="1" t="s">
        <v>359</v>
      </c>
      <c r="AC42" s="1" t="s">
        <v>266</v>
      </c>
      <c r="AD42" s="1">
        <v>7014477116</v>
      </c>
      <c r="AE42" s="1" t="s">
        <v>65</v>
      </c>
      <c r="AF42" s="1" t="s">
        <v>66</v>
      </c>
      <c r="AG42" s="2" t="s">
        <v>42</v>
      </c>
      <c r="AH42" s="1"/>
      <c r="AI42" s="1" t="s">
        <v>42</v>
      </c>
      <c r="AJ42" s="1"/>
      <c r="AK42" s="2" t="s">
        <v>42</v>
      </c>
      <c r="AL42" s="1" t="s">
        <v>3507</v>
      </c>
    </row>
    <row r="43" spans="1:38" ht="20.100000000000001" customHeight="1" x14ac:dyDescent="0.2">
      <c r="A43" s="3">
        <f t="shared" si="0"/>
        <v>40</v>
      </c>
      <c r="B43" s="1" t="s">
        <v>360</v>
      </c>
      <c r="C43" s="1" t="s">
        <v>361</v>
      </c>
      <c r="D43" s="1" t="s">
        <v>38</v>
      </c>
      <c r="E43" s="1" t="s">
        <v>69</v>
      </c>
      <c r="F43" s="1" t="s">
        <v>70</v>
      </c>
      <c r="G43" s="1" t="s">
        <v>362</v>
      </c>
      <c r="H43" s="2">
        <v>45456</v>
      </c>
      <c r="I43" s="2">
        <v>24199</v>
      </c>
      <c r="J43" s="7">
        <f t="shared" ca="1" si="1"/>
        <v>57.613698630136987</v>
      </c>
      <c r="K43" s="1" t="s">
        <v>240</v>
      </c>
      <c r="L43" s="1" t="s">
        <v>186</v>
      </c>
      <c r="M43" s="2">
        <v>43069</v>
      </c>
      <c r="N43" s="1">
        <v>2</v>
      </c>
      <c r="O43" s="2">
        <v>44457</v>
      </c>
      <c r="P43" s="1" t="s">
        <v>44</v>
      </c>
      <c r="Q43" s="1" t="s">
        <v>66</v>
      </c>
      <c r="R43" s="1" t="s">
        <v>60</v>
      </c>
      <c r="S43" s="1" t="s">
        <v>47</v>
      </c>
      <c r="T43" s="1">
        <v>8</v>
      </c>
      <c r="U43" s="2" t="s">
        <v>42</v>
      </c>
      <c r="V43" s="2">
        <v>44894</v>
      </c>
      <c r="W43" s="2" t="s">
        <v>42</v>
      </c>
      <c r="X43" s="1" t="s">
        <v>363</v>
      </c>
      <c r="Y43" s="2">
        <v>46568</v>
      </c>
      <c r="Z43" s="1" t="s">
        <v>364</v>
      </c>
      <c r="AA43" s="1" t="s">
        <v>42</v>
      </c>
      <c r="AB43" s="1" t="s">
        <v>365</v>
      </c>
      <c r="AC43" s="1" t="s">
        <v>50</v>
      </c>
      <c r="AD43" s="1">
        <v>7014477116</v>
      </c>
      <c r="AE43" s="1" t="s">
        <v>65</v>
      </c>
      <c r="AF43" s="1" t="s">
        <v>66</v>
      </c>
      <c r="AG43" s="2" t="s">
        <v>42</v>
      </c>
      <c r="AH43" s="1"/>
      <c r="AI43" s="1" t="s">
        <v>42</v>
      </c>
      <c r="AJ43" s="1"/>
      <c r="AK43" s="2" t="s">
        <v>42</v>
      </c>
      <c r="AL43" s="1" t="s">
        <v>3507</v>
      </c>
    </row>
    <row r="44" spans="1:38" ht="20.100000000000001" customHeight="1" x14ac:dyDescent="0.2">
      <c r="A44" s="3">
        <f t="shared" si="0"/>
        <v>41</v>
      </c>
      <c r="B44" s="1" t="s">
        <v>366</v>
      </c>
      <c r="C44" s="1" t="s">
        <v>367</v>
      </c>
      <c r="D44" s="1" t="s">
        <v>121</v>
      </c>
      <c r="E44" s="1" t="s">
        <v>39</v>
      </c>
      <c r="F44" s="1" t="s">
        <v>40</v>
      </c>
      <c r="G44" s="1" t="s">
        <v>368</v>
      </c>
      <c r="H44" s="2" t="s">
        <v>42</v>
      </c>
      <c r="I44" s="2">
        <v>32741</v>
      </c>
      <c r="J44" s="7">
        <f t="shared" ca="1" si="1"/>
        <v>34.210958904109589</v>
      </c>
      <c r="K44" s="1" t="s">
        <v>80</v>
      </c>
      <c r="L44" s="1" t="s">
        <v>80</v>
      </c>
      <c r="M44" s="2">
        <v>43079</v>
      </c>
      <c r="N44" s="1">
        <v>2</v>
      </c>
      <c r="O44" s="2">
        <v>43079</v>
      </c>
      <c r="P44" s="1" t="s">
        <v>44</v>
      </c>
      <c r="Q44" s="1" t="s">
        <v>408</v>
      </c>
      <c r="R44" s="1" t="s">
        <v>124</v>
      </c>
      <c r="S44" s="1" t="s">
        <v>125</v>
      </c>
      <c r="T44" s="1" t="s">
        <v>42</v>
      </c>
      <c r="U44" s="2" t="s">
        <v>42</v>
      </c>
      <c r="V44" s="2">
        <v>44904</v>
      </c>
      <c r="W44" s="2" t="s">
        <v>42</v>
      </c>
      <c r="X44" s="1" t="s">
        <v>42</v>
      </c>
      <c r="Y44" s="2" t="s">
        <v>42</v>
      </c>
      <c r="Z44" s="1" t="s">
        <v>369</v>
      </c>
      <c r="AA44" s="1" t="s">
        <v>370</v>
      </c>
      <c r="AB44" s="1" t="s">
        <v>371</v>
      </c>
      <c r="AC44" s="1" t="s">
        <v>372</v>
      </c>
      <c r="AD44" s="1">
        <v>7014477116</v>
      </c>
      <c r="AE44" s="1" t="s">
        <v>65</v>
      </c>
      <c r="AF44" s="1"/>
      <c r="AG44" s="2" t="s">
        <v>42</v>
      </c>
      <c r="AH44" s="1"/>
      <c r="AI44" s="1" t="s">
        <v>42</v>
      </c>
      <c r="AJ44" s="1"/>
      <c r="AK44" s="2" t="s">
        <v>42</v>
      </c>
      <c r="AL44" s="1" t="s">
        <v>3507</v>
      </c>
    </row>
    <row r="45" spans="1:38" ht="20.100000000000001" customHeight="1" x14ac:dyDescent="0.2">
      <c r="A45" s="3">
        <f t="shared" si="0"/>
        <v>42</v>
      </c>
      <c r="B45" s="1" t="s">
        <v>373</v>
      </c>
      <c r="C45" s="1" t="s">
        <v>374</v>
      </c>
      <c r="D45" s="1" t="s">
        <v>38</v>
      </c>
      <c r="E45" s="1" t="s">
        <v>54</v>
      </c>
      <c r="F45" s="1" t="s">
        <v>55</v>
      </c>
      <c r="G45" s="1" t="s">
        <v>375</v>
      </c>
      <c r="H45" s="2">
        <v>45435</v>
      </c>
      <c r="I45" s="2">
        <v>34178</v>
      </c>
      <c r="J45" s="7">
        <f t="shared" ca="1" si="1"/>
        <v>30.273972602739725</v>
      </c>
      <c r="K45" s="1" t="s">
        <v>240</v>
      </c>
      <c r="L45" s="1" t="s">
        <v>186</v>
      </c>
      <c r="M45" s="2">
        <v>43082</v>
      </c>
      <c r="N45" s="1">
        <v>2</v>
      </c>
      <c r="O45" s="2">
        <v>44829</v>
      </c>
      <c r="P45" s="1" t="s">
        <v>44</v>
      </c>
      <c r="Q45" s="1" t="s">
        <v>98</v>
      </c>
      <c r="R45" s="1" t="s">
        <v>60</v>
      </c>
      <c r="S45" s="1" t="s">
        <v>47</v>
      </c>
      <c r="T45" s="1">
        <v>8</v>
      </c>
      <c r="U45" s="2" t="s">
        <v>42</v>
      </c>
      <c r="V45" s="2">
        <v>44907</v>
      </c>
      <c r="W45" s="2" t="s">
        <v>42</v>
      </c>
      <c r="X45" s="1" t="s">
        <v>376</v>
      </c>
      <c r="Y45" s="2">
        <v>45965</v>
      </c>
      <c r="Z45" s="1" t="s">
        <v>168</v>
      </c>
      <c r="AA45" s="1" t="s">
        <v>377</v>
      </c>
      <c r="AB45" s="1" t="s">
        <v>378</v>
      </c>
      <c r="AC45" s="1" t="s">
        <v>50</v>
      </c>
      <c r="AD45" s="1">
        <v>7014477116</v>
      </c>
      <c r="AE45" s="1" t="s">
        <v>65</v>
      </c>
      <c r="AF45" s="1"/>
      <c r="AG45" s="2" t="s">
        <v>42</v>
      </c>
      <c r="AH45" s="1"/>
      <c r="AI45" s="1" t="s">
        <v>42</v>
      </c>
      <c r="AJ45" s="1"/>
      <c r="AK45" s="2" t="s">
        <v>42</v>
      </c>
      <c r="AL45" s="1" t="s">
        <v>3507</v>
      </c>
    </row>
    <row r="46" spans="1:38" ht="20.100000000000001" customHeight="1" x14ac:dyDescent="0.2">
      <c r="A46" s="3">
        <f t="shared" si="0"/>
        <v>43</v>
      </c>
      <c r="B46" s="1" t="s">
        <v>379</v>
      </c>
      <c r="C46" s="1" t="s">
        <v>380</v>
      </c>
      <c r="D46" s="1" t="s">
        <v>121</v>
      </c>
      <c r="E46" s="1" t="s">
        <v>39</v>
      </c>
      <c r="F46" s="1" t="s">
        <v>40</v>
      </c>
      <c r="G46" s="1" t="s">
        <v>381</v>
      </c>
      <c r="H46" s="2" t="s">
        <v>42</v>
      </c>
      <c r="I46" s="2">
        <v>33366</v>
      </c>
      <c r="J46" s="7">
        <f t="shared" ca="1" si="1"/>
        <v>32.4986301369863</v>
      </c>
      <c r="K46" s="1" t="s">
        <v>80</v>
      </c>
      <c r="L46" s="1" t="s">
        <v>80</v>
      </c>
      <c r="M46" s="2">
        <v>43131</v>
      </c>
      <c r="N46" s="1">
        <v>2</v>
      </c>
      <c r="O46" s="2">
        <v>43131</v>
      </c>
      <c r="P46" s="1" t="s">
        <v>44</v>
      </c>
      <c r="Q46" s="1" t="s">
        <v>408</v>
      </c>
      <c r="R46" s="1" t="s">
        <v>124</v>
      </c>
      <c r="S46" s="1" t="s">
        <v>125</v>
      </c>
      <c r="T46" s="1" t="s">
        <v>42</v>
      </c>
      <c r="U46" s="2" t="s">
        <v>42</v>
      </c>
      <c r="V46" s="2">
        <v>44956</v>
      </c>
      <c r="W46" s="2" t="s">
        <v>42</v>
      </c>
      <c r="X46" s="1" t="s">
        <v>42</v>
      </c>
      <c r="Y46" s="2" t="s">
        <v>42</v>
      </c>
      <c r="Z46" s="1" t="s">
        <v>382</v>
      </c>
      <c r="AA46" s="1" t="s">
        <v>42</v>
      </c>
      <c r="AB46" s="1" t="s">
        <v>383</v>
      </c>
      <c r="AC46" s="1" t="s">
        <v>384</v>
      </c>
      <c r="AD46" s="1">
        <v>7014477116</v>
      </c>
      <c r="AE46" s="1" t="s">
        <v>65</v>
      </c>
      <c r="AF46" s="1"/>
      <c r="AG46" s="2" t="s">
        <v>42</v>
      </c>
      <c r="AH46" s="1"/>
      <c r="AI46" s="1" t="s">
        <v>42</v>
      </c>
      <c r="AJ46" s="1"/>
      <c r="AK46" s="2" t="s">
        <v>42</v>
      </c>
      <c r="AL46" s="1" t="s">
        <v>3507</v>
      </c>
    </row>
    <row r="47" spans="1:38" ht="20.100000000000001" customHeight="1" x14ac:dyDescent="0.2">
      <c r="A47" s="3">
        <f t="shared" si="0"/>
        <v>44</v>
      </c>
      <c r="B47" s="1" t="s">
        <v>385</v>
      </c>
      <c r="C47" s="1" t="s">
        <v>386</v>
      </c>
      <c r="D47" s="1" t="s">
        <v>121</v>
      </c>
      <c r="E47" s="1" t="s">
        <v>39</v>
      </c>
      <c r="F47" s="1" t="s">
        <v>40</v>
      </c>
      <c r="G47" s="1" t="s">
        <v>387</v>
      </c>
      <c r="H47" s="2" t="s">
        <v>42</v>
      </c>
      <c r="I47" s="2">
        <v>26876</v>
      </c>
      <c r="J47" s="7">
        <f t="shared" ca="1" si="1"/>
        <v>50.279452054794518</v>
      </c>
      <c r="K47" s="1" t="s">
        <v>80</v>
      </c>
      <c r="L47" s="1" t="s">
        <v>80</v>
      </c>
      <c r="M47" s="2">
        <v>43135</v>
      </c>
      <c r="N47" s="1">
        <v>2</v>
      </c>
      <c r="O47" s="2">
        <v>43135</v>
      </c>
      <c r="P47" s="1" t="s">
        <v>44</v>
      </c>
      <c r="Q47" s="1" t="s">
        <v>178</v>
      </c>
      <c r="R47" s="1" t="s">
        <v>179</v>
      </c>
      <c r="S47" s="1" t="s">
        <v>125</v>
      </c>
      <c r="T47" s="1" t="s">
        <v>42</v>
      </c>
      <c r="U47" s="2" t="s">
        <v>42</v>
      </c>
      <c r="V47" s="2">
        <v>44960</v>
      </c>
      <c r="W47" s="2" t="s">
        <v>42</v>
      </c>
      <c r="X47" s="1" t="s">
        <v>42</v>
      </c>
      <c r="Y47" s="2" t="s">
        <v>42</v>
      </c>
      <c r="Z47" s="1" t="s">
        <v>388</v>
      </c>
      <c r="AA47" s="1" t="s">
        <v>389</v>
      </c>
      <c r="AB47" s="1" t="s">
        <v>390</v>
      </c>
      <c r="AC47" s="1" t="s">
        <v>129</v>
      </c>
      <c r="AD47" s="1">
        <v>7014477116</v>
      </c>
      <c r="AE47" s="1" t="s">
        <v>65</v>
      </c>
      <c r="AF47" s="1"/>
      <c r="AG47" s="2" t="s">
        <v>42</v>
      </c>
      <c r="AH47" s="1"/>
      <c r="AI47" s="1" t="s">
        <v>42</v>
      </c>
      <c r="AJ47" s="1"/>
      <c r="AK47" s="2" t="s">
        <v>42</v>
      </c>
      <c r="AL47" s="1" t="s">
        <v>3507</v>
      </c>
    </row>
    <row r="48" spans="1:38" ht="20.100000000000001" customHeight="1" x14ac:dyDescent="0.2">
      <c r="A48" s="3">
        <f t="shared" si="0"/>
        <v>45</v>
      </c>
      <c r="B48" s="1" t="s">
        <v>391</v>
      </c>
      <c r="C48" s="1" t="s">
        <v>392</v>
      </c>
      <c r="D48" s="1" t="s">
        <v>38</v>
      </c>
      <c r="E48" s="1" t="s">
        <v>54</v>
      </c>
      <c r="F48" s="1" t="s">
        <v>55</v>
      </c>
      <c r="G48" s="1" t="s">
        <v>393</v>
      </c>
      <c r="H48" s="2">
        <v>45270</v>
      </c>
      <c r="I48" s="2">
        <v>32905</v>
      </c>
      <c r="J48" s="7">
        <f t="shared" ca="1" si="1"/>
        <v>33.761643835616439</v>
      </c>
      <c r="K48" s="1" t="s">
        <v>133</v>
      </c>
      <c r="L48" s="1" t="s">
        <v>134</v>
      </c>
      <c r="M48" s="2">
        <v>42808</v>
      </c>
      <c r="N48" s="1">
        <v>2</v>
      </c>
      <c r="O48" s="2">
        <v>44653</v>
      </c>
      <c r="P48" s="1" t="s">
        <v>44</v>
      </c>
      <c r="Q48" s="1" t="s">
        <v>394</v>
      </c>
      <c r="R48" s="1" t="s">
        <v>60</v>
      </c>
      <c r="S48" s="1" t="s">
        <v>47</v>
      </c>
      <c r="T48" s="1">
        <v>12</v>
      </c>
      <c r="U48" s="2" t="s">
        <v>42</v>
      </c>
      <c r="V48" s="2">
        <v>44999</v>
      </c>
      <c r="W48" s="2">
        <v>45015</v>
      </c>
      <c r="X48" s="1" t="s">
        <v>395</v>
      </c>
      <c r="Y48" s="2">
        <v>45348</v>
      </c>
      <c r="Z48" s="1" t="s">
        <v>396</v>
      </c>
      <c r="AA48" s="1" t="s">
        <v>397</v>
      </c>
      <c r="AB48" s="1" t="s">
        <v>398</v>
      </c>
      <c r="AC48" s="1" t="s">
        <v>266</v>
      </c>
      <c r="AD48" s="1">
        <v>7014477116</v>
      </c>
      <c r="AE48" s="1" t="s">
        <v>65</v>
      </c>
      <c r="AF48" s="1" t="s">
        <v>66</v>
      </c>
      <c r="AG48" s="2" t="s">
        <v>42</v>
      </c>
      <c r="AH48" s="1"/>
      <c r="AI48" s="1" t="s">
        <v>42</v>
      </c>
      <c r="AJ48" s="1"/>
      <c r="AK48" s="2" t="s">
        <v>42</v>
      </c>
      <c r="AL48" s="1" t="s">
        <v>3507</v>
      </c>
    </row>
    <row r="49" spans="1:38" ht="20.100000000000001" customHeight="1" x14ac:dyDescent="0.2">
      <c r="A49" s="3">
        <f t="shared" si="0"/>
        <v>46</v>
      </c>
      <c r="B49" s="1" t="s">
        <v>399</v>
      </c>
      <c r="C49" s="1" t="s">
        <v>400</v>
      </c>
      <c r="D49" s="1" t="s">
        <v>121</v>
      </c>
      <c r="E49" s="1" t="s">
        <v>39</v>
      </c>
      <c r="F49" s="1" t="s">
        <v>40</v>
      </c>
      <c r="G49" s="1" t="s">
        <v>401</v>
      </c>
      <c r="H49" s="2" t="s">
        <v>42</v>
      </c>
      <c r="I49" s="2">
        <v>35031</v>
      </c>
      <c r="J49" s="7">
        <f t="shared" ca="1" si="1"/>
        <v>27.936986301369863</v>
      </c>
      <c r="K49" s="1" t="s">
        <v>80</v>
      </c>
      <c r="L49" s="1" t="s">
        <v>80</v>
      </c>
      <c r="M49" s="2">
        <v>43209</v>
      </c>
      <c r="N49" s="1">
        <v>2</v>
      </c>
      <c r="O49" s="2">
        <v>43209</v>
      </c>
      <c r="P49" s="1" t="s">
        <v>44</v>
      </c>
      <c r="Q49" s="1" t="s">
        <v>178</v>
      </c>
      <c r="R49" s="1" t="s">
        <v>124</v>
      </c>
      <c r="S49" s="1" t="s">
        <v>125</v>
      </c>
      <c r="T49" s="1" t="s">
        <v>42</v>
      </c>
      <c r="U49" s="2" t="s">
        <v>42</v>
      </c>
      <c r="V49" s="2">
        <v>45034</v>
      </c>
      <c r="W49" s="2" t="s">
        <v>42</v>
      </c>
      <c r="X49" s="1" t="s">
        <v>42</v>
      </c>
      <c r="Y49" s="2" t="s">
        <v>42</v>
      </c>
      <c r="Z49" s="1" t="s">
        <v>402</v>
      </c>
      <c r="AA49" s="1" t="s">
        <v>42</v>
      </c>
      <c r="AB49" s="1" t="s">
        <v>403</v>
      </c>
      <c r="AC49" s="1" t="s">
        <v>129</v>
      </c>
      <c r="AD49" s="1">
        <v>7009073037</v>
      </c>
      <c r="AE49" s="1" t="s">
        <v>103</v>
      </c>
      <c r="AF49" s="1"/>
      <c r="AG49" s="2" t="s">
        <v>42</v>
      </c>
      <c r="AH49" s="1"/>
      <c r="AI49" s="1" t="s">
        <v>42</v>
      </c>
      <c r="AJ49" s="1"/>
      <c r="AK49" s="2" t="s">
        <v>42</v>
      </c>
      <c r="AL49" s="1" t="s">
        <v>3507</v>
      </c>
    </row>
    <row r="50" spans="1:38" ht="20.100000000000001" customHeight="1" x14ac:dyDescent="0.2">
      <c r="A50" s="3">
        <f t="shared" si="0"/>
        <v>47</v>
      </c>
      <c r="B50" s="1" t="s">
        <v>404</v>
      </c>
      <c r="C50" s="1" t="s">
        <v>405</v>
      </c>
      <c r="D50" s="1" t="s">
        <v>38</v>
      </c>
      <c r="E50" s="1" t="s">
        <v>39</v>
      </c>
      <c r="F50" s="1" t="s">
        <v>40</v>
      </c>
      <c r="G50" s="1" t="s">
        <v>406</v>
      </c>
      <c r="H50" s="2" t="s">
        <v>42</v>
      </c>
      <c r="I50" s="2">
        <v>24040</v>
      </c>
      <c r="J50" s="7">
        <f t="shared" ca="1" si="1"/>
        <v>58.049315068493151</v>
      </c>
      <c r="K50" s="1" t="s">
        <v>407</v>
      </c>
      <c r="L50" s="1" t="s">
        <v>407</v>
      </c>
      <c r="M50" s="2">
        <v>43282</v>
      </c>
      <c r="N50" s="1">
        <v>2</v>
      </c>
      <c r="O50" s="2">
        <v>43282</v>
      </c>
      <c r="P50" s="1" t="s">
        <v>44</v>
      </c>
      <c r="Q50" s="1" t="s">
        <v>408</v>
      </c>
      <c r="R50" s="1" t="s">
        <v>124</v>
      </c>
      <c r="S50" s="1" t="s">
        <v>125</v>
      </c>
      <c r="T50" s="1" t="s">
        <v>42</v>
      </c>
      <c r="U50" s="2" t="s">
        <v>42</v>
      </c>
      <c r="V50" s="2">
        <v>45107</v>
      </c>
      <c r="W50" s="2" t="s">
        <v>42</v>
      </c>
      <c r="X50" s="1" t="s">
        <v>42</v>
      </c>
      <c r="Y50" s="2" t="s">
        <v>42</v>
      </c>
      <c r="Z50" s="1" t="s">
        <v>409</v>
      </c>
      <c r="AA50" s="1" t="s">
        <v>410</v>
      </c>
      <c r="AB50" s="1" t="s">
        <v>411</v>
      </c>
      <c r="AC50" s="1" t="s">
        <v>50</v>
      </c>
      <c r="AD50" s="1">
        <v>7014477116</v>
      </c>
      <c r="AE50" s="1" t="s">
        <v>65</v>
      </c>
      <c r="AF50" s="1"/>
      <c r="AG50" s="2" t="s">
        <v>42</v>
      </c>
      <c r="AH50" s="1"/>
      <c r="AI50" s="1" t="s">
        <v>42</v>
      </c>
      <c r="AJ50" s="1"/>
      <c r="AK50" s="2" t="s">
        <v>42</v>
      </c>
      <c r="AL50" s="1" t="s">
        <v>3507</v>
      </c>
    </row>
    <row r="51" spans="1:38" ht="20.100000000000001" customHeight="1" x14ac:dyDescent="0.2">
      <c r="A51" s="3">
        <f t="shared" si="0"/>
        <v>48</v>
      </c>
      <c r="B51" s="1" t="s">
        <v>412</v>
      </c>
      <c r="C51" s="1" t="s">
        <v>413</v>
      </c>
      <c r="D51" s="1" t="s">
        <v>38</v>
      </c>
      <c r="E51" s="1" t="s">
        <v>414</v>
      </c>
      <c r="F51" s="1" t="s">
        <v>70</v>
      </c>
      <c r="G51" s="1" t="s">
        <v>415</v>
      </c>
      <c r="H51" s="2">
        <v>45451</v>
      </c>
      <c r="I51" s="2">
        <v>35065</v>
      </c>
      <c r="J51" s="7">
        <f t="shared" ca="1" si="1"/>
        <v>27.843835616438355</v>
      </c>
      <c r="K51" s="1" t="s">
        <v>89</v>
      </c>
      <c r="L51" s="1" t="s">
        <v>416</v>
      </c>
      <c r="M51" s="2">
        <v>43349</v>
      </c>
      <c r="N51" s="1">
        <v>2</v>
      </c>
      <c r="O51" s="2">
        <v>43260</v>
      </c>
      <c r="P51" s="1" t="s">
        <v>44</v>
      </c>
      <c r="Q51" s="1" t="s">
        <v>66</v>
      </c>
      <c r="R51" s="1" t="s">
        <v>60</v>
      </c>
      <c r="S51" s="1" t="s">
        <v>47</v>
      </c>
      <c r="T51" s="1">
        <v>8</v>
      </c>
      <c r="U51" s="2" t="s">
        <v>42</v>
      </c>
      <c r="V51" s="2">
        <v>44809</v>
      </c>
      <c r="W51" s="2" t="s">
        <v>42</v>
      </c>
      <c r="X51" s="1" t="s">
        <v>417</v>
      </c>
      <c r="Y51" s="2">
        <v>48173</v>
      </c>
      <c r="Z51" s="1" t="s">
        <v>418</v>
      </c>
      <c r="AA51" s="1" t="s">
        <v>42</v>
      </c>
      <c r="AB51" s="1" t="s">
        <v>419</v>
      </c>
      <c r="AC51" s="1" t="s">
        <v>50</v>
      </c>
      <c r="AD51" s="1">
        <v>7014477116</v>
      </c>
      <c r="AE51" s="1" t="s">
        <v>65</v>
      </c>
      <c r="AF51" s="1" t="s">
        <v>66</v>
      </c>
      <c r="AG51" s="2" t="s">
        <v>42</v>
      </c>
      <c r="AH51" s="1" t="s">
        <v>42</v>
      </c>
      <c r="AI51" s="1" t="s">
        <v>42</v>
      </c>
      <c r="AJ51" s="1"/>
      <c r="AK51" s="2" t="s">
        <v>42</v>
      </c>
      <c r="AL51" s="1" t="s">
        <v>3507</v>
      </c>
    </row>
    <row r="52" spans="1:38" ht="20.100000000000001" customHeight="1" x14ac:dyDescent="0.2">
      <c r="A52" s="3">
        <f t="shared" si="0"/>
        <v>49</v>
      </c>
      <c r="B52" s="1" t="s">
        <v>420</v>
      </c>
      <c r="C52" s="1" t="s">
        <v>421</v>
      </c>
      <c r="D52" s="1" t="s">
        <v>38</v>
      </c>
      <c r="E52" s="1" t="s">
        <v>54</v>
      </c>
      <c r="F52" s="1" t="s">
        <v>55</v>
      </c>
      <c r="G52" s="1" t="s">
        <v>422</v>
      </c>
      <c r="H52" s="2">
        <v>45387</v>
      </c>
      <c r="I52" s="2">
        <v>35156</v>
      </c>
      <c r="J52" s="7">
        <f t="shared" ca="1" si="1"/>
        <v>27.594520547945205</v>
      </c>
      <c r="K52" s="1" t="s">
        <v>57</v>
      </c>
      <c r="L52" s="1" t="s">
        <v>134</v>
      </c>
      <c r="M52" s="2">
        <v>43352</v>
      </c>
      <c r="N52" s="1">
        <v>2</v>
      </c>
      <c r="O52" s="2">
        <v>43352</v>
      </c>
      <c r="P52" s="1" t="s">
        <v>165</v>
      </c>
      <c r="Q52" s="1" t="s">
        <v>166</v>
      </c>
      <c r="R52" s="1" t="s">
        <v>60</v>
      </c>
      <c r="S52" s="1" t="s">
        <v>47</v>
      </c>
      <c r="T52" s="1">
        <v>12</v>
      </c>
      <c r="U52" s="2" t="s">
        <v>42</v>
      </c>
      <c r="V52" s="2">
        <v>44812</v>
      </c>
      <c r="W52" s="2" t="s">
        <v>42</v>
      </c>
      <c r="X52" s="1" t="s">
        <v>423</v>
      </c>
      <c r="Y52" s="2">
        <v>45991</v>
      </c>
      <c r="Z52" s="1" t="s">
        <v>424</v>
      </c>
      <c r="AA52" s="1" t="s">
        <v>42</v>
      </c>
      <c r="AB52" s="1" t="s">
        <v>425</v>
      </c>
      <c r="AC52" s="1" t="s">
        <v>50</v>
      </c>
      <c r="AD52" s="1">
        <v>7014477116</v>
      </c>
      <c r="AE52" s="1" t="s">
        <v>65</v>
      </c>
      <c r="AF52" s="1" t="s">
        <v>66</v>
      </c>
      <c r="AG52" s="2" t="s">
        <v>42</v>
      </c>
      <c r="AH52" s="1"/>
      <c r="AI52" s="1" t="s">
        <v>42</v>
      </c>
      <c r="AJ52" s="1"/>
      <c r="AK52" s="2" t="s">
        <v>42</v>
      </c>
      <c r="AL52" s="1" t="s">
        <v>3507</v>
      </c>
    </row>
    <row r="53" spans="1:38" ht="20.100000000000001" customHeight="1" x14ac:dyDescent="0.2">
      <c r="A53" s="3">
        <f t="shared" si="0"/>
        <v>50</v>
      </c>
      <c r="B53" s="1" t="s">
        <v>426</v>
      </c>
      <c r="C53" s="1" t="s">
        <v>427</v>
      </c>
      <c r="D53" s="1" t="s">
        <v>38</v>
      </c>
      <c r="E53" s="1" t="s">
        <v>54</v>
      </c>
      <c r="F53" s="1" t="s">
        <v>55</v>
      </c>
      <c r="G53" s="1" t="s">
        <v>428</v>
      </c>
      <c r="H53" s="2">
        <v>45274</v>
      </c>
      <c r="I53" s="2">
        <v>33666</v>
      </c>
      <c r="J53" s="7">
        <f t="shared" ca="1" si="1"/>
        <v>31.676712328767124</v>
      </c>
      <c r="K53" s="1" t="s">
        <v>429</v>
      </c>
      <c r="L53" s="1" t="s">
        <v>430</v>
      </c>
      <c r="M53" s="2">
        <v>43358</v>
      </c>
      <c r="N53" s="1">
        <v>2</v>
      </c>
      <c r="O53" s="2">
        <v>43358</v>
      </c>
      <c r="P53" s="1" t="s">
        <v>221</v>
      </c>
      <c r="Q53" s="1" t="s">
        <v>431</v>
      </c>
      <c r="R53" s="1" t="s">
        <v>432</v>
      </c>
      <c r="S53" s="1" t="s">
        <v>47</v>
      </c>
      <c r="T53" s="1">
        <v>12</v>
      </c>
      <c r="U53" s="2" t="s">
        <v>42</v>
      </c>
      <c r="V53" s="2">
        <v>44818</v>
      </c>
      <c r="W53" s="2">
        <v>45044</v>
      </c>
      <c r="X53" s="1" t="s">
        <v>433</v>
      </c>
      <c r="Y53" s="2">
        <v>46353</v>
      </c>
      <c r="Z53" s="1" t="s">
        <v>434</v>
      </c>
      <c r="AA53" s="1" t="s">
        <v>42</v>
      </c>
      <c r="AB53" s="1" t="s">
        <v>435</v>
      </c>
      <c r="AC53" s="1" t="s">
        <v>50</v>
      </c>
      <c r="AD53" s="1">
        <v>7014477116</v>
      </c>
      <c r="AE53" s="1" t="s">
        <v>65</v>
      </c>
      <c r="AF53" s="1" t="s">
        <v>436</v>
      </c>
      <c r="AG53" s="2" t="s">
        <v>42</v>
      </c>
      <c r="AH53" s="1"/>
      <c r="AI53" s="1" t="s">
        <v>42</v>
      </c>
      <c r="AJ53" s="1"/>
      <c r="AK53" s="2" t="s">
        <v>42</v>
      </c>
      <c r="AL53" s="1" t="s">
        <v>3507</v>
      </c>
    </row>
    <row r="54" spans="1:38" ht="20.100000000000001" customHeight="1" x14ac:dyDescent="0.2">
      <c r="A54" s="3">
        <f t="shared" si="0"/>
        <v>51</v>
      </c>
      <c r="B54" s="1" t="s">
        <v>2807</v>
      </c>
      <c r="C54" s="1" t="s">
        <v>2808</v>
      </c>
      <c r="D54" s="1" t="s">
        <v>38</v>
      </c>
      <c r="E54" s="1" t="s">
        <v>150</v>
      </c>
      <c r="F54" s="1"/>
      <c r="G54" s="1" t="s">
        <v>2809</v>
      </c>
      <c r="H54" s="2" t="s">
        <v>42</v>
      </c>
      <c r="I54" s="2" t="s">
        <v>42</v>
      </c>
      <c r="J54" s="7"/>
      <c r="K54" s="1" t="s">
        <v>42</v>
      </c>
      <c r="L54" s="1" t="s">
        <v>152</v>
      </c>
      <c r="M54" s="2">
        <v>43374</v>
      </c>
      <c r="N54" s="1">
        <v>2</v>
      </c>
      <c r="O54" s="2">
        <v>44660</v>
      </c>
      <c r="P54" s="1" t="s">
        <v>44</v>
      </c>
      <c r="Q54" s="1" t="s">
        <v>45</v>
      </c>
      <c r="R54" s="1" t="s">
        <v>42</v>
      </c>
      <c r="S54" s="1" t="s">
        <v>754</v>
      </c>
      <c r="T54" s="1">
        <v>4</v>
      </c>
      <c r="U54" s="2" t="s">
        <v>42</v>
      </c>
      <c r="V54" s="2">
        <v>44834</v>
      </c>
      <c r="W54" s="2" t="s">
        <v>42</v>
      </c>
      <c r="X54" s="1" t="s">
        <v>42</v>
      </c>
      <c r="Y54" s="2" t="s">
        <v>42</v>
      </c>
      <c r="Z54" s="1" t="s">
        <v>2810</v>
      </c>
      <c r="AA54" s="1" t="s">
        <v>42</v>
      </c>
      <c r="AB54" s="1" t="s">
        <v>2811</v>
      </c>
      <c r="AC54" s="1" t="s">
        <v>129</v>
      </c>
      <c r="AD54" s="1"/>
      <c r="AE54" s="1" t="s">
        <v>42</v>
      </c>
      <c r="AF54" s="1"/>
      <c r="AG54" s="2" t="s">
        <v>42</v>
      </c>
      <c r="AH54" s="1" t="s">
        <v>2812</v>
      </c>
      <c r="AI54" s="1" t="s">
        <v>42</v>
      </c>
      <c r="AJ54" s="1"/>
      <c r="AK54" s="2" t="s">
        <v>42</v>
      </c>
      <c r="AL54" s="1" t="s">
        <v>2806</v>
      </c>
    </row>
    <row r="55" spans="1:38" ht="20.100000000000001" customHeight="1" x14ac:dyDescent="0.2">
      <c r="A55" s="3">
        <f t="shared" si="0"/>
        <v>52</v>
      </c>
      <c r="B55" s="1" t="s">
        <v>2813</v>
      </c>
      <c r="C55" s="1" t="s">
        <v>2814</v>
      </c>
      <c r="D55" s="1" t="s">
        <v>38</v>
      </c>
      <c r="E55" s="1" t="s">
        <v>39</v>
      </c>
      <c r="F55" s="1"/>
      <c r="G55" s="1" t="s">
        <v>2815</v>
      </c>
      <c r="H55" s="2" t="s">
        <v>42</v>
      </c>
      <c r="I55" s="2" t="s">
        <v>42</v>
      </c>
      <c r="J55" s="7"/>
      <c r="K55" s="1" t="s">
        <v>42</v>
      </c>
      <c r="L55" s="1" t="s">
        <v>440</v>
      </c>
      <c r="M55" s="2">
        <v>43382</v>
      </c>
      <c r="N55" s="1">
        <v>2</v>
      </c>
      <c r="O55" s="2" t="s">
        <v>42</v>
      </c>
      <c r="P55" s="1" t="s">
        <v>44</v>
      </c>
      <c r="Q55" s="1" t="s">
        <v>466</v>
      </c>
      <c r="R55" s="1" t="s">
        <v>440</v>
      </c>
      <c r="S55" s="1" t="s">
        <v>440</v>
      </c>
      <c r="T55" s="1" t="s">
        <v>42</v>
      </c>
      <c r="U55" s="2" t="s">
        <v>42</v>
      </c>
      <c r="V55" s="2">
        <v>44842</v>
      </c>
      <c r="W55" s="2" t="s">
        <v>42</v>
      </c>
      <c r="X55" s="1" t="s">
        <v>42</v>
      </c>
      <c r="Y55" s="2" t="s">
        <v>42</v>
      </c>
      <c r="Z55" s="1" t="s">
        <v>2816</v>
      </c>
      <c r="AA55" s="1" t="s">
        <v>42</v>
      </c>
      <c r="AB55" s="1" t="s">
        <v>42</v>
      </c>
      <c r="AC55" s="1" t="s">
        <v>42</v>
      </c>
      <c r="AD55" s="1"/>
      <c r="AE55" s="1" t="s">
        <v>440</v>
      </c>
      <c r="AF55" s="1"/>
      <c r="AG55" s="2">
        <v>45010</v>
      </c>
      <c r="AH55" s="1" t="s">
        <v>2805</v>
      </c>
      <c r="AI55" s="1" t="s">
        <v>42</v>
      </c>
      <c r="AJ55" s="1"/>
      <c r="AK55" s="2" t="s">
        <v>42</v>
      </c>
      <c r="AL55" s="1" t="s">
        <v>2806</v>
      </c>
    </row>
    <row r="56" spans="1:38" ht="20.100000000000001" customHeight="1" x14ac:dyDescent="0.2">
      <c r="A56" s="3">
        <f t="shared" si="0"/>
        <v>53</v>
      </c>
      <c r="B56" s="1" t="s">
        <v>437</v>
      </c>
      <c r="C56" s="1" t="s">
        <v>438</v>
      </c>
      <c r="D56" s="1" t="s">
        <v>38</v>
      </c>
      <c r="E56" s="1" t="s">
        <v>69</v>
      </c>
      <c r="F56" s="1" t="s">
        <v>70</v>
      </c>
      <c r="G56" s="1" t="s">
        <v>439</v>
      </c>
      <c r="H56" s="2">
        <v>45518</v>
      </c>
      <c r="I56" s="2" t="s">
        <v>42</v>
      </c>
      <c r="J56" s="7"/>
      <c r="K56" s="1" t="s">
        <v>42</v>
      </c>
      <c r="L56" s="1" t="s">
        <v>440</v>
      </c>
      <c r="M56" s="2">
        <v>43382</v>
      </c>
      <c r="N56" s="1">
        <v>2</v>
      </c>
      <c r="O56" s="2" t="s">
        <v>42</v>
      </c>
      <c r="P56" s="1" t="s">
        <v>44</v>
      </c>
      <c r="Q56" s="1" t="s">
        <v>45</v>
      </c>
      <c r="R56" s="1" t="s">
        <v>440</v>
      </c>
      <c r="S56" s="1" t="s">
        <v>440</v>
      </c>
      <c r="T56" s="1" t="s">
        <v>42</v>
      </c>
      <c r="U56" s="2" t="s">
        <v>42</v>
      </c>
      <c r="V56" s="2" t="s">
        <v>42</v>
      </c>
      <c r="W56" s="2" t="s">
        <v>42</v>
      </c>
      <c r="X56" s="1" t="s">
        <v>42</v>
      </c>
      <c r="Y56" s="2" t="s">
        <v>42</v>
      </c>
      <c r="Z56" s="1" t="s">
        <v>441</v>
      </c>
      <c r="AA56" s="1" t="s">
        <v>442</v>
      </c>
      <c r="AB56" s="1" t="s">
        <v>42</v>
      </c>
      <c r="AC56" s="1" t="s">
        <v>42</v>
      </c>
      <c r="AD56" s="1">
        <v>7034664628</v>
      </c>
      <c r="AE56" s="1" t="s">
        <v>443</v>
      </c>
      <c r="AF56" s="1"/>
      <c r="AG56" s="2" t="s">
        <v>42</v>
      </c>
      <c r="AH56" s="1"/>
      <c r="AI56" s="1" t="s">
        <v>42</v>
      </c>
      <c r="AJ56" s="1"/>
      <c r="AK56" s="2" t="s">
        <v>42</v>
      </c>
      <c r="AL56" s="1" t="s">
        <v>3507</v>
      </c>
    </row>
    <row r="57" spans="1:38" ht="20.100000000000001" customHeight="1" x14ac:dyDescent="0.2">
      <c r="A57" s="3">
        <f t="shared" si="0"/>
        <v>54</v>
      </c>
      <c r="B57" s="1" t="s">
        <v>2817</v>
      </c>
      <c r="C57" s="1" t="s">
        <v>2818</v>
      </c>
      <c r="D57" s="1" t="s">
        <v>121</v>
      </c>
      <c r="E57" s="1" t="s">
        <v>39</v>
      </c>
      <c r="F57" s="1" t="s">
        <v>40</v>
      </c>
      <c r="G57" s="1" t="s">
        <v>2819</v>
      </c>
      <c r="H57" s="2" t="s">
        <v>42</v>
      </c>
      <c r="I57" s="2">
        <v>34864</v>
      </c>
      <c r="J57" s="7">
        <f t="shared" ca="1" si="1"/>
        <v>28.394520547945206</v>
      </c>
      <c r="K57" s="1" t="s">
        <v>211</v>
      </c>
      <c r="L57" s="1" t="s">
        <v>775</v>
      </c>
      <c r="M57" s="2">
        <v>43390</v>
      </c>
      <c r="N57" s="1">
        <v>2</v>
      </c>
      <c r="O57" s="2">
        <v>44977</v>
      </c>
      <c r="P57" s="1" t="s">
        <v>44</v>
      </c>
      <c r="Q57" s="1" t="s">
        <v>203</v>
      </c>
      <c r="R57" s="1" t="s">
        <v>60</v>
      </c>
      <c r="S57" s="1" t="s">
        <v>47</v>
      </c>
      <c r="T57" s="1">
        <v>8</v>
      </c>
      <c r="U57" s="2" t="s">
        <v>42</v>
      </c>
      <c r="V57" s="2">
        <v>44850</v>
      </c>
      <c r="W57" s="2">
        <v>45047</v>
      </c>
      <c r="X57" s="1" t="s">
        <v>42</v>
      </c>
      <c r="Y57" s="2" t="s">
        <v>42</v>
      </c>
      <c r="Z57" s="1" t="s">
        <v>2820</v>
      </c>
      <c r="AA57" s="1" t="s">
        <v>2821</v>
      </c>
      <c r="AB57" s="1" t="s">
        <v>2822</v>
      </c>
      <c r="AC57" s="1" t="s">
        <v>129</v>
      </c>
      <c r="AD57" s="1">
        <v>7014477116</v>
      </c>
      <c r="AE57" s="1" t="s">
        <v>65</v>
      </c>
      <c r="AF57" s="1"/>
      <c r="AG57" s="2">
        <v>45197</v>
      </c>
      <c r="AH57" s="1" t="s">
        <v>2812</v>
      </c>
      <c r="AI57" s="1" t="s">
        <v>42</v>
      </c>
      <c r="AJ57" s="1"/>
      <c r="AK57" s="2" t="s">
        <v>42</v>
      </c>
      <c r="AL57" s="1" t="s">
        <v>3507</v>
      </c>
    </row>
    <row r="58" spans="1:38" ht="20.100000000000001" customHeight="1" x14ac:dyDescent="0.2">
      <c r="A58" s="3">
        <f t="shared" si="0"/>
        <v>55</v>
      </c>
      <c r="B58" s="1" t="s">
        <v>444</v>
      </c>
      <c r="C58" s="1" t="s">
        <v>445</v>
      </c>
      <c r="D58" s="1" t="s">
        <v>38</v>
      </c>
      <c r="E58" s="1" t="s">
        <v>69</v>
      </c>
      <c r="F58" s="1" t="s">
        <v>70</v>
      </c>
      <c r="G58" s="1" t="s">
        <v>446</v>
      </c>
      <c r="H58" s="2">
        <v>45378</v>
      </c>
      <c r="I58" s="2">
        <v>29955</v>
      </c>
      <c r="J58" s="7">
        <f t="shared" ca="1" si="1"/>
        <v>41.843835616438355</v>
      </c>
      <c r="K58" s="1" t="s">
        <v>57</v>
      </c>
      <c r="L58" s="1" t="s">
        <v>58</v>
      </c>
      <c r="M58" s="2">
        <v>43390</v>
      </c>
      <c r="N58" s="1">
        <v>2</v>
      </c>
      <c r="O58" s="2">
        <v>44284</v>
      </c>
      <c r="P58" s="1" t="s">
        <v>165</v>
      </c>
      <c r="Q58" s="1" t="s">
        <v>166</v>
      </c>
      <c r="R58" s="1" t="s">
        <v>60</v>
      </c>
      <c r="S58" s="1" t="s">
        <v>47</v>
      </c>
      <c r="T58" s="1">
        <v>12</v>
      </c>
      <c r="U58" s="2" t="s">
        <v>42</v>
      </c>
      <c r="V58" s="2">
        <v>44850</v>
      </c>
      <c r="W58" s="2" t="s">
        <v>42</v>
      </c>
      <c r="X58" s="1" t="s">
        <v>447</v>
      </c>
      <c r="Y58" s="2">
        <v>46937</v>
      </c>
      <c r="Z58" s="1" t="s">
        <v>448</v>
      </c>
      <c r="AA58" s="1" t="s">
        <v>42</v>
      </c>
      <c r="AB58" s="1" t="s">
        <v>449</v>
      </c>
      <c r="AC58" s="1" t="s">
        <v>50</v>
      </c>
      <c r="AD58" s="1">
        <v>7014477116</v>
      </c>
      <c r="AE58" s="1" t="s">
        <v>65</v>
      </c>
      <c r="AF58" s="1" t="s">
        <v>66</v>
      </c>
      <c r="AG58" s="2" t="s">
        <v>42</v>
      </c>
      <c r="AH58" s="1"/>
      <c r="AI58" s="1" t="s">
        <v>42</v>
      </c>
      <c r="AJ58" s="1"/>
      <c r="AK58" s="2" t="s">
        <v>42</v>
      </c>
      <c r="AL58" s="1" t="s">
        <v>3507</v>
      </c>
    </row>
    <row r="59" spans="1:38" ht="20.100000000000001" customHeight="1" x14ac:dyDescent="0.2">
      <c r="A59" s="3">
        <f t="shared" si="0"/>
        <v>56</v>
      </c>
      <c r="B59" s="1" t="s">
        <v>450</v>
      </c>
      <c r="C59" s="1" t="s">
        <v>451</v>
      </c>
      <c r="D59" s="1" t="s">
        <v>38</v>
      </c>
      <c r="E59" s="1" t="s">
        <v>69</v>
      </c>
      <c r="F59" s="1" t="s">
        <v>70</v>
      </c>
      <c r="G59" s="1" t="s">
        <v>452</v>
      </c>
      <c r="H59" s="2">
        <v>45360</v>
      </c>
      <c r="I59" s="2">
        <v>32143</v>
      </c>
      <c r="J59" s="7">
        <f t="shared" ca="1" si="1"/>
        <v>35.849315068493148</v>
      </c>
      <c r="K59" s="1" t="s">
        <v>80</v>
      </c>
      <c r="L59" s="1" t="s">
        <v>72</v>
      </c>
      <c r="M59" s="2">
        <v>43391</v>
      </c>
      <c r="N59" s="1">
        <v>2</v>
      </c>
      <c r="O59" s="2">
        <v>41750</v>
      </c>
      <c r="P59" s="1" t="s">
        <v>44</v>
      </c>
      <c r="Q59" s="1" t="s">
        <v>66</v>
      </c>
      <c r="R59" s="1" t="s">
        <v>60</v>
      </c>
      <c r="S59" s="1" t="s">
        <v>47</v>
      </c>
      <c r="T59" s="1">
        <v>8</v>
      </c>
      <c r="U59" s="2" t="s">
        <v>42</v>
      </c>
      <c r="V59" s="2">
        <v>44851</v>
      </c>
      <c r="W59" s="2" t="s">
        <v>42</v>
      </c>
      <c r="X59" s="1" t="s">
        <v>453</v>
      </c>
      <c r="Y59" s="2">
        <v>46510</v>
      </c>
      <c r="Z59" s="1" t="s">
        <v>454</v>
      </c>
      <c r="AA59" s="1" t="s">
        <v>455</v>
      </c>
      <c r="AB59" s="1" t="s">
        <v>456</v>
      </c>
      <c r="AC59" s="1" t="s">
        <v>50</v>
      </c>
      <c r="AD59" s="1">
        <v>7014477116</v>
      </c>
      <c r="AE59" s="1" t="s">
        <v>65</v>
      </c>
      <c r="AF59" s="1" t="s">
        <v>66</v>
      </c>
      <c r="AG59" s="2" t="s">
        <v>42</v>
      </c>
      <c r="AH59" s="1"/>
      <c r="AI59" s="1" t="s">
        <v>42</v>
      </c>
      <c r="AJ59" s="1"/>
      <c r="AK59" s="2" t="s">
        <v>42</v>
      </c>
      <c r="AL59" s="1" t="s">
        <v>3507</v>
      </c>
    </row>
    <row r="60" spans="1:38" ht="20.100000000000001" customHeight="1" x14ac:dyDescent="0.2">
      <c r="A60" s="3">
        <f t="shared" si="0"/>
        <v>57</v>
      </c>
      <c r="B60" s="1" t="s">
        <v>457</v>
      </c>
      <c r="C60" s="1" t="s">
        <v>458</v>
      </c>
      <c r="D60" s="1" t="s">
        <v>38</v>
      </c>
      <c r="E60" s="1" t="s">
        <v>69</v>
      </c>
      <c r="F60" s="1" t="s">
        <v>70</v>
      </c>
      <c r="G60" s="1" t="s">
        <v>459</v>
      </c>
      <c r="H60" s="2">
        <v>45322</v>
      </c>
      <c r="I60" s="2">
        <v>28126</v>
      </c>
      <c r="J60" s="7">
        <f t="shared" ca="1" si="1"/>
        <v>46.854794520547948</v>
      </c>
      <c r="K60" s="1" t="s">
        <v>240</v>
      </c>
      <c r="L60" s="1" t="s">
        <v>186</v>
      </c>
      <c r="M60" s="2">
        <v>43399</v>
      </c>
      <c r="N60" s="1">
        <v>2</v>
      </c>
      <c r="O60" s="2">
        <v>44256</v>
      </c>
      <c r="P60" s="1" t="s">
        <v>44</v>
      </c>
      <c r="Q60" s="1" t="s">
        <v>66</v>
      </c>
      <c r="R60" s="1" t="s">
        <v>60</v>
      </c>
      <c r="S60" s="1" t="s">
        <v>47</v>
      </c>
      <c r="T60" s="1">
        <v>8</v>
      </c>
      <c r="U60" s="2" t="s">
        <v>42</v>
      </c>
      <c r="V60" s="2">
        <v>44859</v>
      </c>
      <c r="W60" s="2" t="s">
        <v>42</v>
      </c>
      <c r="X60" s="1" t="s">
        <v>460</v>
      </c>
      <c r="Y60" s="2">
        <v>46378</v>
      </c>
      <c r="Z60" s="1" t="s">
        <v>461</v>
      </c>
      <c r="AA60" s="1" t="s">
        <v>42</v>
      </c>
      <c r="AB60" s="1" t="s">
        <v>462</v>
      </c>
      <c r="AC60" s="1" t="s">
        <v>50</v>
      </c>
      <c r="AD60" s="1">
        <v>7014477116</v>
      </c>
      <c r="AE60" s="1" t="s">
        <v>65</v>
      </c>
      <c r="AF60" s="1" t="s">
        <v>66</v>
      </c>
      <c r="AG60" s="2" t="s">
        <v>42</v>
      </c>
      <c r="AH60" s="1"/>
      <c r="AI60" s="1" t="s">
        <v>42</v>
      </c>
      <c r="AJ60" s="1"/>
      <c r="AK60" s="2" t="s">
        <v>42</v>
      </c>
      <c r="AL60" s="1" t="s">
        <v>3507</v>
      </c>
    </row>
    <row r="61" spans="1:38" ht="20.100000000000001" customHeight="1" x14ac:dyDescent="0.2">
      <c r="A61" s="3">
        <f t="shared" si="0"/>
        <v>58</v>
      </c>
      <c r="B61" s="1" t="s">
        <v>463</v>
      </c>
      <c r="C61" s="1" t="s">
        <v>464</v>
      </c>
      <c r="D61" s="1" t="s">
        <v>38</v>
      </c>
      <c r="E61" s="1" t="s">
        <v>54</v>
      </c>
      <c r="F61" s="1" t="s">
        <v>55</v>
      </c>
      <c r="G61" s="1" t="s">
        <v>465</v>
      </c>
      <c r="H61" s="2">
        <v>45399</v>
      </c>
      <c r="I61" s="2">
        <v>34042</v>
      </c>
      <c r="J61" s="7">
        <f t="shared" ca="1" si="1"/>
        <v>30.646575342465752</v>
      </c>
      <c r="K61" s="1" t="s">
        <v>134</v>
      </c>
      <c r="L61" s="1" t="s">
        <v>134</v>
      </c>
      <c r="M61" s="2">
        <v>43435</v>
      </c>
      <c r="N61" s="1">
        <v>2</v>
      </c>
      <c r="O61" s="2">
        <v>44526</v>
      </c>
      <c r="P61" s="1" t="s">
        <v>44</v>
      </c>
      <c r="Q61" s="1" t="s">
        <v>466</v>
      </c>
      <c r="R61" s="1" t="s">
        <v>60</v>
      </c>
      <c r="S61" s="1" t="s">
        <v>47</v>
      </c>
      <c r="T61" s="1">
        <v>12</v>
      </c>
      <c r="U61" s="2" t="s">
        <v>42</v>
      </c>
      <c r="V61" s="2">
        <v>44895</v>
      </c>
      <c r="W61" s="2" t="s">
        <v>42</v>
      </c>
      <c r="X61" s="1" t="s">
        <v>467</v>
      </c>
      <c r="Y61" s="2">
        <v>45949</v>
      </c>
      <c r="Z61" s="1" t="s">
        <v>468</v>
      </c>
      <c r="AA61" s="1" t="s">
        <v>469</v>
      </c>
      <c r="AB61" s="1" t="s">
        <v>470</v>
      </c>
      <c r="AC61" s="1" t="s">
        <v>129</v>
      </c>
      <c r="AD61" s="1">
        <v>7004853987</v>
      </c>
      <c r="AE61" s="1" t="s">
        <v>471</v>
      </c>
      <c r="AF61" s="1" t="s">
        <v>66</v>
      </c>
      <c r="AG61" s="2" t="s">
        <v>42</v>
      </c>
      <c r="AH61" s="1"/>
      <c r="AI61" s="1" t="s">
        <v>42</v>
      </c>
      <c r="AJ61" s="1"/>
      <c r="AK61" s="2" t="s">
        <v>42</v>
      </c>
      <c r="AL61" s="1" t="s">
        <v>3507</v>
      </c>
    </row>
    <row r="62" spans="1:38" ht="20.100000000000001" customHeight="1" x14ac:dyDescent="0.2">
      <c r="A62" s="3">
        <f t="shared" si="0"/>
        <v>59</v>
      </c>
      <c r="B62" s="1" t="s">
        <v>472</v>
      </c>
      <c r="C62" s="1" t="s">
        <v>473</v>
      </c>
      <c r="D62" s="1" t="s">
        <v>38</v>
      </c>
      <c r="E62" s="1" t="s">
        <v>54</v>
      </c>
      <c r="F62" s="1" t="s">
        <v>55</v>
      </c>
      <c r="G62" s="1" t="s">
        <v>474</v>
      </c>
      <c r="H62" s="2">
        <v>45320</v>
      </c>
      <c r="I62" s="2">
        <v>29256</v>
      </c>
      <c r="J62" s="7">
        <f t="shared" ca="1" si="1"/>
        <v>43.758904109589039</v>
      </c>
      <c r="K62" s="1" t="s">
        <v>134</v>
      </c>
      <c r="L62" s="1" t="s">
        <v>134</v>
      </c>
      <c r="M62" s="2">
        <v>43435</v>
      </c>
      <c r="N62" s="1">
        <v>2</v>
      </c>
      <c r="O62" s="2">
        <v>44478</v>
      </c>
      <c r="P62" s="1" t="s">
        <v>44</v>
      </c>
      <c r="Q62" s="1" t="s">
        <v>475</v>
      </c>
      <c r="R62" s="1" t="s">
        <v>60</v>
      </c>
      <c r="S62" s="1" t="s">
        <v>47</v>
      </c>
      <c r="T62" s="1">
        <v>12</v>
      </c>
      <c r="U62" s="2" t="s">
        <v>42</v>
      </c>
      <c r="V62" s="2">
        <v>44895</v>
      </c>
      <c r="W62" s="2" t="s">
        <v>42</v>
      </c>
      <c r="X62" s="1" t="s">
        <v>476</v>
      </c>
      <c r="Y62" s="2">
        <v>45004</v>
      </c>
      <c r="Z62" s="1" t="s">
        <v>477</v>
      </c>
      <c r="AA62" s="1" t="s">
        <v>42</v>
      </c>
      <c r="AB62" s="1" t="s">
        <v>478</v>
      </c>
      <c r="AC62" s="1" t="s">
        <v>50</v>
      </c>
      <c r="AD62" s="1">
        <v>7004853987</v>
      </c>
      <c r="AE62" s="1" t="s">
        <v>471</v>
      </c>
      <c r="AF62" s="1" t="s">
        <v>66</v>
      </c>
      <c r="AG62" s="2" t="s">
        <v>42</v>
      </c>
      <c r="AH62" s="1"/>
      <c r="AI62" s="1" t="s">
        <v>42</v>
      </c>
      <c r="AJ62" s="1"/>
      <c r="AK62" s="2" t="s">
        <v>42</v>
      </c>
      <c r="AL62" s="1" t="s">
        <v>3507</v>
      </c>
    </row>
    <row r="63" spans="1:38" ht="20.100000000000001" customHeight="1" x14ac:dyDescent="0.2">
      <c r="A63" s="3">
        <f t="shared" si="0"/>
        <v>60</v>
      </c>
      <c r="B63" s="1" t="s">
        <v>479</v>
      </c>
      <c r="C63" s="1" t="s">
        <v>480</v>
      </c>
      <c r="D63" s="1" t="s">
        <v>38</v>
      </c>
      <c r="E63" s="1" t="s">
        <v>54</v>
      </c>
      <c r="F63" s="1" t="s">
        <v>55</v>
      </c>
      <c r="G63" s="1" t="s">
        <v>481</v>
      </c>
      <c r="H63" s="2">
        <v>45285</v>
      </c>
      <c r="I63" s="2">
        <v>28217</v>
      </c>
      <c r="J63" s="7">
        <f t="shared" ca="1" si="1"/>
        <v>46.605479452054794</v>
      </c>
      <c r="K63" s="1" t="s">
        <v>482</v>
      </c>
      <c r="L63" s="1" t="s">
        <v>134</v>
      </c>
      <c r="M63" s="2">
        <v>43435</v>
      </c>
      <c r="N63" s="1">
        <v>2</v>
      </c>
      <c r="O63" s="2">
        <v>44491</v>
      </c>
      <c r="P63" s="1" t="s">
        <v>44</v>
      </c>
      <c r="Q63" s="1" t="s">
        <v>466</v>
      </c>
      <c r="R63" s="1" t="s">
        <v>60</v>
      </c>
      <c r="S63" s="1" t="s">
        <v>47</v>
      </c>
      <c r="T63" s="1">
        <v>12</v>
      </c>
      <c r="U63" s="2" t="s">
        <v>42</v>
      </c>
      <c r="V63" s="2">
        <v>44895</v>
      </c>
      <c r="W63" s="2" t="s">
        <v>42</v>
      </c>
      <c r="X63" s="1" t="s">
        <v>483</v>
      </c>
      <c r="Y63" s="2">
        <v>46061</v>
      </c>
      <c r="Z63" s="1" t="s">
        <v>484</v>
      </c>
      <c r="AA63" s="1" t="s">
        <v>485</v>
      </c>
      <c r="AB63" s="1" t="s">
        <v>486</v>
      </c>
      <c r="AC63" s="1" t="s">
        <v>129</v>
      </c>
      <c r="AD63" s="1">
        <v>7004853987</v>
      </c>
      <c r="AE63" s="1" t="s">
        <v>471</v>
      </c>
      <c r="AF63" s="1" t="s">
        <v>66</v>
      </c>
      <c r="AG63" s="2" t="s">
        <v>42</v>
      </c>
      <c r="AH63" s="1"/>
      <c r="AI63" s="1" t="s">
        <v>42</v>
      </c>
      <c r="AJ63" s="1"/>
      <c r="AK63" s="2" t="s">
        <v>42</v>
      </c>
      <c r="AL63" s="1" t="s">
        <v>3507</v>
      </c>
    </row>
    <row r="64" spans="1:38" ht="20.100000000000001" customHeight="1" x14ac:dyDescent="0.2">
      <c r="A64" s="3">
        <f t="shared" si="0"/>
        <v>61</v>
      </c>
      <c r="B64" s="1" t="s">
        <v>487</v>
      </c>
      <c r="C64" s="1" t="s">
        <v>488</v>
      </c>
      <c r="D64" s="1" t="s">
        <v>38</v>
      </c>
      <c r="E64" s="1" t="s">
        <v>69</v>
      </c>
      <c r="F64" s="1" t="s">
        <v>70</v>
      </c>
      <c r="G64" s="1" t="s">
        <v>489</v>
      </c>
      <c r="H64" s="2">
        <v>45358</v>
      </c>
      <c r="I64" s="2">
        <v>35008</v>
      </c>
      <c r="J64" s="7">
        <f t="shared" ca="1" si="1"/>
        <v>28</v>
      </c>
      <c r="K64" s="1" t="s">
        <v>482</v>
      </c>
      <c r="L64" s="1" t="s">
        <v>134</v>
      </c>
      <c r="M64" s="2">
        <v>43435</v>
      </c>
      <c r="N64" s="1">
        <v>2</v>
      </c>
      <c r="O64" s="2">
        <v>44463</v>
      </c>
      <c r="P64" s="1" t="s">
        <v>44</v>
      </c>
      <c r="Q64" s="1" t="s">
        <v>466</v>
      </c>
      <c r="R64" s="1" t="s">
        <v>60</v>
      </c>
      <c r="S64" s="1" t="s">
        <v>47</v>
      </c>
      <c r="T64" s="1">
        <v>12</v>
      </c>
      <c r="U64" s="2" t="s">
        <v>42</v>
      </c>
      <c r="V64" s="2">
        <v>44895</v>
      </c>
      <c r="W64" s="2" t="s">
        <v>42</v>
      </c>
      <c r="X64" s="1" t="s">
        <v>490</v>
      </c>
      <c r="Y64" s="2">
        <v>45209</v>
      </c>
      <c r="Z64" s="1" t="s">
        <v>491</v>
      </c>
      <c r="AA64" s="1" t="s">
        <v>492</v>
      </c>
      <c r="AB64" s="1" t="s">
        <v>493</v>
      </c>
      <c r="AC64" s="1" t="s">
        <v>129</v>
      </c>
      <c r="AD64" s="1">
        <v>7004853987</v>
      </c>
      <c r="AE64" s="1" t="s">
        <v>471</v>
      </c>
      <c r="AF64" s="1" t="s">
        <v>66</v>
      </c>
      <c r="AG64" s="2" t="s">
        <v>42</v>
      </c>
      <c r="AH64" s="1"/>
      <c r="AI64" s="1" t="s">
        <v>42</v>
      </c>
      <c r="AJ64" s="1"/>
      <c r="AK64" s="2" t="s">
        <v>42</v>
      </c>
      <c r="AL64" s="1" t="s">
        <v>3507</v>
      </c>
    </row>
    <row r="65" spans="1:38" ht="20.100000000000001" customHeight="1" x14ac:dyDescent="0.2">
      <c r="A65" s="3">
        <f t="shared" si="0"/>
        <v>62</v>
      </c>
      <c r="B65" s="1" t="s">
        <v>494</v>
      </c>
      <c r="C65" s="1" t="s">
        <v>495</v>
      </c>
      <c r="D65" s="1" t="s">
        <v>38</v>
      </c>
      <c r="E65" s="1" t="s">
        <v>69</v>
      </c>
      <c r="F65" s="1" t="s">
        <v>70</v>
      </c>
      <c r="G65" s="1" t="s">
        <v>496</v>
      </c>
      <c r="H65" s="2">
        <v>45312</v>
      </c>
      <c r="I65" s="2">
        <v>30317</v>
      </c>
      <c r="J65" s="7">
        <f t="shared" ca="1" si="1"/>
        <v>40.852054794520548</v>
      </c>
      <c r="K65" s="1" t="s">
        <v>134</v>
      </c>
      <c r="L65" s="1" t="s">
        <v>58</v>
      </c>
      <c r="M65" s="2">
        <v>43435</v>
      </c>
      <c r="N65" s="1">
        <v>2</v>
      </c>
      <c r="O65" s="2">
        <v>44212</v>
      </c>
      <c r="P65" s="1" t="s">
        <v>44</v>
      </c>
      <c r="Q65" s="1" t="s">
        <v>475</v>
      </c>
      <c r="R65" s="1" t="s">
        <v>60</v>
      </c>
      <c r="S65" s="1" t="s">
        <v>47</v>
      </c>
      <c r="T65" s="1">
        <v>12</v>
      </c>
      <c r="U65" s="2" t="s">
        <v>42</v>
      </c>
      <c r="V65" s="2">
        <v>44895</v>
      </c>
      <c r="W65" s="2" t="s">
        <v>42</v>
      </c>
      <c r="X65" s="1" t="s">
        <v>497</v>
      </c>
      <c r="Y65" s="2">
        <v>46557</v>
      </c>
      <c r="Z65" s="1" t="s">
        <v>498</v>
      </c>
      <c r="AA65" s="1" t="s">
        <v>499</v>
      </c>
      <c r="AB65" s="1" t="s">
        <v>500</v>
      </c>
      <c r="AC65" s="1" t="s">
        <v>129</v>
      </c>
      <c r="AD65" s="1">
        <v>7004853987</v>
      </c>
      <c r="AE65" s="1" t="s">
        <v>471</v>
      </c>
      <c r="AF65" s="1" t="s">
        <v>66</v>
      </c>
      <c r="AG65" s="2" t="s">
        <v>42</v>
      </c>
      <c r="AH65" s="1" t="s">
        <v>341</v>
      </c>
      <c r="AI65" s="1" t="s">
        <v>42</v>
      </c>
      <c r="AJ65" s="1"/>
      <c r="AK65" s="2" t="s">
        <v>42</v>
      </c>
      <c r="AL65" s="1" t="s">
        <v>3507</v>
      </c>
    </row>
    <row r="66" spans="1:38" ht="20.100000000000001" customHeight="1" x14ac:dyDescent="0.2">
      <c r="A66" s="3">
        <f t="shared" si="0"/>
        <v>63</v>
      </c>
      <c r="B66" s="1" t="s">
        <v>501</v>
      </c>
      <c r="C66" s="1" t="s">
        <v>502</v>
      </c>
      <c r="D66" s="1" t="s">
        <v>38</v>
      </c>
      <c r="E66" s="1" t="s">
        <v>69</v>
      </c>
      <c r="F66" s="1" t="s">
        <v>70</v>
      </c>
      <c r="G66" s="1" t="s">
        <v>503</v>
      </c>
      <c r="H66" s="2">
        <v>45300</v>
      </c>
      <c r="I66" s="2">
        <v>33604</v>
      </c>
      <c r="J66" s="7">
        <f t="shared" ca="1" si="1"/>
        <v>31.846575342465755</v>
      </c>
      <c r="K66" s="1" t="s">
        <v>57</v>
      </c>
      <c r="L66" s="1" t="s">
        <v>58</v>
      </c>
      <c r="M66" s="2">
        <v>43279</v>
      </c>
      <c r="N66" s="1">
        <v>2</v>
      </c>
      <c r="O66" s="2" t="s">
        <v>42</v>
      </c>
      <c r="P66" s="1" t="s">
        <v>335</v>
      </c>
      <c r="Q66" s="1" t="s">
        <v>45</v>
      </c>
      <c r="R66" s="1" t="s">
        <v>504</v>
      </c>
      <c r="S66" s="1" t="s">
        <v>47</v>
      </c>
      <c r="T66" s="1">
        <v>12</v>
      </c>
      <c r="U66" s="2" t="s">
        <v>42</v>
      </c>
      <c r="V66" s="2">
        <v>45104</v>
      </c>
      <c r="W66" s="2" t="s">
        <v>42</v>
      </c>
      <c r="X66" s="1" t="s">
        <v>505</v>
      </c>
      <c r="Y66" s="2">
        <v>46882</v>
      </c>
      <c r="Z66" s="1" t="s">
        <v>506</v>
      </c>
      <c r="AA66" s="1" t="s">
        <v>42</v>
      </c>
      <c r="AB66" s="1" t="s">
        <v>507</v>
      </c>
      <c r="AC66" s="1" t="s">
        <v>129</v>
      </c>
      <c r="AD66" s="1">
        <v>7004853987</v>
      </c>
      <c r="AE66" s="1" t="s">
        <v>471</v>
      </c>
      <c r="AF66" s="1"/>
      <c r="AG66" s="2" t="s">
        <v>42</v>
      </c>
      <c r="AH66" s="1"/>
      <c r="AI66" s="1" t="s">
        <v>42</v>
      </c>
      <c r="AJ66" s="1"/>
      <c r="AK66" s="2" t="s">
        <v>42</v>
      </c>
      <c r="AL66" s="1" t="s">
        <v>3507</v>
      </c>
    </row>
    <row r="67" spans="1:38" ht="20.100000000000001" customHeight="1" x14ac:dyDescent="0.2">
      <c r="A67" s="3">
        <f t="shared" si="0"/>
        <v>64</v>
      </c>
      <c r="B67" s="1" t="s">
        <v>508</v>
      </c>
      <c r="C67" s="1" t="s">
        <v>509</v>
      </c>
      <c r="D67" s="1" t="s">
        <v>38</v>
      </c>
      <c r="E67" s="1" t="s">
        <v>69</v>
      </c>
      <c r="F67" s="1" t="s">
        <v>70</v>
      </c>
      <c r="G67" s="1" t="s">
        <v>510</v>
      </c>
      <c r="H67" s="2">
        <v>45326</v>
      </c>
      <c r="I67" s="2">
        <v>26323</v>
      </c>
      <c r="J67" s="7">
        <f t="shared" ca="1" si="1"/>
        <v>51.794520547945204</v>
      </c>
      <c r="K67" s="1" t="s">
        <v>240</v>
      </c>
      <c r="L67" s="1" t="s">
        <v>186</v>
      </c>
      <c r="M67" s="2">
        <v>43405</v>
      </c>
      <c r="N67" s="1">
        <v>2</v>
      </c>
      <c r="O67" s="2">
        <v>44263</v>
      </c>
      <c r="P67" s="1" t="s">
        <v>44</v>
      </c>
      <c r="Q67" s="1" t="s">
        <v>66</v>
      </c>
      <c r="R67" s="1" t="s">
        <v>60</v>
      </c>
      <c r="S67" s="1" t="s">
        <v>47</v>
      </c>
      <c r="T67" s="1">
        <v>8</v>
      </c>
      <c r="U67" s="2" t="s">
        <v>42</v>
      </c>
      <c r="V67" s="2">
        <v>44865</v>
      </c>
      <c r="W67" s="2" t="s">
        <v>42</v>
      </c>
      <c r="X67" s="1" t="s">
        <v>511</v>
      </c>
      <c r="Y67" s="2">
        <v>46910</v>
      </c>
      <c r="Z67" s="1" t="s">
        <v>512</v>
      </c>
      <c r="AA67" s="1" t="s">
        <v>42</v>
      </c>
      <c r="AB67" s="1" t="s">
        <v>513</v>
      </c>
      <c r="AC67" s="1" t="s">
        <v>50</v>
      </c>
      <c r="AD67" s="1">
        <v>7014477116</v>
      </c>
      <c r="AE67" s="1" t="s">
        <v>65</v>
      </c>
      <c r="AF67" s="1" t="s">
        <v>66</v>
      </c>
      <c r="AG67" s="2" t="s">
        <v>42</v>
      </c>
      <c r="AH67" s="1"/>
      <c r="AI67" s="1" t="s">
        <v>42</v>
      </c>
      <c r="AJ67" s="1"/>
      <c r="AK67" s="2" t="s">
        <v>42</v>
      </c>
      <c r="AL67" s="1" t="s">
        <v>514</v>
      </c>
    </row>
    <row r="68" spans="1:38" ht="20.100000000000001" customHeight="1" x14ac:dyDescent="0.2">
      <c r="A68" s="3">
        <f t="shared" ref="A68:A131" si="2">ROW()-3</f>
        <v>65</v>
      </c>
      <c r="B68" s="1" t="s">
        <v>515</v>
      </c>
      <c r="C68" s="1" t="s">
        <v>516</v>
      </c>
      <c r="D68" s="1" t="s">
        <v>38</v>
      </c>
      <c r="E68" s="1" t="s">
        <v>54</v>
      </c>
      <c r="F68" s="1" t="s">
        <v>55</v>
      </c>
      <c r="G68" s="1" t="s">
        <v>517</v>
      </c>
      <c r="H68" s="2">
        <v>45265</v>
      </c>
      <c r="I68" s="2">
        <v>32670</v>
      </c>
      <c r="J68" s="7">
        <f t="shared" ca="1" si="1"/>
        <v>34.405479452054792</v>
      </c>
      <c r="K68" s="1" t="s">
        <v>220</v>
      </c>
      <c r="L68" s="1" t="s">
        <v>72</v>
      </c>
      <c r="M68" s="2">
        <v>43282</v>
      </c>
      <c r="N68" s="1">
        <v>2</v>
      </c>
      <c r="O68" s="2">
        <v>44705</v>
      </c>
      <c r="P68" s="1" t="s">
        <v>44</v>
      </c>
      <c r="Q68" s="1" t="s">
        <v>154</v>
      </c>
      <c r="R68" s="1" t="s">
        <v>73</v>
      </c>
      <c r="S68" s="1" t="s">
        <v>47</v>
      </c>
      <c r="T68" s="1">
        <v>8</v>
      </c>
      <c r="U68" s="2" t="s">
        <v>42</v>
      </c>
      <c r="V68" s="2">
        <v>45107</v>
      </c>
      <c r="W68" s="2">
        <v>45014</v>
      </c>
      <c r="X68" s="1" t="s">
        <v>518</v>
      </c>
      <c r="Y68" s="2">
        <v>46308</v>
      </c>
      <c r="Z68" s="1" t="s">
        <v>519</v>
      </c>
      <c r="AA68" s="1" t="s">
        <v>520</v>
      </c>
      <c r="AB68" s="1" t="s">
        <v>521</v>
      </c>
      <c r="AC68" s="1" t="s">
        <v>522</v>
      </c>
      <c r="AD68" s="1">
        <v>7009073037</v>
      </c>
      <c r="AE68" s="1" t="s">
        <v>103</v>
      </c>
      <c r="AF68" s="1"/>
      <c r="AG68" s="2" t="s">
        <v>42</v>
      </c>
      <c r="AH68" s="1"/>
      <c r="AI68" s="1" t="s">
        <v>42</v>
      </c>
      <c r="AJ68" s="1"/>
      <c r="AK68" s="2" t="s">
        <v>42</v>
      </c>
      <c r="AL68" s="1" t="s">
        <v>3507</v>
      </c>
    </row>
    <row r="69" spans="1:38" ht="20.100000000000001" customHeight="1" x14ac:dyDescent="0.2">
      <c r="A69" s="3">
        <f t="shared" si="2"/>
        <v>66</v>
      </c>
      <c r="B69" s="1" t="s">
        <v>523</v>
      </c>
      <c r="C69" s="1" t="s">
        <v>524</v>
      </c>
      <c r="D69" s="1" t="s">
        <v>38</v>
      </c>
      <c r="E69" s="1" t="s">
        <v>69</v>
      </c>
      <c r="F69" s="1" t="s">
        <v>70</v>
      </c>
      <c r="G69" s="1" t="s">
        <v>525</v>
      </c>
      <c r="H69" s="2">
        <v>45359</v>
      </c>
      <c r="I69" s="2">
        <v>34559</v>
      </c>
      <c r="J69" s="7">
        <f t="shared" ref="J69:J131" ca="1" si="3">($H$1-I69)/365</f>
        <v>29.230136986301371</v>
      </c>
      <c r="K69" s="1" t="s">
        <v>57</v>
      </c>
      <c r="L69" s="1" t="s">
        <v>58</v>
      </c>
      <c r="M69" s="2">
        <v>43474</v>
      </c>
      <c r="N69" s="1">
        <v>2</v>
      </c>
      <c r="O69" s="2">
        <v>44476</v>
      </c>
      <c r="P69" s="1" t="s">
        <v>44</v>
      </c>
      <c r="Q69" s="1" t="s">
        <v>306</v>
      </c>
      <c r="R69" s="1" t="s">
        <v>60</v>
      </c>
      <c r="S69" s="1" t="s">
        <v>47</v>
      </c>
      <c r="T69" s="1">
        <v>12</v>
      </c>
      <c r="U69" s="2" t="s">
        <v>42</v>
      </c>
      <c r="V69" s="2">
        <v>45085</v>
      </c>
      <c r="W69" s="2">
        <v>44863</v>
      </c>
      <c r="X69" s="1" t="s">
        <v>526</v>
      </c>
      <c r="Y69" s="2">
        <v>45391</v>
      </c>
      <c r="Z69" s="1" t="s">
        <v>527</v>
      </c>
      <c r="AA69" s="1" t="s">
        <v>528</v>
      </c>
      <c r="AB69" s="1" t="s">
        <v>529</v>
      </c>
      <c r="AC69" s="1" t="s">
        <v>50</v>
      </c>
      <c r="AD69" s="1">
        <v>7015572543</v>
      </c>
      <c r="AE69" s="1" t="s">
        <v>3506</v>
      </c>
      <c r="AF69" s="1" t="s">
        <v>66</v>
      </c>
      <c r="AG69" s="2" t="s">
        <v>42</v>
      </c>
      <c r="AH69" s="1"/>
      <c r="AI69" s="1" t="s">
        <v>42</v>
      </c>
      <c r="AJ69" s="1"/>
      <c r="AK69" s="2" t="s">
        <v>42</v>
      </c>
      <c r="AL69" s="1" t="s">
        <v>3507</v>
      </c>
    </row>
    <row r="70" spans="1:38" ht="20.100000000000001" customHeight="1" x14ac:dyDescent="0.2">
      <c r="A70" s="3">
        <f t="shared" si="2"/>
        <v>67</v>
      </c>
      <c r="B70" s="1" t="s">
        <v>530</v>
      </c>
      <c r="C70" s="1" t="s">
        <v>531</v>
      </c>
      <c r="D70" s="1" t="s">
        <v>38</v>
      </c>
      <c r="E70" s="1" t="s">
        <v>69</v>
      </c>
      <c r="F70" s="1" t="s">
        <v>70</v>
      </c>
      <c r="G70" s="1" t="s">
        <v>532</v>
      </c>
      <c r="H70" s="2">
        <v>45353</v>
      </c>
      <c r="I70" s="2">
        <v>34101</v>
      </c>
      <c r="J70" s="7">
        <f t="shared" ca="1" si="3"/>
        <v>30.484931506849314</v>
      </c>
      <c r="K70" s="1" t="s">
        <v>133</v>
      </c>
      <c r="L70" s="1" t="s">
        <v>134</v>
      </c>
      <c r="M70" s="2">
        <v>43476</v>
      </c>
      <c r="N70" s="1">
        <v>2</v>
      </c>
      <c r="O70" s="2">
        <v>44510</v>
      </c>
      <c r="P70" s="1" t="s">
        <v>44</v>
      </c>
      <c r="Q70" s="1" t="s">
        <v>66</v>
      </c>
      <c r="R70" s="1" t="s">
        <v>60</v>
      </c>
      <c r="S70" s="1" t="s">
        <v>47</v>
      </c>
      <c r="T70" s="1">
        <v>8</v>
      </c>
      <c r="U70" s="2" t="s">
        <v>42</v>
      </c>
      <c r="V70" s="2">
        <v>45087</v>
      </c>
      <c r="W70" s="2" t="s">
        <v>42</v>
      </c>
      <c r="X70" s="1" t="s">
        <v>533</v>
      </c>
      <c r="Y70" s="2">
        <v>45600</v>
      </c>
      <c r="Z70" s="1" t="s">
        <v>534</v>
      </c>
      <c r="AA70" s="1" t="s">
        <v>42</v>
      </c>
      <c r="AB70" s="1" t="s">
        <v>535</v>
      </c>
      <c r="AC70" s="1" t="s">
        <v>50</v>
      </c>
      <c r="AD70" s="1">
        <v>7015572543</v>
      </c>
      <c r="AE70" s="1" t="s">
        <v>3506</v>
      </c>
      <c r="AF70" s="1" t="s">
        <v>66</v>
      </c>
      <c r="AG70" s="2" t="s">
        <v>42</v>
      </c>
      <c r="AH70" s="1" t="s">
        <v>536</v>
      </c>
      <c r="AI70" s="1" t="s">
        <v>42</v>
      </c>
      <c r="AJ70" s="1"/>
      <c r="AK70" s="2" t="s">
        <v>42</v>
      </c>
      <c r="AL70" s="1" t="s">
        <v>3507</v>
      </c>
    </row>
    <row r="71" spans="1:38" ht="20.100000000000001" customHeight="1" x14ac:dyDescent="0.2">
      <c r="A71" s="3">
        <f t="shared" si="2"/>
        <v>68</v>
      </c>
      <c r="B71" s="1" t="s">
        <v>537</v>
      </c>
      <c r="C71" s="1" t="s">
        <v>538</v>
      </c>
      <c r="D71" s="1" t="s">
        <v>38</v>
      </c>
      <c r="E71" s="1" t="s">
        <v>414</v>
      </c>
      <c r="F71" s="1" t="s">
        <v>70</v>
      </c>
      <c r="G71" s="1" t="s">
        <v>539</v>
      </c>
      <c r="H71" s="2">
        <v>45343</v>
      </c>
      <c r="I71" s="2">
        <v>29952</v>
      </c>
      <c r="J71" s="7">
        <f t="shared" ca="1" si="3"/>
        <v>41.852054794520548</v>
      </c>
      <c r="K71" s="1" t="s">
        <v>133</v>
      </c>
      <c r="L71" s="1" t="s">
        <v>134</v>
      </c>
      <c r="M71" s="2">
        <v>43506</v>
      </c>
      <c r="N71" s="1">
        <v>2</v>
      </c>
      <c r="O71" s="2" t="s">
        <v>42</v>
      </c>
      <c r="P71" s="1" t="s">
        <v>44</v>
      </c>
      <c r="Q71" s="1" t="s">
        <v>142</v>
      </c>
      <c r="R71" s="1" t="s">
        <v>60</v>
      </c>
      <c r="S71" s="1" t="s">
        <v>47</v>
      </c>
      <c r="T71" s="1" t="s">
        <v>42</v>
      </c>
      <c r="U71" s="2" t="s">
        <v>42</v>
      </c>
      <c r="V71" s="2">
        <v>44966</v>
      </c>
      <c r="W71" s="2" t="s">
        <v>42</v>
      </c>
      <c r="X71" s="1" t="s">
        <v>540</v>
      </c>
      <c r="Y71" s="2">
        <v>45257</v>
      </c>
      <c r="Z71" s="1" t="s">
        <v>541</v>
      </c>
      <c r="AA71" s="1" t="s">
        <v>542</v>
      </c>
      <c r="AB71" s="1" t="s">
        <v>543</v>
      </c>
      <c r="AC71" s="1" t="s">
        <v>50</v>
      </c>
      <c r="AD71" s="1">
        <v>7009073037</v>
      </c>
      <c r="AE71" s="1" t="s">
        <v>103</v>
      </c>
      <c r="AF71" s="1" t="s">
        <v>147</v>
      </c>
      <c r="AG71" s="2" t="s">
        <v>42</v>
      </c>
      <c r="AH71" s="1"/>
      <c r="AI71" s="1" t="s">
        <v>42</v>
      </c>
      <c r="AJ71" s="1"/>
      <c r="AK71" s="2" t="s">
        <v>42</v>
      </c>
      <c r="AL71" s="1" t="s">
        <v>3507</v>
      </c>
    </row>
    <row r="72" spans="1:38" ht="20.100000000000001" customHeight="1" x14ac:dyDescent="0.2">
      <c r="A72" s="3">
        <f t="shared" si="2"/>
        <v>69</v>
      </c>
      <c r="B72" s="1" t="s">
        <v>544</v>
      </c>
      <c r="C72" s="1" t="s">
        <v>545</v>
      </c>
      <c r="D72" s="1" t="s">
        <v>121</v>
      </c>
      <c r="E72" s="1" t="s">
        <v>39</v>
      </c>
      <c r="F72" s="1" t="s">
        <v>40</v>
      </c>
      <c r="G72" s="1" t="s">
        <v>546</v>
      </c>
      <c r="H72" s="2" t="s">
        <v>42</v>
      </c>
      <c r="I72" s="2">
        <v>28713</v>
      </c>
      <c r="J72" s="7">
        <f t="shared" ca="1" si="3"/>
        <v>45.246575342465754</v>
      </c>
      <c r="K72" s="1" t="s">
        <v>211</v>
      </c>
      <c r="L72" s="1" t="s">
        <v>547</v>
      </c>
      <c r="M72" s="2">
        <v>43525</v>
      </c>
      <c r="N72" s="1">
        <v>2</v>
      </c>
      <c r="O72" s="2">
        <v>-619764</v>
      </c>
      <c r="P72" s="1" t="s">
        <v>44</v>
      </c>
      <c r="Q72" s="1" t="s">
        <v>203</v>
      </c>
      <c r="R72" s="1" t="s">
        <v>60</v>
      </c>
      <c r="S72" s="1" t="s">
        <v>47</v>
      </c>
      <c r="T72" s="1">
        <v>8</v>
      </c>
      <c r="U72" s="2" t="s">
        <v>42</v>
      </c>
      <c r="V72" s="2">
        <v>44985</v>
      </c>
      <c r="W72" s="2">
        <v>45155</v>
      </c>
      <c r="X72" s="1" t="s">
        <v>42</v>
      </c>
      <c r="Y72" s="2" t="s">
        <v>42</v>
      </c>
      <c r="Z72" s="1" t="s">
        <v>548</v>
      </c>
      <c r="AA72" s="1" t="s">
        <v>549</v>
      </c>
      <c r="AB72" s="1" t="s">
        <v>550</v>
      </c>
      <c r="AC72" s="1" t="s">
        <v>551</v>
      </c>
      <c r="AD72" s="1">
        <v>7014477116</v>
      </c>
      <c r="AE72" s="1" t="s">
        <v>65</v>
      </c>
      <c r="AF72" s="1" t="s">
        <v>66</v>
      </c>
      <c r="AG72" s="2" t="s">
        <v>42</v>
      </c>
      <c r="AH72" s="1"/>
      <c r="AI72" s="1" t="s">
        <v>42</v>
      </c>
      <c r="AJ72" s="1"/>
      <c r="AK72" s="2" t="s">
        <v>42</v>
      </c>
      <c r="AL72" s="1" t="s">
        <v>3507</v>
      </c>
    </row>
    <row r="73" spans="1:38" ht="20.100000000000001" customHeight="1" x14ac:dyDescent="0.2">
      <c r="A73" s="3">
        <f t="shared" si="2"/>
        <v>70</v>
      </c>
      <c r="B73" s="1" t="s">
        <v>552</v>
      </c>
      <c r="C73" s="1" t="s">
        <v>553</v>
      </c>
      <c r="D73" s="1" t="s">
        <v>38</v>
      </c>
      <c r="E73" s="1" t="s">
        <v>69</v>
      </c>
      <c r="F73" s="1" t="s">
        <v>70</v>
      </c>
      <c r="G73" s="1" t="s">
        <v>554</v>
      </c>
      <c r="H73" s="2">
        <v>45371</v>
      </c>
      <c r="I73" s="2">
        <v>32674</v>
      </c>
      <c r="J73" s="7">
        <f t="shared" ca="1" si="3"/>
        <v>34.394520547945206</v>
      </c>
      <c r="K73" s="1" t="s">
        <v>555</v>
      </c>
      <c r="L73" s="1" t="s">
        <v>58</v>
      </c>
      <c r="M73" s="2">
        <v>43535</v>
      </c>
      <c r="N73" s="1">
        <v>2</v>
      </c>
      <c r="O73" s="2">
        <v>43535</v>
      </c>
      <c r="P73" s="1" t="s">
        <v>44</v>
      </c>
      <c r="Q73" s="1" t="s">
        <v>45</v>
      </c>
      <c r="R73" s="1" t="s">
        <v>60</v>
      </c>
      <c r="S73" s="1" t="s">
        <v>47</v>
      </c>
      <c r="T73" s="1">
        <v>12</v>
      </c>
      <c r="U73" s="2" t="s">
        <v>42</v>
      </c>
      <c r="V73" s="2">
        <v>44995</v>
      </c>
      <c r="W73" s="2" t="s">
        <v>42</v>
      </c>
      <c r="X73" s="1" t="s">
        <v>556</v>
      </c>
      <c r="Y73" s="2">
        <v>45245</v>
      </c>
      <c r="Z73" s="1" t="s">
        <v>557</v>
      </c>
      <c r="AA73" s="1" t="s">
        <v>558</v>
      </c>
      <c r="AB73" s="1" t="s">
        <v>559</v>
      </c>
      <c r="AC73" s="1" t="s">
        <v>50</v>
      </c>
      <c r="AD73" s="1">
        <v>7015572543</v>
      </c>
      <c r="AE73" s="1" t="s">
        <v>3506</v>
      </c>
      <c r="AF73" s="1"/>
      <c r="AG73" s="2" t="s">
        <v>42</v>
      </c>
      <c r="AH73" s="1"/>
      <c r="AI73" s="1" t="s">
        <v>42</v>
      </c>
      <c r="AJ73" s="1"/>
      <c r="AK73" s="2" t="s">
        <v>42</v>
      </c>
      <c r="AL73" s="1" t="s">
        <v>3507</v>
      </c>
    </row>
    <row r="74" spans="1:38" ht="20.100000000000001" customHeight="1" x14ac:dyDescent="0.2">
      <c r="A74" s="3">
        <f t="shared" si="2"/>
        <v>71</v>
      </c>
      <c r="B74" s="1" t="s">
        <v>560</v>
      </c>
      <c r="C74" s="1" t="s">
        <v>561</v>
      </c>
      <c r="D74" s="1" t="s">
        <v>38</v>
      </c>
      <c r="E74" s="1" t="s">
        <v>69</v>
      </c>
      <c r="F74" s="1" t="s">
        <v>70</v>
      </c>
      <c r="G74" s="1" t="s">
        <v>562</v>
      </c>
      <c r="H74" s="2">
        <v>45420</v>
      </c>
      <c r="I74" s="2">
        <v>32143</v>
      </c>
      <c r="J74" s="7">
        <f t="shared" ca="1" si="3"/>
        <v>35.849315068493148</v>
      </c>
      <c r="K74" s="1" t="s">
        <v>563</v>
      </c>
      <c r="L74" s="1" t="s">
        <v>134</v>
      </c>
      <c r="M74" s="2">
        <v>43587</v>
      </c>
      <c r="N74" s="1">
        <v>2</v>
      </c>
      <c r="O74" s="2">
        <v>45210</v>
      </c>
      <c r="P74" s="1" t="s">
        <v>221</v>
      </c>
      <c r="Q74" s="1" t="s">
        <v>222</v>
      </c>
      <c r="R74" s="1" t="s">
        <v>60</v>
      </c>
      <c r="S74" s="1" t="s">
        <v>47</v>
      </c>
      <c r="T74" s="1">
        <v>8</v>
      </c>
      <c r="U74" s="2" t="s">
        <v>42</v>
      </c>
      <c r="V74" s="2">
        <v>44986</v>
      </c>
      <c r="W74" s="2" t="s">
        <v>42</v>
      </c>
      <c r="X74" s="1" t="s">
        <v>564</v>
      </c>
      <c r="Y74" s="2">
        <v>46910</v>
      </c>
      <c r="Z74" s="1" t="s">
        <v>565</v>
      </c>
      <c r="AA74" s="1" t="s">
        <v>42</v>
      </c>
      <c r="AB74" s="1" t="s">
        <v>566</v>
      </c>
      <c r="AC74" s="1" t="s">
        <v>50</v>
      </c>
      <c r="AD74" s="1">
        <v>7021202564</v>
      </c>
      <c r="AE74" s="1" t="s">
        <v>567</v>
      </c>
      <c r="AF74" s="1" t="s">
        <v>227</v>
      </c>
      <c r="AG74" s="2" t="s">
        <v>42</v>
      </c>
      <c r="AH74" s="1"/>
      <c r="AI74" s="1" t="s">
        <v>42</v>
      </c>
      <c r="AJ74" s="1"/>
      <c r="AK74" s="2" t="s">
        <v>42</v>
      </c>
      <c r="AL74" s="1" t="s">
        <v>514</v>
      </c>
    </row>
    <row r="75" spans="1:38" ht="20.100000000000001" customHeight="1" x14ac:dyDescent="0.2">
      <c r="A75" s="3">
        <f t="shared" si="2"/>
        <v>72</v>
      </c>
      <c r="B75" s="1" t="s">
        <v>568</v>
      </c>
      <c r="C75" s="1" t="s">
        <v>569</v>
      </c>
      <c r="D75" s="1" t="s">
        <v>38</v>
      </c>
      <c r="E75" s="1" t="s">
        <v>69</v>
      </c>
      <c r="F75" s="1" t="s">
        <v>70</v>
      </c>
      <c r="G75" s="1" t="s">
        <v>570</v>
      </c>
      <c r="H75" s="2">
        <v>45390</v>
      </c>
      <c r="I75" s="2">
        <v>32874</v>
      </c>
      <c r="J75" s="7">
        <f t="shared" ca="1" si="3"/>
        <v>33.846575342465755</v>
      </c>
      <c r="K75" s="1" t="s">
        <v>482</v>
      </c>
      <c r="L75" s="1" t="s">
        <v>134</v>
      </c>
      <c r="M75" s="2">
        <v>43647</v>
      </c>
      <c r="N75" s="1">
        <v>2</v>
      </c>
      <c r="O75" s="2">
        <v>44631</v>
      </c>
      <c r="P75" s="1" t="s">
        <v>44</v>
      </c>
      <c r="Q75" s="1" t="s">
        <v>475</v>
      </c>
      <c r="R75" s="1" t="s">
        <v>60</v>
      </c>
      <c r="S75" s="1" t="s">
        <v>47</v>
      </c>
      <c r="T75" s="1">
        <v>12</v>
      </c>
      <c r="U75" s="2" t="s">
        <v>42</v>
      </c>
      <c r="V75" s="2">
        <v>45107</v>
      </c>
      <c r="W75" s="2" t="s">
        <v>42</v>
      </c>
      <c r="X75" s="1" t="s">
        <v>571</v>
      </c>
      <c r="Y75" s="2">
        <v>47024</v>
      </c>
      <c r="Z75" s="1" t="s">
        <v>572</v>
      </c>
      <c r="AA75" s="1" t="s">
        <v>573</v>
      </c>
      <c r="AB75" s="1" t="s">
        <v>574</v>
      </c>
      <c r="AC75" s="1" t="s">
        <v>50</v>
      </c>
      <c r="AD75" s="1">
        <v>7004853987</v>
      </c>
      <c r="AE75" s="1" t="s">
        <v>471</v>
      </c>
      <c r="AF75" s="1" t="s">
        <v>66</v>
      </c>
      <c r="AG75" s="2" t="s">
        <v>42</v>
      </c>
      <c r="AH75" s="1"/>
      <c r="AI75" s="1" t="s">
        <v>42</v>
      </c>
      <c r="AJ75" s="1"/>
      <c r="AK75" s="2" t="s">
        <v>42</v>
      </c>
      <c r="AL75" s="1" t="s">
        <v>3507</v>
      </c>
    </row>
    <row r="76" spans="1:38" ht="20.100000000000001" customHeight="1" x14ac:dyDescent="0.2">
      <c r="A76" s="3">
        <f t="shared" si="2"/>
        <v>73</v>
      </c>
      <c r="B76" s="1" t="s">
        <v>575</v>
      </c>
      <c r="C76" s="1" t="s">
        <v>576</v>
      </c>
      <c r="D76" s="1" t="s">
        <v>38</v>
      </c>
      <c r="E76" s="1" t="s">
        <v>69</v>
      </c>
      <c r="F76" s="1" t="s">
        <v>70</v>
      </c>
      <c r="G76" s="1" t="s">
        <v>577</v>
      </c>
      <c r="H76" s="2">
        <v>45440</v>
      </c>
      <c r="I76" s="2">
        <v>32143</v>
      </c>
      <c r="J76" s="7">
        <f t="shared" ca="1" si="3"/>
        <v>35.849315068493148</v>
      </c>
      <c r="K76" s="1" t="s">
        <v>134</v>
      </c>
      <c r="L76" s="1" t="s">
        <v>58</v>
      </c>
      <c r="M76" s="2">
        <v>43709</v>
      </c>
      <c r="N76" s="1">
        <v>2</v>
      </c>
      <c r="O76" s="2">
        <v>44259</v>
      </c>
      <c r="P76" s="1" t="s">
        <v>44</v>
      </c>
      <c r="Q76" s="1" t="s">
        <v>578</v>
      </c>
      <c r="R76" s="1" t="s">
        <v>60</v>
      </c>
      <c r="S76" s="1" t="s">
        <v>47</v>
      </c>
      <c r="T76" s="1">
        <v>12</v>
      </c>
      <c r="U76" s="2" t="s">
        <v>42</v>
      </c>
      <c r="V76" s="2">
        <v>45169</v>
      </c>
      <c r="W76" s="2" t="s">
        <v>42</v>
      </c>
      <c r="X76" s="1" t="s">
        <v>579</v>
      </c>
      <c r="Y76" s="2">
        <v>46959</v>
      </c>
      <c r="Z76" s="1" t="s">
        <v>580</v>
      </c>
      <c r="AA76" s="1" t="s">
        <v>581</v>
      </c>
      <c r="AB76" s="1" t="s">
        <v>42</v>
      </c>
      <c r="AC76" s="1" t="s">
        <v>42</v>
      </c>
      <c r="AD76" s="1">
        <v>7004853987</v>
      </c>
      <c r="AE76" s="1" t="s">
        <v>471</v>
      </c>
      <c r="AF76" s="1"/>
      <c r="AG76" s="2" t="s">
        <v>42</v>
      </c>
      <c r="AH76" s="1"/>
      <c r="AI76" s="1" t="s">
        <v>42</v>
      </c>
      <c r="AJ76" s="1"/>
      <c r="AK76" s="2" t="s">
        <v>42</v>
      </c>
      <c r="AL76" s="1" t="s">
        <v>3507</v>
      </c>
    </row>
    <row r="77" spans="1:38" ht="20.100000000000001" customHeight="1" x14ac:dyDescent="0.2">
      <c r="A77" s="3">
        <f t="shared" si="2"/>
        <v>74</v>
      </c>
      <c r="B77" s="1" t="s">
        <v>582</v>
      </c>
      <c r="C77" s="1" t="s">
        <v>583</v>
      </c>
      <c r="D77" s="1" t="s">
        <v>38</v>
      </c>
      <c r="E77" s="1" t="s">
        <v>54</v>
      </c>
      <c r="F77" s="1" t="s">
        <v>55</v>
      </c>
      <c r="G77" s="1" t="s">
        <v>584</v>
      </c>
      <c r="H77" s="2">
        <v>45348</v>
      </c>
      <c r="I77" s="2">
        <v>32056</v>
      </c>
      <c r="J77" s="7">
        <f t="shared" ca="1" si="3"/>
        <v>36.087671232876716</v>
      </c>
      <c r="K77" s="1" t="s">
        <v>57</v>
      </c>
      <c r="L77" s="1" t="s">
        <v>42</v>
      </c>
      <c r="M77" s="2">
        <v>43723</v>
      </c>
      <c r="N77" s="1">
        <v>2</v>
      </c>
      <c r="O77" s="2">
        <v>45136</v>
      </c>
      <c r="P77" s="1" t="s">
        <v>44</v>
      </c>
      <c r="Q77" s="1" t="s">
        <v>107</v>
      </c>
      <c r="R77" s="1" t="s">
        <v>60</v>
      </c>
      <c r="S77" s="1" t="s">
        <v>47</v>
      </c>
      <c r="T77" s="1" t="s">
        <v>42</v>
      </c>
      <c r="U77" s="2" t="s">
        <v>42</v>
      </c>
      <c r="V77" s="2" t="s">
        <v>42</v>
      </c>
      <c r="W77" s="2" t="s">
        <v>42</v>
      </c>
      <c r="X77" s="1" t="s">
        <v>42</v>
      </c>
      <c r="Y77" s="2" t="s">
        <v>42</v>
      </c>
      <c r="Z77" s="1" t="s">
        <v>585</v>
      </c>
      <c r="AA77" s="1" t="s">
        <v>586</v>
      </c>
      <c r="AB77" s="1" t="s">
        <v>587</v>
      </c>
      <c r="AC77" s="1" t="s">
        <v>50</v>
      </c>
      <c r="AD77" s="1">
        <v>7014477116</v>
      </c>
      <c r="AE77" s="1" t="s">
        <v>65</v>
      </c>
      <c r="AF77" s="1" t="s">
        <v>66</v>
      </c>
      <c r="AG77" s="2" t="s">
        <v>42</v>
      </c>
      <c r="AH77" s="1"/>
      <c r="AI77" s="1" t="s">
        <v>42</v>
      </c>
      <c r="AJ77" s="1"/>
      <c r="AK77" s="2" t="s">
        <v>42</v>
      </c>
      <c r="AL77" s="1" t="s">
        <v>3507</v>
      </c>
    </row>
    <row r="78" spans="1:38" ht="20.100000000000001" customHeight="1" x14ac:dyDescent="0.2">
      <c r="A78" s="3">
        <f t="shared" si="2"/>
        <v>75</v>
      </c>
      <c r="B78" s="1" t="s">
        <v>588</v>
      </c>
      <c r="C78" s="1" t="s">
        <v>589</v>
      </c>
      <c r="D78" s="1" t="s">
        <v>38</v>
      </c>
      <c r="E78" s="1" t="s">
        <v>69</v>
      </c>
      <c r="F78" s="1" t="s">
        <v>70</v>
      </c>
      <c r="G78" s="1" t="s">
        <v>590</v>
      </c>
      <c r="H78" s="2">
        <v>45283</v>
      </c>
      <c r="I78" s="2">
        <v>32057</v>
      </c>
      <c r="J78" s="7">
        <f t="shared" ca="1" si="3"/>
        <v>36.084931506849315</v>
      </c>
      <c r="K78" s="1" t="s">
        <v>80</v>
      </c>
      <c r="L78" s="1" t="s">
        <v>591</v>
      </c>
      <c r="M78" s="2">
        <v>43726</v>
      </c>
      <c r="N78" s="1">
        <v>2</v>
      </c>
      <c r="O78" s="2">
        <v>44310</v>
      </c>
      <c r="P78" s="1" t="s">
        <v>44</v>
      </c>
      <c r="Q78" s="1" t="s">
        <v>45</v>
      </c>
      <c r="R78" s="1" t="s">
        <v>592</v>
      </c>
      <c r="S78" s="1" t="s">
        <v>47</v>
      </c>
      <c r="T78" s="1">
        <v>8</v>
      </c>
      <c r="U78" s="2" t="s">
        <v>42</v>
      </c>
      <c r="V78" s="2">
        <v>44821</v>
      </c>
      <c r="W78" s="2" t="s">
        <v>42</v>
      </c>
      <c r="X78" s="1" t="s">
        <v>593</v>
      </c>
      <c r="Y78" s="2">
        <v>45581</v>
      </c>
      <c r="Z78" s="1" t="s">
        <v>594</v>
      </c>
      <c r="AA78" s="1" t="s">
        <v>42</v>
      </c>
      <c r="AB78" s="1" t="s">
        <v>595</v>
      </c>
      <c r="AC78" s="1" t="s">
        <v>129</v>
      </c>
      <c r="AD78" s="1">
        <v>7014477116</v>
      </c>
      <c r="AE78" s="1" t="s">
        <v>65</v>
      </c>
      <c r="AF78" s="1"/>
      <c r="AG78" s="2" t="s">
        <v>42</v>
      </c>
      <c r="AH78" s="1"/>
      <c r="AI78" s="1" t="s">
        <v>42</v>
      </c>
      <c r="AJ78" s="1"/>
      <c r="AK78" s="2" t="s">
        <v>42</v>
      </c>
      <c r="AL78" s="1" t="s">
        <v>3507</v>
      </c>
    </row>
    <row r="79" spans="1:38" ht="20.100000000000001" customHeight="1" x14ac:dyDescent="0.2">
      <c r="A79" s="3">
        <f t="shared" si="2"/>
        <v>76</v>
      </c>
      <c r="B79" s="1" t="s">
        <v>2823</v>
      </c>
      <c r="C79" s="1" t="s">
        <v>2824</v>
      </c>
      <c r="D79" s="1" t="s">
        <v>121</v>
      </c>
      <c r="E79" s="1" t="s">
        <v>39</v>
      </c>
      <c r="F79" s="1"/>
      <c r="G79" s="1" t="s">
        <v>2825</v>
      </c>
      <c r="H79" s="2" t="s">
        <v>42</v>
      </c>
      <c r="I79" s="2" t="s">
        <v>42</v>
      </c>
      <c r="J79" s="7"/>
      <c r="K79" s="1" t="s">
        <v>774</v>
      </c>
      <c r="L79" s="1" t="s">
        <v>547</v>
      </c>
      <c r="M79" s="2" t="s">
        <v>42</v>
      </c>
      <c r="N79" s="1">
        <v>2</v>
      </c>
      <c r="O79" s="2">
        <v>44771</v>
      </c>
      <c r="P79" s="1" t="s">
        <v>44</v>
      </c>
      <c r="Q79" s="1" t="s">
        <v>203</v>
      </c>
      <c r="R79" s="1" t="s">
        <v>42</v>
      </c>
      <c r="S79" s="1" t="s">
        <v>47</v>
      </c>
      <c r="T79" s="1">
        <v>12</v>
      </c>
      <c r="U79" s="2" t="s">
        <v>42</v>
      </c>
      <c r="V79" s="2">
        <v>44920</v>
      </c>
      <c r="W79" s="2" t="s">
        <v>42</v>
      </c>
      <c r="X79" s="1" t="s">
        <v>42</v>
      </c>
      <c r="Y79" s="2" t="s">
        <v>42</v>
      </c>
      <c r="Z79" s="1" t="s">
        <v>2826</v>
      </c>
      <c r="AA79" s="1" t="s">
        <v>2827</v>
      </c>
      <c r="AB79" s="1" t="s">
        <v>2828</v>
      </c>
      <c r="AC79" s="1" t="s">
        <v>129</v>
      </c>
      <c r="AD79" s="1">
        <v>7014477116</v>
      </c>
      <c r="AE79" s="1" t="s">
        <v>65</v>
      </c>
      <c r="AF79" s="1"/>
      <c r="AG79" s="2">
        <v>44826</v>
      </c>
      <c r="AH79" s="1" t="s">
        <v>2812</v>
      </c>
      <c r="AI79" s="1" t="s">
        <v>42</v>
      </c>
      <c r="AJ79" s="1"/>
      <c r="AK79" s="2" t="s">
        <v>42</v>
      </c>
      <c r="AL79" s="1" t="s">
        <v>2806</v>
      </c>
    </row>
    <row r="80" spans="1:38" ht="20.100000000000001" customHeight="1" x14ac:dyDescent="0.2">
      <c r="A80" s="3">
        <f t="shared" si="2"/>
        <v>77</v>
      </c>
      <c r="B80" s="1" t="s">
        <v>596</v>
      </c>
      <c r="C80" s="1" t="s">
        <v>597</v>
      </c>
      <c r="D80" s="1" t="s">
        <v>38</v>
      </c>
      <c r="E80" s="1" t="s">
        <v>54</v>
      </c>
      <c r="F80" s="1" t="s">
        <v>55</v>
      </c>
      <c r="G80" s="1" t="s">
        <v>598</v>
      </c>
      <c r="H80" s="2">
        <v>45271</v>
      </c>
      <c r="I80" s="2">
        <v>30027</v>
      </c>
      <c r="J80" s="7">
        <f t="shared" ca="1" si="3"/>
        <v>41.646575342465752</v>
      </c>
      <c r="K80" s="1" t="s">
        <v>133</v>
      </c>
      <c r="L80" s="1" t="s">
        <v>134</v>
      </c>
      <c r="M80" s="2">
        <v>43831</v>
      </c>
      <c r="N80" s="1">
        <v>2</v>
      </c>
      <c r="O80" s="2">
        <v>43831</v>
      </c>
      <c r="P80" s="1" t="s">
        <v>44</v>
      </c>
      <c r="Q80" s="1" t="s">
        <v>142</v>
      </c>
      <c r="R80" s="1" t="s">
        <v>60</v>
      </c>
      <c r="S80" s="1" t="s">
        <v>47</v>
      </c>
      <c r="T80" s="1">
        <v>8</v>
      </c>
      <c r="U80" s="2" t="s">
        <v>42</v>
      </c>
      <c r="V80" s="2">
        <v>44926</v>
      </c>
      <c r="W80" s="2" t="s">
        <v>42</v>
      </c>
      <c r="X80" s="1" t="s">
        <v>599</v>
      </c>
      <c r="Y80" s="2">
        <v>45311</v>
      </c>
      <c r="Z80" s="1" t="s">
        <v>600</v>
      </c>
      <c r="AA80" s="1" t="s">
        <v>601</v>
      </c>
      <c r="AB80" s="1" t="s">
        <v>602</v>
      </c>
      <c r="AC80" s="1" t="s">
        <v>50</v>
      </c>
      <c r="AD80" s="1">
        <v>7014477116</v>
      </c>
      <c r="AE80" s="1" t="s">
        <v>65</v>
      </c>
      <c r="AF80" s="1" t="s">
        <v>147</v>
      </c>
      <c r="AG80" s="2" t="s">
        <v>42</v>
      </c>
      <c r="AH80" s="1"/>
      <c r="AI80" s="1" t="s">
        <v>42</v>
      </c>
      <c r="AJ80" s="1"/>
      <c r="AK80" s="2" t="s">
        <v>42</v>
      </c>
      <c r="AL80" s="1" t="s">
        <v>514</v>
      </c>
    </row>
    <row r="81" spans="1:38" ht="20.100000000000001" customHeight="1" x14ac:dyDescent="0.2">
      <c r="A81" s="3">
        <f t="shared" si="2"/>
        <v>78</v>
      </c>
      <c r="B81" s="1" t="s">
        <v>603</v>
      </c>
      <c r="C81" s="1" t="s">
        <v>604</v>
      </c>
      <c r="D81" s="1" t="s">
        <v>38</v>
      </c>
      <c r="E81" s="1" t="s">
        <v>54</v>
      </c>
      <c r="F81" s="1" t="s">
        <v>55</v>
      </c>
      <c r="G81" s="1" t="s">
        <v>605</v>
      </c>
      <c r="H81" s="2">
        <v>45417</v>
      </c>
      <c r="I81" s="2">
        <v>34336</v>
      </c>
      <c r="J81" s="7">
        <f t="shared" ca="1" si="3"/>
        <v>29.841095890410958</v>
      </c>
      <c r="K81" s="1" t="s">
        <v>57</v>
      </c>
      <c r="L81" s="1" t="s">
        <v>134</v>
      </c>
      <c r="M81" s="2">
        <v>43831</v>
      </c>
      <c r="N81" s="1">
        <v>2</v>
      </c>
      <c r="O81" s="2">
        <v>43831</v>
      </c>
      <c r="P81" s="1" t="s">
        <v>44</v>
      </c>
      <c r="Q81" s="1" t="s">
        <v>154</v>
      </c>
      <c r="R81" s="1" t="s">
        <v>606</v>
      </c>
      <c r="S81" s="1" t="s">
        <v>47</v>
      </c>
      <c r="T81" s="1">
        <v>8</v>
      </c>
      <c r="U81" s="2" t="s">
        <v>42</v>
      </c>
      <c r="V81" s="2">
        <v>44926</v>
      </c>
      <c r="W81" s="2">
        <v>45110</v>
      </c>
      <c r="X81" s="1" t="s">
        <v>607</v>
      </c>
      <c r="Y81" s="2">
        <v>46312</v>
      </c>
      <c r="Z81" s="1" t="s">
        <v>608</v>
      </c>
      <c r="AA81" s="1" t="s">
        <v>609</v>
      </c>
      <c r="AB81" s="1" t="s">
        <v>610</v>
      </c>
      <c r="AC81" s="1" t="s">
        <v>50</v>
      </c>
      <c r="AD81" s="1">
        <v>7009073037</v>
      </c>
      <c r="AE81" s="1" t="s">
        <v>103</v>
      </c>
      <c r="AF81" s="1"/>
      <c r="AG81" s="2" t="s">
        <v>42</v>
      </c>
      <c r="AH81" s="1"/>
      <c r="AI81" s="1" t="s">
        <v>42</v>
      </c>
      <c r="AJ81" s="1"/>
      <c r="AK81" s="2" t="s">
        <v>42</v>
      </c>
      <c r="AL81" s="1" t="s">
        <v>3507</v>
      </c>
    </row>
    <row r="82" spans="1:38" ht="20.100000000000001" customHeight="1" x14ac:dyDescent="0.2">
      <c r="A82" s="3">
        <f t="shared" si="2"/>
        <v>79</v>
      </c>
      <c r="B82" s="1" t="s">
        <v>611</v>
      </c>
      <c r="C82" s="1" t="s">
        <v>612</v>
      </c>
      <c r="D82" s="1" t="s">
        <v>38</v>
      </c>
      <c r="E82" s="1" t="s">
        <v>69</v>
      </c>
      <c r="F82" s="1" t="s">
        <v>70</v>
      </c>
      <c r="G82" s="1" t="s">
        <v>613</v>
      </c>
      <c r="H82" s="2">
        <v>45383</v>
      </c>
      <c r="I82" s="2">
        <v>29650</v>
      </c>
      <c r="J82" s="7">
        <f t="shared" ca="1" si="3"/>
        <v>42.679452054794524</v>
      </c>
      <c r="K82" s="1" t="s">
        <v>89</v>
      </c>
      <c r="L82" s="1" t="s">
        <v>80</v>
      </c>
      <c r="M82" s="2">
        <v>43831</v>
      </c>
      <c r="N82" s="1">
        <v>2</v>
      </c>
      <c r="O82" s="2">
        <v>44526</v>
      </c>
      <c r="P82" s="1" t="s">
        <v>44</v>
      </c>
      <c r="Q82" s="1" t="s">
        <v>115</v>
      </c>
      <c r="R82" s="1" t="s">
        <v>60</v>
      </c>
      <c r="S82" s="1" t="s">
        <v>47</v>
      </c>
      <c r="T82" s="1" t="s">
        <v>42</v>
      </c>
      <c r="U82" s="2" t="s">
        <v>42</v>
      </c>
      <c r="V82" s="2">
        <v>44926</v>
      </c>
      <c r="W82" s="2" t="s">
        <v>42</v>
      </c>
      <c r="X82" s="1" t="s">
        <v>614</v>
      </c>
      <c r="Y82" s="2">
        <v>47206</v>
      </c>
      <c r="Z82" s="1" t="s">
        <v>615</v>
      </c>
      <c r="AA82" s="1" t="s">
        <v>42</v>
      </c>
      <c r="AB82" s="1" t="s">
        <v>616</v>
      </c>
      <c r="AC82" s="1" t="s">
        <v>617</v>
      </c>
      <c r="AD82" s="1">
        <v>7014477116</v>
      </c>
      <c r="AE82" s="1" t="s">
        <v>65</v>
      </c>
      <c r="AF82" s="1"/>
      <c r="AG82" s="2" t="s">
        <v>42</v>
      </c>
      <c r="AH82" s="1"/>
      <c r="AI82" s="1" t="s">
        <v>51</v>
      </c>
      <c r="AJ82" s="1"/>
      <c r="AK82" s="2" t="s">
        <v>42</v>
      </c>
      <c r="AL82" s="1" t="s">
        <v>3507</v>
      </c>
    </row>
    <row r="83" spans="1:38" ht="20.100000000000001" customHeight="1" x14ac:dyDescent="0.2">
      <c r="A83" s="3">
        <f t="shared" si="2"/>
        <v>80</v>
      </c>
      <c r="B83" s="1" t="s">
        <v>618</v>
      </c>
      <c r="C83" s="1" t="s">
        <v>619</v>
      </c>
      <c r="D83" s="1" t="s">
        <v>38</v>
      </c>
      <c r="E83" s="1" t="s">
        <v>54</v>
      </c>
      <c r="F83" s="1" t="s">
        <v>55</v>
      </c>
      <c r="G83" s="1" t="s">
        <v>620</v>
      </c>
      <c r="H83" s="2">
        <v>45268</v>
      </c>
      <c r="I83" s="2">
        <v>30081</v>
      </c>
      <c r="J83" s="7">
        <f t="shared" ca="1" si="3"/>
        <v>41.4986301369863</v>
      </c>
      <c r="K83" s="1" t="s">
        <v>57</v>
      </c>
      <c r="L83" s="1" t="s">
        <v>134</v>
      </c>
      <c r="M83" s="2">
        <v>43770</v>
      </c>
      <c r="N83" s="1">
        <v>2</v>
      </c>
      <c r="O83" s="2">
        <v>44789</v>
      </c>
      <c r="P83" s="1" t="s">
        <v>44</v>
      </c>
      <c r="Q83" s="1" t="s">
        <v>306</v>
      </c>
      <c r="R83" s="1" t="s">
        <v>60</v>
      </c>
      <c r="S83" s="1" t="s">
        <v>47</v>
      </c>
      <c r="T83" s="1">
        <v>12</v>
      </c>
      <c r="U83" s="2" t="s">
        <v>42</v>
      </c>
      <c r="V83" s="2">
        <v>44927</v>
      </c>
      <c r="W83" s="2">
        <v>44968</v>
      </c>
      <c r="X83" s="1" t="s">
        <v>621</v>
      </c>
      <c r="Y83" s="2">
        <v>45345</v>
      </c>
      <c r="Z83" s="1" t="s">
        <v>622</v>
      </c>
      <c r="AA83" s="1" t="s">
        <v>42</v>
      </c>
      <c r="AB83" s="1" t="s">
        <v>623</v>
      </c>
      <c r="AC83" s="1" t="s">
        <v>50</v>
      </c>
      <c r="AD83" s="1">
        <v>7015572543</v>
      </c>
      <c r="AE83" s="1" t="s">
        <v>3506</v>
      </c>
      <c r="AF83" s="1" t="s">
        <v>66</v>
      </c>
      <c r="AG83" s="2" t="s">
        <v>42</v>
      </c>
      <c r="AH83" s="1"/>
      <c r="AI83" s="1" t="s">
        <v>42</v>
      </c>
      <c r="AJ83" s="1"/>
      <c r="AK83" s="2" t="s">
        <v>42</v>
      </c>
      <c r="AL83" s="1" t="s">
        <v>3507</v>
      </c>
    </row>
    <row r="84" spans="1:38" ht="20.100000000000001" customHeight="1" x14ac:dyDescent="0.2">
      <c r="A84" s="3">
        <f t="shared" si="2"/>
        <v>81</v>
      </c>
      <c r="B84" s="1" t="s">
        <v>624</v>
      </c>
      <c r="C84" s="1" t="s">
        <v>625</v>
      </c>
      <c r="D84" s="1" t="s">
        <v>38</v>
      </c>
      <c r="E84" s="1" t="s">
        <v>414</v>
      </c>
      <c r="F84" s="1" t="s">
        <v>70</v>
      </c>
      <c r="G84" s="1" t="s">
        <v>626</v>
      </c>
      <c r="H84" s="2">
        <v>45290</v>
      </c>
      <c r="I84" s="2">
        <v>27030</v>
      </c>
      <c r="J84" s="7">
        <f t="shared" ca="1" si="3"/>
        <v>49.857534246575341</v>
      </c>
      <c r="K84" s="1" t="s">
        <v>627</v>
      </c>
      <c r="L84" s="1" t="s">
        <v>134</v>
      </c>
      <c r="M84" s="2">
        <v>43832</v>
      </c>
      <c r="N84" s="1">
        <v>2</v>
      </c>
      <c r="O84" s="2">
        <v>44943</v>
      </c>
      <c r="P84" s="1" t="s">
        <v>221</v>
      </c>
      <c r="Q84" s="1" t="s">
        <v>222</v>
      </c>
      <c r="R84" s="1" t="s">
        <v>60</v>
      </c>
      <c r="S84" s="1" t="s">
        <v>47</v>
      </c>
      <c r="T84" s="1">
        <v>8</v>
      </c>
      <c r="U84" s="2" t="s">
        <v>42</v>
      </c>
      <c r="V84" s="2">
        <v>44927</v>
      </c>
      <c r="W84" s="2" t="s">
        <v>42</v>
      </c>
      <c r="X84" s="1" t="s">
        <v>628</v>
      </c>
      <c r="Y84" s="2">
        <v>45404</v>
      </c>
      <c r="Z84" s="1" t="s">
        <v>629</v>
      </c>
      <c r="AA84" s="1" t="s">
        <v>42</v>
      </c>
      <c r="AB84" s="1" t="s">
        <v>630</v>
      </c>
      <c r="AC84" s="1" t="s">
        <v>50</v>
      </c>
      <c r="AD84" s="1">
        <v>7015572543</v>
      </c>
      <c r="AE84" s="1" t="s">
        <v>3506</v>
      </c>
      <c r="AF84" s="1" t="s">
        <v>227</v>
      </c>
      <c r="AG84" s="2" t="s">
        <v>42</v>
      </c>
      <c r="AH84" s="1" t="s">
        <v>42</v>
      </c>
      <c r="AI84" s="1" t="s">
        <v>631</v>
      </c>
      <c r="AJ84" s="1"/>
      <c r="AK84" s="2" t="s">
        <v>42</v>
      </c>
      <c r="AL84" s="1" t="s">
        <v>3507</v>
      </c>
    </row>
    <row r="85" spans="1:38" ht="20.100000000000001" customHeight="1" x14ac:dyDescent="0.2">
      <c r="A85" s="3">
        <f t="shared" si="2"/>
        <v>82</v>
      </c>
      <c r="B85" s="1" t="s">
        <v>632</v>
      </c>
      <c r="C85" s="1" t="s">
        <v>633</v>
      </c>
      <c r="D85" s="1" t="s">
        <v>38</v>
      </c>
      <c r="E85" s="1" t="s">
        <v>69</v>
      </c>
      <c r="F85" s="1" t="s">
        <v>70</v>
      </c>
      <c r="G85" s="1" t="s">
        <v>634</v>
      </c>
      <c r="H85" s="2">
        <v>45433</v>
      </c>
      <c r="I85" s="2">
        <v>35188</v>
      </c>
      <c r="J85" s="7">
        <f t="shared" ca="1" si="3"/>
        <v>27.506849315068493</v>
      </c>
      <c r="K85" s="1" t="s">
        <v>57</v>
      </c>
      <c r="L85" s="1" t="s">
        <v>134</v>
      </c>
      <c r="M85" s="2">
        <v>43841</v>
      </c>
      <c r="N85" s="1">
        <v>2</v>
      </c>
      <c r="O85" s="2">
        <v>43841</v>
      </c>
      <c r="P85" s="1" t="s">
        <v>335</v>
      </c>
      <c r="Q85" s="1" t="s">
        <v>45</v>
      </c>
      <c r="R85" s="1" t="s">
        <v>60</v>
      </c>
      <c r="S85" s="1" t="s">
        <v>47</v>
      </c>
      <c r="T85" s="1">
        <v>12</v>
      </c>
      <c r="U85" s="2" t="s">
        <v>42</v>
      </c>
      <c r="V85" s="2">
        <v>44936</v>
      </c>
      <c r="W85" s="2">
        <v>44971</v>
      </c>
      <c r="X85" s="1" t="s">
        <v>635</v>
      </c>
      <c r="Y85" s="2">
        <v>45853</v>
      </c>
      <c r="Z85" s="1" t="s">
        <v>636</v>
      </c>
      <c r="AA85" s="1" t="s">
        <v>42</v>
      </c>
      <c r="AB85" s="1" t="s">
        <v>637</v>
      </c>
      <c r="AC85" s="1" t="s">
        <v>50</v>
      </c>
      <c r="AD85" s="1">
        <v>7015572543</v>
      </c>
      <c r="AE85" s="1" t="s">
        <v>3506</v>
      </c>
      <c r="AF85" s="1"/>
      <c r="AG85" s="2" t="s">
        <v>42</v>
      </c>
      <c r="AH85" s="1"/>
      <c r="AI85" s="1" t="s">
        <v>42</v>
      </c>
      <c r="AJ85" s="1"/>
      <c r="AK85" s="2" t="s">
        <v>42</v>
      </c>
      <c r="AL85" s="1" t="s">
        <v>3507</v>
      </c>
    </row>
    <row r="86" spans="1:38" ht="20.100000000000001" customHeight="1" x14ac:dyDescent="0.2">
      <c r="A86" s="3">
        <f t="shared" si="2"/>
        <v>83</v>
      </c>
      <c r="B86" s="1" t="s">
        <v>638</v>
      </c>
      <c r="C86" s="1" t="s">
        <v>639</v>
      </c>
      <c r="D86" s="1" t="s">
        <v>38</v>
      </c>
      <c r="E86" s="1" t="s">
        <v>218</v>
      </c>
      <c r="F86" s="1" t="s">
        <v>55</v>
      </c>
      <c r="G86" s="1" t="s">
        <v>640</v>
      </c>
      <c r="H86" s="2">
        <v>45397</v>
      </c>
      <c r="I86" s="2">
        <v>35329</v>
      </c>
      <c r="J86" s="7">
        <f t="shared" ca="1" si="3"/>
        <v>27.12054794520548</v>
      </c>
      <c r="K86" s="1" t="s">
        <v>133</v>
      </c>
      <c r="L86" s="1" t="s">
        <v>134</v>
      </c>
      <c r="M86" s="2">
        <v>43879</v>
      </c>
      <c r="N86" s="1">
        <v>2</v>
      </c>
      <c r="O86" s="2">
        <v>43879</v>
      </c>
      <c r="P86" s="1" t="s">
        <v>44</v>
      </c>
      <c r="Q86" s="1" t="s">
        <v>98</v>
      </c>
      <c r="R86" s="1" t="s">
        <v>60</v>
      </c>
      <c r="S86" s="1" t="s">
        <v>47</v>
      </c>
      <c r="T86" s="1">
        <v>8</v>
      </c>
      <c r="U86" s="2" t="s">
        <v>42</v>
      </c>
      <c r="V86" s="2">
        <v>44974</v>
      </c>
      <c r="W86" s="2" t="s">
        <v>42</v>
      </c>
      <c r="X86" s="1" t="s">
        <v>641</v>
      </c>
      <c r="Y86" s="2">
        <v>46959</v>
      </c>
      <c r="Z86" s="1" t="s">
        <v>642</v>
      </c>
      <c r="AA86" s="1" t="s">
        <v>643</v>
      </c>
      <c r="AB86" s="1" t="s">
        <v>644</v>
      </c>
      <c r="AC86" s="1" t="s">
        <v>50</v>
      </c>
      <c r="AD86" s="1">
        <v>7014477116</v>
      </c>
      <c r="AE86" s="1" t="s">
        <v>65</v>
      </c>
      <c r="AF86" s="1"/>
      <c r="AG86" s="2" t="s">
        <v>42</v>
      </c>
      <c r="AH86" s="1" t="s">
        <v>341</v>
      </c>
      <c r="AI86" s="1" t="s">
        <v>42</v>
      </c>
      <c r="AJ86" s="1"/>
      <c r="AK86" s="2" t="s">
        <v>42</v>
      </c>
      <c r="AL86" s="1" t="s">
        <v>3507</v>
      </c>
    </row>
    <row r="87" spans="1:38" ht="20.100000000000001" customHeight="1" x14ac:dyDescent="0.2">
      <c r="A87" s="3">
        <f t="shared" si="2"/>
        <v>84</v>
      </c>
      <c r="B87" s="1" t="s">
        <v>645</v>
      </c>
      <c r="C87" s="1" t="s">
        <v>646</v>
      </c>
      <c r="D87" s="1" t="s">
        <v>38</v>
      </c>
      <c r="E87" s="1" t="s">
        <v>218</v>
      </c>
      <c r="F87" s="1" t="s">
        <v>55</v>
      </c>
      <c r="G87" s="1" t="s">
        <v>647</v>
      </c>
      <c r="H87" s="2">
        <v>45307</v>
      </c>
      <c r="I87" s="2">
        <v>35348</v>
      </c>
      <c r="J87" s="7">
        <f t="shared" ca="1" si="3"/>
        <v>27.068493150684933</v>
      </c>
      <c r="K87" s="1" t="s">
        <v>57</v>
      </c>
      <c r="L87" s="1" t="s">
        <v>134</v>
      </c>
      <c r="M87" s="2">
        <v>43879</v>
      </c>
      <c r="N87" s="1">
        <v>2</v>
      </c>
      <c r="O87" s="2">
        <v>44636</v>
      </c>
      <c r="P87" s="1" t="s">
        <v>44</v>
      </c>
      <c r="Q87" s="1" t="s">
        <v>66</v>
      </c>
      <c r="R87" s="1" t="s">
        <v>60</v>
      </c>
      <c r="S87" s="1" t="s">
        <v>47</v>
      </c>
      <c r="T87" s="1">
        <v>8</v>
      </c>
      <c r="U87" s="2" t="s">
        <v>42</v>
      </c>
      <c r="V87" s="2">
        <v>44974</v>
      </c>
      <c r="W87" s="2" t="s">
        <v>42</v>
      </c>
      <c r="X87" s="1" t="s">
        <v>648</v>
      </c>
      <c r="Y87" s="2">
        <v>46080</v>
      </c>
      <c r="Z87" s="1" t="s">
        <v>649</v>
      </c>
      <c r="AA87" s="1" t="s">
        <v>42</v>
      </c>
      <c r="AB87" s="1" t="s">
        <v>650</v>
      </c>
      <c r="AC87" s="1" t="s">
        <v>50</v>
      </c>
      <c r="AD87" s="1">
        <v>7014477116</v>
      </c>
      <c r="AE87" s="1" t="s">
        <v>65</v>
      </c>
      <c r="AF87" s="1" t="s">
        <v>66</v>
      </c>
      <c r="AG87" s="2" t="s">
        <v>42</v>
      </c>
      <c r="AH87" s="1"/>
      <c r="AI87" s="1" t="s">
        <v>42</v>
      </c>
      <c r="AJ87" s="1"/>
      <c r="AK87" s="2" t="s">
        <v>42</v>
      </c>
      <c r="AL87" s="1" t="s">
        <v>3507</v>
      </c>
    </row>
    <row r="88" spans="1:38" ht="20.100000000000001" customHeight="1" x14ac:dyDescent="0.2">
      <c r="A88" s="3">
        <f t="shared" si="2"/>
        <v>85</v>
      </c>
      <c r="B88" s="1" t="s">
        <v>651</v>
      </c>
      <c r="C88" s="1" t="s">
        <v>652</v>
      </c>
      <c r="D88" s="1" t="s">
        <v>38</v>
      </c>
      <c r="E88" s="1" t="s">
        <v>218</v>
      </c>
      <c r="F88" s="1" t="s">
        <v>55</v>
      </c>
      <c r="G88" s="1" t="s">
        <v>653</v>
      </c>
      <c r="H88" s="2">
        <v>45565</v>
      </c>
      <c r="I88" s="2">
        <v>34181</v>
      </c>
      <c r="J88" s="7">
        <f t="shared" ca="1" si="3"/>
        <v>30.265753424657536</v>
      </c>
      <c r="K88" s="1" t="s">
        <v>133</v>
      </c>
      <c r="L88" s="1" t="s">
        <v>134</v>
      </c>
      <c r="M88" s="2">
        <v>43879</v>
      </c>
      <c r="N88" s="1">
        <v>2</v>
      </c>
      <c r="O88" s="2">
        <v>45153</v>
      </c>
      <c r="P88" s="1" t="s">
        <v>221</v>
      </c>
      <c r="Q88" s="1" t="s">
        <v>222</v>
      </c>
      <c r="R88" s="1" t="s">
        <v>60</v>
      </c>
      <c r="S88" s="1" t="s">
        <v>47</v>
      </c>
      <c r="T88" s="1">
        <v>8</v>
      </c>
      <c r="U88" s="2" t="s">
        <v>42</v>
      </c>
      <c r="V88" s="2">
        <v>44974</v>
      </c>
      <c r="W88" s="2" t="s">
        <v>42</v>
      </c>
      <c r="X88" s="1" t="s">
        <v>654</v>
      </c>
      <c r="Y88" s="2">
        <v>48446</v>
      </c>
      <c r="Z88" s="1" t="s">
        <v>655</v>
      </c>
      <c r="AA88" s="1" t="s">
        <v>42</v>
      </c>
      <c r="AB88" s="1" t="s">
        <v>656</v>
      </c>
      <c r="AC88" s="1" t="s">
        <v>50</v>
      </c>
      <c r="AD88" s="1">
        <v>7021202564</v>
      </c>
      <c r="AE88" s="1" t="s">
        <v>567</v>
      </c>
      <c r="AF88" s="1" t="s">
        <v>227</v>
      </c>
      <c r="AG88" s="2" t="s">
        <v>42</v>
      </c>
      <c r="AH88" s="1"/>
      <c r="AI88" s="1" t="s">
        <v>42</v>
      </c>
      <c r="AJ88" s="1"/>
      <c r="AK88" s="2" t="s">
        <v>42</v>
      </c>
      <c r="AL88" s="1" t="s">
        <v>3507</v>
      </c>
    </row>
    <row r="89" spans="1:38" ht="20.100000000000001" customHeight="1" x14ac:dyDescent="0.2">
      <c r="A89" s="3">
        <f t="shared" si="2"/>
        <v>86</v>
      </c>
      <c r="B89" s="1" t="s">
        <v>657</v>
      </c>
      <c r="C89" s="1" t="s">
        <v>658</v>
      </c>
      <c r="D89" s="1" t="s">
        <v>38</v>
      </c>
      <c r="E89" s="1" t="s">
        <v>218</v>
      </c>
      <c r="F89" s="1" t="s">
        <v>55</v>
      </c>
      <c r="G89" s="1" t="s">
        <v>659</v>
      </c>
      <c r="H89" s="2">
        <v>45397</v>
      </c>
      <c r="I89" s="2">
        <v>35085</v>
      </c>
      <c r="J89" s="7">
        <f t="shared" ca="1" si="3"/>
        <v>27.789041095890411</v>
      </c>
      <c r="K89" s="1" t="s">
        <v>133</v>
      </c>
      <c r="L89" s="1" t="s">
        <v>134</v>
      </c>
      <c r="M89" s="2">
        <v>43879</v>
      </c>
      <c r="N89" s="1">
        <v>2</v>
      </c>
      <c r="O89" s="2">
        <v>44636</v>
      </c>
      <c r="P89" s="1" t="s">
        <v>44</v>
      </c>
      <c r="Q89" s="1" t="s">
        <v>142</v>
      </c>
      <c r="R89" s="1" t="s">
        <v>60</v>
      </c>
      <c r="S89" s="1" t="s">
        <v>47</v>
      </c>
      <c r="T89" s="1">
        <v>8</v>
      </c>
      <c r="U89" s="2" t="s">
        <v>42</v>
      </c>
      <c r="V89" s="2">
        <v>44974</v>
      </c>
      <c r="W89" s="2" t="s">
        <v>42</v>
      </c>
      <c r="X89" s="1" t="s">
        <v>660</v>
      </c>
      <c r="Y89" s="2">
        <v>46944</v>
      </c>
      <c r="Z89" s="1" t="s">
        <v>661</v>
      </c>
      <c r="AA89" s="1" t="s">
        <v>662</v>
      </c>
      <c r="AB89" s="1" t="s">
        <v>663</v>
      </c>
      <c r="AC89" s="1" t="s">
        <v>50</v>
      </c>
      <c r="AD89" s="1">
        <v>7014477116</v>
      </c>
      <c r="AE89" s="1" t="s">
        <v>65</v>
      </c>
      <c r="AF89" s="1" t="s">
        <v>147</v>
      </c>
      <c r="AG89" s="2" t="s">
        <v>42</v>
      </c>
      <c r="AH89" s="1"/>
      <c r="AI89" s="1" t="s">
        <v>42</v>
      </c>
      <c r="AJ89" s="1"/>
      <c r="AK89" s="2" t="s">
        <v>42</v>
      </c>
      <c r="AL89" s="1" t="s">
        <v>3507</v>
      </c>
    </row>
    <row r="90" spans="1:38" ht="20.100000000000001" customHeight="1" x14ac:dyDescent="0.2">
      <c r="A90" s="3">
        <f t="shared" si="2"/>
        <v>87</v>
      </c>
      <c r="B90" s="1" t="s">
        <v>664</v>
      </c>
      <c r="C90" s="1" t="s">
        <v>665</v>
      </c>
      <c r="D90" s="1" t="s">
        <v>38</v>
      </c>
      <c r="E90" s="1" t="s">
        <v>218</v>
      </c>
      <c r="F90" s="1" t="s">
        <v>55</v>
      </c>
      <c r="G90" s="1" t="s">
        <v>666</v>
      </c>
      <c r="H90" s="2">
        <v>45397</v>
      </c>
      <c r="I90" s="2">
        <v>35478</v>
      </c>
      <c r="J90" s="7">
        <f t="shared" ca="1" si="3"/>
        <v>26.712328767123289</v>
      </c>
      <c r="K90" s="1" t="s">
        <v>667</v>
      </c>
      <c r="L90" s="1" t="s">
        <v>134</v>
      </c>
      <c r="M90" s="2">
        <v>43879</v>
      </c>
      <c r="N90" s="1">
        <v>2</v>
      </c>
      <c r="O90" s="2">
        <v>45166</v>
      </c>
      <c r="P90" s="1" t="s">
        <v>44</v>
      </c>
      <c r="Q90" s="1" t="s">
        <v>135</v>
      </c>
      <c r="R90" s="1" t="s">
        <v>60</v>
      </c>
      <c r="S90" s="1" t="s">
        <v>47</v>
      </c>
      <c r="T90" s="1">
        <v>8</v>
      </c>
      <c r="U90" s="2" t="s">
        <v>42</v>
      </c>
      <c r="V90" s="2">
        <v>44974</v>
      </c>
      <c r="W90" s="2" t="s">
        <v>42</v>
      </c>
      <c r="X90" s="1" t="s">
        <v>668</v>
      </c>
      <c r="Y90" s="2">
        <v>46186</v>
      </c>
      <c r="Z90" s="1" t="s">
        <v>669</v>
      </c>
      <c r="AA90" s="1" t="s">
        <v>670</v>
      </c>
      <c r="AB90" s="1" t="s">
        <v>671</v>
      </c>
      <c r="AC90" s="1" t="s">
        <v>50</v>
      </c>
      <c r="AD90" s="1">
        <v>7014477116</v>
      </c>
      <c r="AE90" s="1" t="s">
        <v>65</v>
      </c>
      <c r="AF90" s="1" t="s">
        <v>66</v>
      </c>
      <c r="AG90" s="2" t="s">
        <v>42</v>
      </c>
      <c r="AH90" s="1"/>
      <c r="AI90" s="1" t="s">
        <v>42</v>
      </c>
      <c r="AJ90" s="1"/>
      <c r="AK90" s="2" t="s">
        <v>42</v>
      </c>
      <c r="AL90" s="1" t="s">
        <v>514</v>
      </c>
    </row>
    <row r="91" spans="1:38" ht="20.100000000000001" customHeight="1" x14ac:dyDescent="0.2">
      <c r="A91" s="3">
        <f t="shared" si="2"/>
        <v>88</v>
      </c>
      <c r="B91" s="1" t="s">
        <v>672</v>
      </c>
      <c r="C91" s="1" t="s">
        <v>673</v>
      </c>
      <c r="D91" s="1" t="s">
        <v>38</v>
      </c>
      <c r="E91" s="1" t="s">
        <v>218</v>
      </c>
      <c r="F91" s="1" t="s">
        <v>55</v>
      </c>
      <c r="G91" s="1" t="s">
        <v>674</v>
      </c>
      <c r="H91" s="2">
        <v>45459</v>
      </c>
      <c r="I91" s="2">
        <v>36088</v>
      </c>
      <c r="J91" s="7">
        <f t="shared" ca="1" si="3"/>
        <v>25.041095890410958</v>
      </c>
      <c r="K91" s="1" t="s">
        <v>133</v>
      </c>
      <c r="L91" s="1" t="s">
        <v>134</v>
      </c>
      <c r="M91" s="2">
        <v>43879</v>
      </c>
      <c r="N91" s="1">
        <v>2</v>
      </c>
      <c r="O91" s="2">
        <v>44823</v>
      </c>
      <c r="P91" s="1" t="s">
        <v>44</v>
      </c>
      <c r="Q91" s="1" t="s">
        <v>98</v>
      </c>
      <c r="R91" s="1" t="s">
        <v>60</v>
      </c>
      <c r="S91" s="1" t="s">
        <v>47</v>
      </c>
      <c r="T91" s="1">
        <v>8</v>
      </c>
      <c r="U91" s="2" t="s">
        <v>42</v>
      </c>
      <c r="V91" s="2">
        <v>44974</v>
      </c>
      <c r="W91" s="2" t="s">
        <v>42</v>
      </c>
      <c r="X91" s="1" t="s">
        <v>675</v>
      </c>
      <c r="Y91" s="2">
        <v>46794</v>
      </c>
      <c r="Z91" s="1" t="s">
        <v>676</v>
      </c>
      <c r="AA91" s="1" t="s">
        <v>42</v>
      </c>
      <c r="AB91" s="1" t="s">
        <v>677</v>
      </c>
      <c r="AC91" s="1" t="s">
        <v>50</v>
      </c>
      <c r="AD91" s="1">
        <v>7014477116</v>
      </c>
      <c r="AE91" s="1" t="s">
        <v>65</v>
      </c>
      <c r="AF91" s="1"/>
      <c r="AG91" s="2" t="s">
        <v>42</v>
      </c>
      <c r="AH91" s="1"/>
      <c r="AI91" s="1" t="s">
        <v>42</v>
      </c>
      <c r="AJ91" s="1"/>
      <c r="AK91" s="2" t="s">
        <v>42</v>
      </c>
      <c r="AL91" s="1" t="s">
        <v>3507</v>
      </c>
    </row>
    <row r="92" spans="1:38" ht="20.100000000000001" customHeight="1" x14ac:dyDescent="0.2">
      <c r="A92" s="3">
        <f t="shared" si="2"/>
        <v>89</v>
      </c>
      <c r="B92" s="1" t="s">
        <v>678</v>
      </c>
      <c r="C92" s="1" t="s">
        <v>679</v>
      </c>
      <c r="D92" s="1" t="s">
        <v>38</v>
      </c>
      <c r="E92" s="1" t="s">
        <v>218</v>
      </c>
      <c r="F92" s="1" t="s">
        <v>55</v>
      </c>
      <c r="G92" s="1" t="s">
        <v>680</v>
      </c>
      <c r="H92" s="2">
        <v>45397</v>
      </c>
      <c r="I92" s="2">
        <v>35551</v>
      </c>
      <c r="J92" s="7">
        <f t="shared" ca="1" si="3"/>
        <v>26.512328767123286</v>
      </c>
      <c r="K92" s="1" t="s">
        <v>133</v>
      </c>
      <c r="L92" s="1" t="s">
        <v>134</v>
      </c>
      <c r="M92" s="2">
        <v>43879</v>
      </c>
      <c r="N92" s="1">
        <v>2</v>
      </c>
      <c r="O92" s="2">
        <v>43879</v>
      </c>
      <c r="P92" s="1" t="s">
        <v>221</v>
      </c>
      <c r="Q92" s="1" t="s">
        <v>292</v>
      </c>
      <c r="R92" s="1" t="s">
        <v>60</v>
      </c>
      <c r="S92" s="1" t="s">
        <v>47</v>
      </c>
      <c r="T92" s="1">
        <v>12</v>
      </c>
      <c r="U92" s="2" t="s">
        <v>42</v>
      </c>
      <c r="V92" s="2">
        <v>44974</v>
      </c>
      <c r="W92" s="2">
        <v>45044</v>
      </c>
      <c r="X92" s="1" t="s">
        <v>681</v>
      </c>
      <c r="Y92" s="2">
        <v>46382</v>
      </c>
      <c r="Z92" s="1" t="s">
        <v>682</v>
      </c>
      <c r="AA92" s="1" t="s">
        <v>683</v>
      </c>
      <c r="AB92" s="1" t="s">
        <v>684</v>
      </c>
      <c r="AC92" s="1" t="s">
        <v>50</v>
      </c>
      <c r="AD92" s="1">
        <v>7014477116</v>
      </c>
      <c r="AE92" s="1" t="s">
        <v>65</v>
      </c>
      <c r="AF92" s="1" t="s">
        <v>66</v>
      </c>
      <c r="AG92" s="2" t="s">
        <v>42</v>
      </c>
      <c r="AH92" s="1"/>
      <c r="AI92" s="1" t="s">
        <v>42</v>
      </c>
      <c r="AJ92" s="1"/>
      <c r="AK92" s="2" t="s">
        <v>42</v>
      </c>
      <c r="AL92" s="1" t="s">
        <v>3507</v>
      </c>
    </row>
    <row r="93" spans="1:38" ht="20.100000000000001" customHeight="1" x14ac:dyDescent="0.2">
      <c r="A93" s="3">
        <f t="shared" si="2"/>
        <v>90</v>
      </c>
      <c r="B93" s="1" t="s">
        <v>685</v>
      </c>
      <c r="C93" s="1" t="s">
        <v>686</v>
      </c>
      <c r="D93" s="1" t="s">
        <v>38</v>
      </c>
      <c r="E93" s="1" t="s">
        <v>218</v>
      </c>
      <c r="F93" s="1" t="s">
        <v>55</v>
      </c>
      <c r="G93" s="1" t="s">
        <v>687</v>
      </c>
      <c r="H93" s="2">
        <v>45565</v>
      </c>
      <c r="I93" s="2">
        <v>33077</v>
      </c>
      <c r="J93" s="7">
        <f t="shared" ca="1" si="3"/>
        <v>33.290410958904111</v>
      </c>
      <c r="K93" s="1" t="s">
        <v>133</v>
      </c>
      <c r="L93" s="1" t="s">
        <v>134</v>
      </c>
      <c r="M93" s="2">
        <v>43879</v>
      </c>
      <c r="N93" s="1">
        <v>2</v>
      </c>
      <c r="O93" s="2">
        <v>43879</v>
      </c>
      <c r="P93" s="1" t="s">
        <v>221</v>
      </c>
      <c r="Q93" s="1" t="s">
        <v>222</v>
      </c>
      <c r="R93" s="1" t="s">
        <v>60</v>
      </c>
      <c r="S93" s="1" t="s">
        <v>47</v>
      </c>
      <c r="T93" s="1">
        <v>8</v>
      </c>
      <c r="U93" s="2" t="s">
        <v>42</v>
      </c>
      <c r="V93" s="2">
        <v>44974</v>
      </c>
      <c r="W93" s="2" t="s">
        <v>42</v>
      </c>
      <c r="X93" s="1" t="s">
        <v>688</v>
      </c>
      <c r="Y93" s="2">
        <v>45843</v>
      </c>
      <c r="Z93" s="1" t="s">
        <v>689</v>
      </c>
      <c r="AA93" s="1" t="s">
        <v>690</v>
      </c>
      <c r="AB93" s="1" t="s">
        <v>691</v>
      </c>
      <c r="AC93" s="1" t="s">
        <v>50</v>
      </c>
      <c r="AD93" s="1">
        <v>7021202564</v>
      </c>
      <c r="AE93" s="1" t="s">
        <v>567</v>
      </c>
      <c r="AF93" s="1" t="s">
        <v>227</v>
      </c>
      <c r="AG93" s="2" t="s">
        <v>42</v>
      </c>
      <c r="AH93" s="1"/>
      <c r="AI93" s="1" t="s">
        <v>42</v>
      </c>
      <c r="AJ93" s="1"/>
      <c r="AK93" s="2" t="s">
        <v>42</v>
      </c>
      <c r="AL93" s="1" t="s">
        <v>3507</v>
      </c>
    </row>
    <row r="94" spans="1:38" ht="20.100000000000001" customHeight="1" x14ac:dyDescent="0.2">
      <c r="A94" s="3">
        <f t="shared" si="2"/>
        <v>91</v>
      </c>
      <c r="B94" s="1" t="s">
        <v>692</v>
      </c>
      <c r="C94" s="1" t="s">
        <v>693</v>
      </c>
      <c r="D94" s="1" t="s">
        <v>38</v>
      </c>
      <c r="E94" s="1" t="s">
        <v>54</v>
      </c>
      <c r="F94" s="1" t="s">
        <v>55</v>
      </c>
      <c r="G94" s="1" t="s">
        <v>694</v>
      </c>
      <c r="H94" s="2">
        <v>45400</v>
      </c>
      <c r="I94" s="2">
        <v>34459</v>
      </c>
      <c r="J94" s="7">
        <f t="shared" ca="1" si="3"/>
        <v>29.504109589041096</v>
      </c>
      <c r="K94" s="1" t="s">
        <v>57</v>
      </c>
      <c r="L94" s="1" t="s">
        <v>134</v>
      </c>
      <c r="M94" s="2">
        <v>43885</v>
      </c>
      <c r="N94" s="1">
        <v>2</v>
      </c>
      <c r="O94" s="2">
        <v>45130</v>
      </c>
      <c r="P94" s="1" t="s">
        <v>44</v>
      </c>
      <c r="Q94" s="1" t="s">
        <v>107</v>
      </c>
      <c r="R94" s="1" t="s">
        <v>60</v>
      </c>
      <c r="S94" s="1" t="s">
        <v>47</v>
      </c>
      <c r="T94" s="1">
        <v>12</v>
      </c>
      <c r="U94" s="2" t="s">
        <v>42</v>
      </c>
      <c r="V94" s="2">
        <v>44980</v>
      </c>
      <c r="W94" s="2">
        <v>44999</v>
      </c>
      <c r="X94" s="1" t="s">
        <v>695</v>
      </c>
      <c r="Y94" s="2">
        <v>45474</v>
      </c>
      <c r="Z94" s="1" t="s">
        <v>696</v>
      </c>
      <c r="AA94" s="1" t="s">
        <v>42</v>
      </c>
      <c r="AB94" s="1" t="s">
        <v>697</v>
      </c>
      <c r="AC94" s="1" t="s">
        <v>50</v>
      </c>
      <c r="AD94" s="1">
        <v>7015572543</v>
      </c>
      <c r="AE94" s="1" t="s">
        <v>3506</v>
      </c>
      <c r="AF94" s="1" t="s">
        <v>66</v>
      </c>
      <c r="AG94" s="2" t="s">
        <v>42</v>
      </c>
      <c r="AH94" s="1"/>
      <c r="AI94" s="1" t="s">
        <v>42</v>
      </c>
      <c r="AJ94" s="1"/>
      <c r="AK94" s="2" t="s">
        <v>42</v>
      </c>
      <c r="AL94" s="1" t="s">
        <v>3507</v>
      </c>
    </row>
    <row r="95" spans="1:38" ht="20.100000000000001" customHeight="1" x14ac:dyDescent="0.2">
      <c r="A95" s="3">
        <f t="shared" si="2"/>
        <v>92</v>
      </c>
      <c r="B95" s="1" t="s">
        <v>698</v>
      </c>
      <c r="C95" s="1" t="s">
        <v>699</v>
      </c>
      <c r="D95" s="1" t="s">
        <v>38</v>
      </c>
      <c r="E95" s="1" t="s">
        <v>54</v>
      </c>
      <c r="F95" s="1" t="s">
        <v>55</v>
      </c>
      <c r="G95" s="1" t="s">
        <v>700</v>
      </c>
      <c r="H95" s="2">
        <v>45363</v>
      </c>
      <c r="I95" s="2">
        <v>34853</v>
      </c>
      <c r="J95" s="7">
        <f t="shared" ca="1" si="3"/>
        <v>28.424657534246574</v>
      </c>
      <c r="K95" s="1" t="s">
        <v>57</v>
      </c>
      <c r="L95" s="1" t="s">
        <v>134</v>
      </c>
      <c r="M95" s="2">
        <v>43800</v>
      </c>
      <c r="N95" s="1">
        <v>2</v>
      </c>
      <c r="O95" s="2">
        <v>43885</v>
      </c>
      <c r="P95" s="1" t="s">
        <v>44</v>
      </c>
      <c r="Q95" s="1" t="s">
        <v>306</v>
      </c>
      <c r="R95" s="1" t="s">
        <v>60</v>
      </c>
      <c r="S95" s="1" t="s">
        <v>47</v>
      </c>
      <c r="T95" s="1">
        <v>12</v>
      </c>
      <c r="U95" s="2" t="s">
        <v>42</v>
      </c>
      <c r="V95" s="2">
        <v>44980</v>
      </c>
      <c r="W95" s="2">
        <v>45016</v>
      </c>
      <c r="X95" s="1" t="s">
        <v>701</v>
      </c>
      <c r="Y95" s="2">
        <v>46552</v>
      </c>
      <c r="Z95" s="1" t="s">
        <v>702</v>
      </c>
      <c r="AA95" s="1" t="s">
        <v>42</v>
      </c>
      <c r="AB95" s="1" t="s">
        <v>703</v>
      </c>
      <c r="AC95" s="1" t="s">
        <v>50</v>
      </c>
      <c r="AD95" s="1">
        <v>7015572543</v>
      </c>
      <c r="AE95" s="1" t="s">
        <v>3506</v>
      </c>
      <c r="AF95" s="1" t="s">
        <v>66</v>
      </c>
      <c r="AG95" s="2" t="s">
        <v>42</v>
      </c>
      <c r="AH95" s="1"/>
      <c r="AI95" s="1" t="s">
        <v>42</v>
      </c>
      <c r="AJ95" s="1"/>
      <c r="AK95" s="2" t="s">
        <v>42</v>
      </c>
      <c r="AL95" s="1" t="s">
        <v>3507</v>
      </c>
    </row>
    <row r="96" spans="1:38" ht="20.100000000000001" customHeight="1" x14ac:dyDescent="0.2">
      <c r="A96" s="3">
        <f t="shared" si="2"/>
        <v>93</v>
      </c>
      <c r="B96" s="1" t="s">
        <v>704</v>
      </c>
      <c r="C96" s="1" t="s">
        <v>705</v>
      </c>
      <c r="D96" s="1" t="s">
        <v>38</v>
      </c>
      <c r="E96" s="1" t="s">
        <v>163</v>
      </c>
      <c r="F96" s="1" t="s">
        <v>55</v>
      </c>
      <c r="G96" s="1" t="s">
        <v>706</v>
      </c>
      <c r="H96" s="2">
        <v>45289</v>
      </c>
      <c r="I96" s="2">
        <v>33423</v>
      </c>
      <c r="J96" s="7">
        <f t="shared" ca="1" si="3"/>
        <v>32.342465753424655</v>
      </c>
      <c r="K96" s="1" t="s">
        <v>667</v>
      </c>
      <c r="L96" s="1" t="s">
        <v>707</v>
      </c>
      <c r="M96" s="2">
        <v>43891</v>
      </c>
      <c r="N96" s="1">
        <v>2</v>
      </c>
      <c r="O96" s="2">
        <v>44527</v>
      </c>
      <c r="P96" s="1" t="s">
        <v>44</v>
      </c>
      <c r="Q96" s="1" t="s">
        <v>45</v>
      </c>
      <c r="R96" s="1" t="s">
        <v>708</v>
      </c>
      <c r="S96" s="1" t="s">
        <v>47</v>
      </c>
      <c r="T96" s="1">
        <v>8</v>
      </c>
      <c r="U96" s="2" t="s">
        <v>42</v>
      </c>
      <c r="V96" s="2">
        <v>44985</v>
      </c>
      <c r="W96" s="2" t="s">
        <v>42</v>
      </c>
      <c r="X96" s="1" t="s">
        <v>709</v>
      </c>
      <c r="Y96" s="2">
        <v>48632</v>
      </c>
      <c r="Z96" s="1" t="s">
        <v>710</v>
      </c>
      <c r="AA96" s="1" t="s">
        <v>42</v>
      </c>
      <c r="AB96" s="1" t="s">
        <v>711</v>
      </c>
      <c r="AC96" s="1" t="s">
        <v>50</v>
      </c>
      <c r="AD96" s="1">
        <v>7014477116</v>
      </c>
      <c r="AE96" s="1" t="s">
        <v>65</v>
      </c>
      <c r="AF96" s="1"/>
      <c r="AG96" s="2" t="s">
        <v>42</v>
      </c>
      <c r="AH96" s="1"/>
      <c r="AI96" s="1" t="s">
        <v>42</v>
      </c>
      <c r="AJ96" s="1"/>
      <c r="AK96" s="2" t="s">
        <v>42</v>
      </c>
      <c r="AL96" s="1" t="s">
        <v>3507</v>
      </c>
    </row>
    <row r="97" spans="1:38" ht="20.100000000000001" customHeight="1" x14ac:dyDescent="0.2">
      <c r="A97" s="3">
        <f t="shared" si="2"/>
        <v>94</v>
      </c>
      <c r="B97" s="1" t="s">
        <v>712</v>
      </c>
      <c r="C97" s="1" t="s">
        <v>713</v>
      </c>
      <c r="D97" s="1" t="s">
        <v>38</v>
      </c>
      <c r="E97" s="1" t="s">
        <v>163</v>
      </c>
      <c r="F97" s="1" t="s">
        <v>55</v>
      </c>
      <c r="G97" s="1" t="s">
        <v>714</v>
      </c>
      <c r="H97" s="2">
        <v>45353</v>
      </c>
      <c r="I97" s="2">
        <v>30239</v>
      </c>
      <c r="J97" s="7">
        <f t="shared" ca="1" si="3"/>
        <v>41.065753424657537</v>
      </c>
      <c r="K97" s="1" t="s">
        <v>133</v>
      </c>
      <c r="L97" s="1" t="s">
        <v>134</v>
      </c>
      <c r="M97" s="2">
        <v>43835</v>
      </c>
      <c r="N97" s="1">
        <v>2</v>
      </c>
      <c r="O97" s="2">
        <v>43922</v>
      </c>
      <c r="P97" s="1" t="s">
        <v>165</v>
      </c>
      <c r="Q97" s="1" t="s">
        <v>166</v>
      </c>
      <c r="R97" s="1" t="s">
        <v>60</v>
      </c>
      <c r="S97" s="1" t="s">
        <v>47</v>
      </c>
      <c r="T97" s="1">
        <v>12</v>
      </c>
      <c r="U97" s="2" t="s">
        <v>42</v>
      </c>
      <c r="V97" s="2">
        <v>45081</v>
      </c>
      <c r="W97" s="2">
        <v>45014</v>
      </c>
      <c r="X97" s="1" t="s">
        <v>715</v>
      </c>
      <c r="Y97" s="2">
        <v>45162</v>
      </c>
      <c r="Z97" s="1" t="s">
        <v>716</v>
      </c>
      <c r="AA97" s="1" t="s">
        <v>42</v>
      </c>
      <c r="AB97" s="1" t="s">
        <v>717</v>
      </c>
      <c r="AC97" s="1" t="s">
        <v>50</v>
      </c>
      <c r="AD97" s="1">
        <v>7014477116</v>
      </c>
      <c r="AE97" s="1" t="s">
        <v>65</v>
      </c>
      <c r="AF97" s="1" t="s">
        <v>66</v>
      </c>
      <c r="AG97" s="2" t="s">
        <v>42</v>
      </c>
      <c r="AH97" s="1"/>
      <c r="AI97" s="1" t="s">
        <v>42</v>
      </c>
      <c r="AJ97" s="1"/>
      <c r="AK97" s="2" t="s">
        <v>42</v>
      </c>
      <c r="AL97" s="1" t="s">
        <v>3507</v>
      </c>
    </row>
    <row r="98" spans="1:38" ht="20.100000000000001" customHeight="1" x14ac:dyDescent="0.2">
      <c r="A98" s="3">
        <f t="shared" si="2"/>
        <v>95</v>
      </c>
      <c r="B98" s="1" t="s">
        <v>718</v>
      </c>
      <c r="C98" s="1" t="s">
        <v>719</v>
      </c>
      <c r="D98" s="1" t="s">
        <v>38</v>
      </c>
      <c r="E98" s="1" t="s">
        <v>54</v>
      </c>
      <c r="F98" s="1" t="s">
        <v>55</v>
      </c>
      <c r="G98" s="1" t="s">
        <v>720</v>
      </c>
      <c r="H98" s="2">
        <v>45353</v>
      </c>
      <c r="I98" s="2">
        <v>32011</v>
      </c>
      <c r="J98" s="7">
        <f t="shared" ca="1" si="3"/>
        <v>36.210958904109589</v>
      </c>
      <c r="K98" s="1" t="s">
        <v>57</v>
      </c>
      <c r="L98" s="1" t="s">
        <v>134</v>
      </c>
      <c r="M98" s="2">
        <v>43954</v>
      </c>
      <c r="N98" s="1">
        <v>2</v>
      </c>
      <c r="O98" s="2">
        <v>43954</v>
      </c>
      <c r="P98" s="1" t="s">
        <v>721</v>
      </c>
      <c r="Q98" s="1" t="s">
        <v>722</v>
      </c>
      <c r="R98" s="1" t="s">
        <v>60</v>
      </c>
      <c r="S98" s="1" t="s">
        <v>47</v>
      </c>
      <c r="T98" s="1">
        <v>12</v>
      </c>
      <c r="U98" s="2" t="s">
        <v>42</v>
      </c>
      <c r="V98" s="2">
        <v>45048</v>
      </c>
      <c r="W98" s="2">
        <v>45015</v>
      </c>
      <c r="X98" s="1" t="s">
        <v>723</v>
      </c>
      <c r="Y98" s="2">
        <v>45398</v>
      </c>
      <c r="Z98" s="1" t="s">
        <v>724</v>
      </c>
      <c r="AA98" s="1" t="s">
        <v>725</v>
      </c>
      <c r="AB98" s="1" t="s">
        <v>726</v>
      </c>
      <c r="AC98" s="1" t="s">
        <v>50</v>
      </c>
      <c r="AD98" s="1">
        <v>7015572543</v>
      </c>
      <c r="AE98" s="1" t="s">
        <v>3506</v>
      </c>
      <c r="AF98" s="1" t="s">
        <v>66</v>
      </c>
      <c r="AG98" s="2" t="s">
        <v>42</v>
      </c>
      <c r="AH98" s="1"/>
      <c r="AI98" s="1" t="s">
        <v>42</v>
      </c>
      <c r="AJ98" s="1"/>
      <c r="AK98" s="2" t="s">
        <v>42</v>
      </c>
      <c r="AL98" s="1" t="s">
        <v>3507</v>
      </c>
    </row>
    <row r="99" spans="1:38" ht="20.100000000000001" customHeight="1" x14ac:dyDescent="0.2">
      <c r="A99" s="3">
        <f t="shared" si="2"/>
        <v>96</v>
      </c>
      <c r="B99" s="1" t="s">
        <v>727</v>
      </c>
      <c r="C99" s="1" t="s">
        <v>728</v>
      </c>
      <c r="D99" s="1" t="s">
        <v>38</v>
      </c>
      <c r="E99" s="1" t="s">
        <v>54</v>
      </c>
      <c r="F99" s="1" t="s">
        <v>55</v>
      </c>
      <c r="G99" s="1" t="s">
        <v>729</v>
      </c>
      <c r="H99" s="2">
        <v>45335</v>
      </c>
      <c r="I99" s="2">
        <v>33154</v>
      </c>
      <c r="J99" s="7">
        <f t="shared" ca="1" si="3"/>
        <v>33.079452054794523</v>
      </c>
      <c r="K99" s="1" t="s">
        <v>57</v>
      </c>
      <c r="L99" s="1" t="s">
        <v>58</v>
      </c>
      <c r="M99" s="2">
        <v>43954</v>
      </c>
      <c r="N99" s="1">
        <v>2</v>
      </c>
      <c r="O99" s="2">
        <v>43954</v>
      </c>
      <c r="P99" s="1" t="s">
        <v>44</v>
      </c>
      <c r="Q99" s="1" t="s">
        <v>306</v>
      </c>
      <c r="R99" s="1" t="s">
        <v>60</v>
      </c>
      <c r="S99" s="1" t="s">
        <v>47</v>
      </c>
      <c r="T99" s="1">
        <v>12</v>
      </c>
      <c r="U99" s="2" t="s">
        <v>42</v>
      </c>
      <c r="V99" s="2">
        <v>45048</v>
      </c>
      <c r="W99" s="2">
        <v>44968</v>
      </c>
      <c r="X99" s="1" t="s">
        <v>730</v>
      </c>
      <c r="Y99" s="2">
        <v>46319</v>
      </c>
      <c r="Z99" s="1" t="s">
        <v>731</v>
      </c>
      <c r="AA99" s="1" t="s">
        <v>732</v>
      </c>
      <c r="AB99" s="1" t="s">
        <v>733</v>
      </c>
      <c r="AC99" s="1" t="s">
        <v>50</v>
      </c>
      <c r="AD99" s="1">
        <v>7015572543</v>
      </c>
      <c r="AE99" s="1" t="s">
        <v>3506</v>
      </c>
      <c r="AF99" s="1" t="s">
        <v>66</v>
      </c>
      <c r="AG99" s="2" t="s">
        <v>42</v>
      </c>
      <c r="AH99" s="1" t="s">
        <v>341</v>
      </c>
      <c r="AI99" s="1" t="s">
        <v>42</v>
      </c>
      <c r="AJ99" s="1"/>
      <c r="AK99" s="2" t="s">
        <v>42</v>
      </c>
      <c r="AL99" s="1" t="s">
        <v>3507</v>
      </c>
    </row>
    <row r="100" spans="1:38" ht="20.100000000000001" customHeight="1" x14ac:dyDescent="0.2">
      <c r="A100" s="3">
        <f t="shared" si="2"/>
        <v>97</v>
      </c>
      <c r="B100" s="1" t="s">
        <v>734</v>
      </c>
      <c r="C100" s="1" t="s">
        <v>735</v>
      </c>
      <c r="D100" s="1" t="s">
        <v>38</v>
      </c>
      <c r="E100" s="1" t="s">
        <v>54</v>
      </c>
      <c r="F100" s="1" t="s">
        <v>55</v>
      </c>
      <c r="G100" s="1" t="s">
        <v>736</v>
      </c>
      <c r="H100" s="2">
        <v>45400</v>
      </c>
      <c r="I100" s="2">
        <v>35411</v>
      </c>
      <c r="J100" s="7">
        <f t="shared" ca="1" si="3"/>
        <v>26.895890410958906</v>
      </c>
      <c r="K100" s="1" t="s">
        <v>57</v>
      </c>
      <c r="L100" s="1" t="s">
        <v>134</v>
      </c>
      <c r="M100" s="2">
        <v>43954</v>
      </c>
      <c r="N100" s="1">
        <v>2</v>
      </c>
      <c r="O100" s="2">
        <v>43954</v>
      </c>
      <c r="P100" s="1" t="s">
        <v>721</v>
      </c>
      <c r="Q100" s="1" t="s">
        <v>722</v>
      </c>
      <c r="R100" s="1" t="s">
        <v>60</v>
      </c>
      <c r="S100" s="1" t="s">
        <v>47</v>
      </c>
      <c r="T100" s="1">
        <v>12</v>
      </c>
      <c r="U100" s="2" t="s">
        <v>42</v>
      </c>
      <c r="V100" s="2">
        <v>45048</v>
      </c>
      <c r="W100" s="2" t="s">
        <v>42</v>
      </c>
      <c r="X100" s="1" t="s">
        <v>737</v>
      </c>
      <c r="Y100" s="2">
        <v>45357</v>
      </c>
      <c r="Z100" s="1" t="s">
        <v>738</v>
      </c>
      <c r="AA100" s="1" t="s">
        <v>739</v>
      </c>
      <c r="AB100" s="1" t="s">
        <v>740</v>
      </c>
      <c r="AC100" s="1" t="s">
        <v>50</v>
      </c>
      <c r="AD100" s="1">
        <v>7015572543</v>
      </c>
      <c r="AE100" s="1" t="s">
        <v>3506</v>
      </c>
      <c r="AF100" s="1" t="s">
        <v>66</v>
      </c>
      <c r="AG100" s="2" t="s">
        <v>42</v>
      </c>
      <c r="AH100" s="1"/>
      <c r="AI100" s="1" t="s">
        <v>42</v>
      </c>
      <c r="AJ100" s="1"/>
      <c r="AK100" s="2" t="s">
        <v>42</v>
      </c>
      <c r="AL100" s="1" t="s">
        <v>3507</v>
      </c>
    </row>
    <row r="101" spans="1:38" ht="20.100000000000001" customHeight="1" x14ac:dyDescent="0.2">
      <c r="A101" s="3">
        <f t="shared" si="2"/>
        <v>98</v>
      </c>
      <c r="B101" s="1" t="s">
        <v>2829</v>
      </c>
      <c r="C101" s="1" t="s">
        <v>2830</v>
      </c>
      <c r="D101" s="1" t="s">
        <v>38</v>
      </c>
      <c r="E101" s="1" t="s">
        <v>54</v>
      </c>
      <c r="F101" s="1" t="s">
        <v>55</v>
      </c>
      <c r="G101" s="1" t="s">
        <v>2831</v>
      </c>
      <c r="H101" s="2">
        <v>45083</v>
      </c>
      <c r="I101" s="2">
        <v>35084</v>
      </c>
      <c r="J101" s="7">
        <f t="shared" ca="1" si="3"/>
        <v>27.791780821917808</v>
      </c>
      <c r="K101" s="1" t="s">
        <v>2832</v>
      </c>
      <c r="L101" s="1" t="s">
        <v>134</v>
      </c>
      <c r="M101" s="2">
        <v>43954</v>
      </c>
      <c r="N101" s="1">
        <v>2</v>
      </c>
      <c r="O101" s="2">
        <v>43954</v>
      </c>
      <c r="P101" s="1" t="s">
        <v>44</v>
      </c>
      <c r="Q101" s="1" t="s">
        <v>744</v>
      </c>
      <c r="R101" s="1" t="s">
        <v>60</v>
      </c>
      <c r="S101" s="1" t="s">
        <v>47</v>
      </c>
      <c r="T101" s="1">
        <v>12</v>
      </c>
      <c r="U101" s="2" t="s">
        <v>42</v>
      </c>
      <c r="V101" s="2">
        <v>45048</v>
      </c>
      <c r="W101" s="2">
        <v>44971</v>
      </c>
      <c r="X101" s="1" t="s">
        <v>2833</v>
      </c>
      <c r="Y101" s="2">
        <v>45218</v>
      </c>
      <c r="Z101" s="1" t="s">
        <v>2834</v>
      </c>
      <c r="AA101" s="1" t="s">
        <v>2835</v>
      </c>
      <c r="AB101" s="1" t="s">
        <v>2836</v>
      </c>
      <c r="AC101" s="1" t="s">
        <v>50</v>
      </c>
      <c r="AD101" s="1">
        <v>7015572543</v>
      </c>
      <c r="AE101" s="1" t="s">
        <v>3506</v>
      </c>
      <c r="AF101" s="1"/>
      <c r="AG101" s="2">
        <v>45077</v>
      </c>
      <c r="AH101" s="1" t="s">
        <v>2805</v>
      </c>
      <c r="AI101" s="1" t="s">
        <v>42</v>
      </c>
      <c r="AJ101" s="1"/>
      <c r="AK101" s="2" t="s">
        <v>42</v>
      </c>
      <c r="AL101" s="1" t="s">
        <v>2806</v>
      </c>
    </row>
    <row r="102" spans="1:38" ht="20.100000000000001" customHeight="1" x14ac:dyDescent="0.2">
      <c r="A102" s="3">
        <f t="shared" si="2"/>
        <v>99</v>
      </c>
      <c r="B102" s="1" t="s">
        <v>741</v>
      </c>
      <c r="C102" s="1" t="s">
        <v>742</v>
      </c>
      <c r="D102" s="1" t="s">
        <v>38</v>
      </c>
      <c r="E102" s="1" t="s">
        <v>54</v>
      </c>
      <c r="F102" s="1" t="s">
        <v>55</v>
      </c>
      <c r="G102" s="1" t="s">
        <v>743</v>
      </c>
      <c r="H102" s="2">
        <v>45272</v>
      </c>
      <c r="I102" s="2">
        <v>34745</v>
      </c>
      <c r="J102" s="7">
        <f t="shared" ca="1" si="3"/>
        <v>28.720547945205478</v>
      </c>
      <c r="K102" s="1" t="s">
        <v>57</v>
      </c>
      <c r="L102" s="1" t="s">
        <v>134</v>
      </c>
      <c r="M102" s="2">
        <v>43964</v>
      </c>
      <c r="N102" s="1">
        <v>2</v>
      </c>
      <c r="O102" s="2">
        <v>43964</v>
      </c>
      <c r="P102" s="1" t="s">
        <v>44</v>
      </c>
      <c r="Q102" s="1" t="s">
        <v>744</v>
      </c>
      <c r="R102" s="1" t="s">
        <v>60</v>
      </c>
      <c r="S102" s="1" t="s">
        <v>47</v>
      </c>
      <c r="T102" s="1">
        <v>12</v>
      </c>
      <c r="U102" s="2" t="s">
        <v>42</v>
      </c>
      <c r="V102" s="2">
        <v>45058</v>
      </c>
      <c r="W102" s="2">
        <v>44971</v>
      </c>
      <c r="X102" s="1" t="s">
        <v>745</v>
      </c>
      <c r="Y102" s="2">
        <v>45082</v>
      </c>
      <c r="Z102" s="1" t="s">
        <v>746</v>
      </c>
      <c r="AA102" s="1" t="s">
        <v>747</v>
      </c>
      <c r="AB102" s="1" t="s">
        <v>748</v>
      </c>
      <c r="AC102" s="1" t="s">
        <v>50</v>
      </c>
      <c r="AD102" s="1">
        <v>7015572543</v>
      </c>
      <c r="AE102" s="1" t="s">
        <v>3506</v>
      </c>
      <c r="AF102" s="1" t="s">
        <v>66</v>
      </c>
      <c r="AG102" s="2" t="s">
        <v>42</v>
      </c>
      <c r="AH102" s="1"/>
      <c r="AI102" s="1" t="s">
        <v>42</v>
      </c>
      <c r="AJ102" s="1"/>
      <c r="AK102" s="2" t="s">
        <v>42</v>
      </c>
      <c r="AL102" s="1" t="s">
        <v>3507</v>
      </c>
    </row>
    <row r="103" spans="1:38" ht="20.100000000000001" customHeight="1" x14ac:dyDescent="0.2">
      <c r="A103" s="3">
        <f t="shared" si="2"/>
        <v>100</v>
      </c>
      <c r="B103" s="1" t="s">
        <v>749</v>
      </c>
      <c r="C103" s="1" t="s">
        <v>750</v>
      </c>
      <c r="D103" s="1" t="s">
        <v>38</v>
      </c>
      <c r="E103" s="1" t="s">
        <v>39</v>
      </c>
      <c r="F103" s="1" t="s">
        <v>40</v>
      </c>
      <c r="G103" s="1" t="s">
        <v>751</v>
      </c>
      <c r="H103" s="2" t="s">
        <v>42</v>
      </c>
      <c r="I103" s="2" t="s">
        <v>42</v>
      </c>
      <c r="J103" s="7"/>
      <c r="K103" s="1" t="s">
        <v>42</v>
      </c>
      <c r="L103" s="1" t="s">
        <v>752</v>
      </c>
      <c r="M103" s="2">
        <v>44013</v>
      </c>
      <c r="N103" s="1">
        <v>2</v>
      </c>
      <c r="O103" s="2">
        <v>44013</v>
      </c>
      <c r="P103" s="1" t="s">
        <v>44</v>
      </c>
      <c r="Q103" s="1" t="s">
        <v>178</v>
      </c>
      <c r="R103" s="1" t="s">
        <v>753</v>
      </c>
      <c r="S103" s="1" t="s">
        <v>754</v>
      </c>
      <c r="T103" s="1">
        <v>8</v>
      </c>
      <c r="U103" s="2" t="s">
        <v>42</v>
      </c>
      <c r="V103" s="2">
        <v>45107</v>
      </c>
      <c r="W103" s="2" t="s">
        <v>42</v>
      </c>
      <c r="X103" s="1" t="s">
        <v>42</v>
      </c>
      <c r="Y103" s="2" t="s">
        <v>42</v>
      </c>
      <c r="Z103" s="1" t="s">
        <v>755</v>
      </c>
      <c r="AA103" s="1" t="s">
        <v>756</v>
      </c>
      <c r="AB103" s="1" t="s">
        <v>757</v>
      </c>
      <c r="AC103" s="1" t="s">
        <v>129</v>
      </c>
      <c r="AD103" s="1"/>
      <c r="AE103" s="1" t="s">
        <v>440</v>
      </c>
      <c r="AF103" s="1"/>
      <c r="AG103" s="2" t="s">
        <v>42</v>
      </c>
      <c r="AH103" s="1"/>
      <c r="AI103" s="1" t="s">
        <v>42</v>
      </c>
      <c r="AJ103" s="1"/>
      <c r="AK103" s="2" t="s">
        <v>42</v>
      </c>
      <c r="AL103" s="1" t="s">
        <v>3507</v>
      </c>
    </row>
    <row r="104" spans="1:38" ht="20.100000000000001" customHeight="1" x14ac:dyDescent="0.2">
      <c r="A104" s="3">
        <f t="shared" si="2"/>
        <v>101</v>
      </c>
      <c r="B104" s="1" t="s">
        <v>2837</v>
      </c>
      <c r="C104" s="1" t="s">
        <v>2838</v>
      </c>
      <c r="D104" s="1" t="s">
        <v>121</v>
      </c>
      <c r="E104" s="1" t="s">
        <v>39</v>
      </c>
      <c r="F104" s="1"/>
      <c r="G104" s="1" t="s">
        <v>2839</v>
      </c>
      <c r="H104" s="2" t="s">
        <v>42</v>
      </c>
      <c r="I104" s="2">
        <v>36820</v>
      </c>
      <c r="J104" s="7">
        <f t="shared" ca="1" si="3"/>
        <v>23.035616438356165</v>
      </c>
      <c r="K104" s="1" t="s">
        <v>211</v>
      </c>
      <c r="L104" s="1" t="s">
        <v>547</v>
      </c>
      <c r="M104" s="2">
        <v>44075</v>
      </c>
      <c r="N104" s="1">
        <v>2</v>
      </c>
      <c r="O104" s="2">
        <v>44712</v>
      </c>
      <c r="P104" s="1" t="s">
        <v>221</v>
      </c>
      <c r="Q104" s="1" t="s">
        <v>292</v>
      </c>
      <c r="R104" s="1" t="s">
        <v>60</v>
      </c>
      <c r="S104" s="1" t="s">
        <v>47</v>
      </c>
      <c r="T104" s="1">
        <v>12</v>
      </c>
      <c r="U104" s="2" t="s">
        <v>42</v>
      </c>
      <c r="V104" s="2">
        <v>44804</v>
      </c>
      <c r="W104" s="2">
        <v>44996</v>
      </c>
      <c r="X104" s="1" t="s">
        <v>42</v>
      </c>
      <c r="Y104" s="2" t="s">
        <v>42</v>
      </c>
      <c r="Z104" s="1" t="s">
        <v>2840</v>
      </c>
      <c r="AA104" s="1" t="s">
        <v>2841</v>
      </c>
      <c r="AB104" s="1" t="s">
        <v>2842</v>
      </c>
      <c r="AC104" s="1" t="s">
        <v>129</v>
      </c>
      <c r="AD104" s="1">
        <v>7014477116</v>
      </c>
      <c r="AE104" s="1" t="s">
        <v>65</v>
      </c>
      <c r="AF104" s="1"/>
      <c r="AG104" s="2">
        <v>45002</v>
      </c>
      <c r="AH104" s="1" t="s">
        <v>2812</v>
      </c>
      <c r="AI104" s="1" t="s">
        <v>42</v>
      </c>
      <c r="AJ104" s="1"/>
      <c r="AK104" s="2" t="s">
        <v>42</v>
      </c>
      <c r="AL104" s="1" t="s">
        <v>2806</v>
      </c>
    </row>
    <row r="105" spans="1:38" ht="20.100000000000001" customHeight="1" x14ac:dyDescent="0.2">
      <c r="A105" s="3">
        <f t="shared" si="2"/>
        <v>102</v>
      </c>
      <c r="B105" s="1" t="s">
        <v>758</v>
      </c>
      <c r="C105" s="1" t="s">
        <v>759</v>
      </c>
      <c r="D105" s="1" t="s">
        <v>121</v>
      </c>
      <c r="E105" s="1" t="s">
        <v>39</v>
      </c>
      <c r="F105" s="1" t="s">
        <v>40</v>
      </c>
      <c r="G105" s="1" t="s">
        <v>760</v>
      </c>
      <c r="H105" s="2" t="s">
        <v>42</v>
      </c>
      <c r="I105" s="2">
        <v>33511</v>
      </c>
      <c r="J105" s="7">
        <f t="shared" ca="1" si="3"/>
        <v>32.101369863013701</v>
      </c>
      <c r="K105" s="1" t="s">
        <v>407</v>
      </c>
      <c r="L105" s="1" t="s">
        <v>407</v>
      </c>
      <c r="M105" s="2">
        <v>44075</v>
      </c>
      <c r="N105" s="1">
        <v>2</v>
      </c>
      <c r="O105" s="2">
        <v>44075</v>
      </c>
      <c r="P105" s="1" t="s">
        <v>44</v>
      </c>
      <c r="Q105" s="1" t="s">
        <v>408</v>
      </c>
      <c r="R105" s="1" t="s">
        <v>124</v>
      </c>
      <c r="S105" s="1" t="s">
        <v>125</v>
      </c>
      <c r="T105" s="1" t="s">
        <v>42</v>
      </c>
      <c r="U105" s="2" t="s">
        <v>42</v>
      </c>
      <c r="V105" s="2">
        <v>44804</v>
      </c>
      <c r="W105" s="2" t="s">
        <v>42</v>
      </c>
      <c r="X105" s="1" t="s">
        <v>42</v>
      </c>
      <c r="Y105" s="2" t="s">
        <v>42</v>
      </c>
      <c r="Z105" s="1" t="s">
        <v>761</v>
      </c>
      <c r="AA105" s="1" t="s">
        <v>762</v>
      </c>
      <c r="AB105" s="1" t="s">
        <v>763</v>
      </c>
      <c r="AC105" s="1" t="s">
        <v>129</v>
      </c>
      <c r="AD105" s="1">
        <v>7014477116</v>
      </c>
      <c r="AE105" s="1" t="s">
        <v>65</v>
      </c>
      <c r="AF105" s="1"/>
      <c r="AG105" s="2" t="s">
        <v>42</v>
      </c>
      <c r="AH105" s="1"/>
      <c r="AI105" s="1" t="s">
        <v>42</v>
      </c>
      <c r="AJ105" s="1"/>
      <c r="AK105" s="2" t="s">
        <v>42</v>
      </c>
      <c r="AL105" s="1" t="s">
        <v>3507</v>
      </c>
    </row>
    <row r="106" spans="1:38" ht="20.100000000000001" customHeight="1" x14ac:dyDescent="0.2">
      <c r="A106" s="3">
        <f t="shared" si="2"/>
        <v>103</v>
      </c>
      <c r="B106" s="1" t="s">
        <v>2843</v>
      </c>
      <c r="C106" s="1" t="s">
        <v>2844</v>
      </c>
      <c r="D106" s="1" t="s">
        <v>38</v>
      </c>
      <c r="E106" s="1" t="s">
        <v>54</v>
      </c>
      <c r="F106" s="1" t="s">
        <v>55</v>
      </c>
      <c r="G106" s="1" t="s">
        <v>2845</v>
      </c>
      <c r="H106" s="2">
        <v>44905</v>
      </c>
      <c r="I106" s="2">
        <v>31207</v>
      </c>
      <c r="J106" s="7">
        <f t="shared" ca="1" si="3"/>
        <v>38.413698630136984</v>
      </c>
      <c r="K106" s="1" t="s">
        <v>57</v>
      </c>
      <c r="L106" s="1" t="s">
        <v>134</v>
      </c>
      <c r="M106" s="2">
        <v>43800</v>
      </c>
      <c r="N106" s="1">
        <v>2</v>
      </c>
      <c r="O106" s="2">
        <v>44569</v>
      </c>
      <c r="P106" s="1" t="s">
        <v>44</v>
      </c>
      <c r="Q106" s="1" t="s">
        <v>306</v>
      </c>
      <c r="R106" s="1" t="s">
        <v>42</v>
      </c>
      <c r="S106" s="1" t="s">
        <v>47</v>
      </c>
      <c r="T106" s="1">
        <v>12</v>
      </c>
      <c r="U106" s="2" t="s">
        <v>42</v>
      </c>
      <c r="V106" s="2">
        <v>44835</v>
      </c>
      <c r="W106" s="2">
        <v>44968</v>
      </c>
      <c r="X106" s="1" t="s">
        <v>2846</v>
      </c>
      <c r="Y106" s="2">
        <v>46600</v>
      </c>
      <c r="Z106" s="1" t="s">
        <v>2847</v>
      </c>
      <c r="AA106" s="1" t="s">
        <v>2848</v>
      </c>
      <c r="AB106" s="1" t="s">
        <v>2849</v>
      </c>
      <c r="AC106" s="1" t="s">
        <v>50</v>
      </c>
      <c r="AD106" s="1">
        <v>7015572543</v>
      </c>
      <c r="AE106" s="1" t="s">
        <v>3506</v>
      </c>
      <c r="AF106" s="1"/>
      <c r="AG106" s="2">
        <v>44876</v>
      </c>
      <c r="AH106" s="1" t="s">
        <v>2812</v>
      </c>
      <c r="AI106" s="1" t="s">
        <v>42</v>
      </c>
      <c r="AJ106" s="1"/>
      <c r="AK106" s="2" t="s">
        <v>42</v>
      </c>
      <c r="AL106" s="1" t="s">
        <v>2806</v>
      </c>
    </row>
    <row r="107" spans="1:38" ht="20.100000000000001" customHeight="1" x14ac:dyDescent="0.2">
      <c r="A107" s="3">
        <f t="shared" si="2"/>
        <v>104</v>
      </c>
      <c r="B107" s="1" t="s">
        <v>764</v>
      </c>
      <c r="C107" s="1" t="s">
        <v>765</v>
      </c>
      <c r="D107" s="1" t="s">
        <v>121</v>
      </c>
      <c r="E107" s="1" t="s">
        <v>39</v>
      </c>
      <c r="F107" s="1" t="s">
        <v>40</v>
      </c>
      <c r="G107" s="1" t="s">
        <v>766</v>
      </c>
      <c r="H107" s="2" t="s">
        <v>42</v>
      </c>
      <c r="I107" s="2">
        <v>37480</v>
      </c>
      <c r="J107" s="7">
        <f t="shared" ca="1" si="3"/>
        <v>21.227397260273971</v>
      </c>
      <c r="K107" s="1" t="s">
        <v>767</v>
      </c>
      <c r="L107" s="1" t="s">
        <v>768</v>
      </c>
      <c r="M107" s="2">
        <v>44136</v>
      </c>
      <c r="N107" s="1">
        <v>2</v>
      </c>
      <c r="O107" s="2">
        <v>44136</v>
      </c>
      <c r="P107" s="1" t="s">
        <v>44</v>
      </c>
      <c r="Q107" s="1" t="s">
        <v>408</v>
      </c>
      <c r="R107" s="1" t="s">
        <v>124</v>
      </c>
      <c r="S107" s="1" t="s">
        <v>125</v>
      </c>
      <c r="T107" s="1" t="s">
        <v>42</v>
      </c>
      <c r="U107" s="2" t="s">
        <v>42</v>
      </c>
      <c r="V107" s="2">
        <v>44865</v>
      </c>
      <c r="W107" s="2" t="s">
        <v>42</v>
      </c>
      <c r="X107" s="1" t="s">
        <v>42</v>
      </c>
      <c r="Y107" s="2" t="s">
        <v>42</v>
      </c>
      <c r="Z107" s="1" t="s">
        <v>769</v>
      </c>
      <c r="AA107" s="1" t="s">
        <v>42</v>
      </c>
      <c r="AB107" s="1" t="s">
        <v>770</v>
      </c>
      <c r="AC107" s="1" t="s">
        <v>129</v>
      </c>
      <c r="AD107" s="1">
        <v>7014477116</v>
      </c>
      <c r="AE107" s="1" t="s">
        <v>65</v>
      </c>
      <c r="AF107" s="1"/>
      <c r="AG107" s="2" t="s">
        <v>42</v>
      </c>
      <c r="AH107" s="1"/>
      <c r="AI107" s="1" t="s">
        <v>42</v>
      </c>
      <c r="AJ107" s="1"/>
      <c r="AK107" s="2" t="s">
        <v>42</v>
      </c>
      <c r="AL107" s="1" t="s">
        <v>3507</v>
      </c>
    </row>
    <row r="108" spans="1:38" ht="20.100000000000001" customHeight="1" x14ac:dyDescent="0.2">
      <c r="A108" s="3">
        <f t="shared" si="2"/>
        <v>105</v>
      </c>
      <c r="B108" s="1" t="s">
        <v>771</v>
      </c>
      <c r="C108" s="1" t="s">
        <v>772</v>
      </c>
      <c r="D108" s="1" t="s">
        <v>121</v>
      </c>
      <c r="E108" s="1" t="s">
        <v>39</v>
      </c>
      <c r="F108" s="1" t="s">
        <v>40</v>
      </c>
      <c r="G108" s="1" t="s">
        <v>773</v>
      </c>
      <c r="H108" s="2" t="s">
        <v>42</v>
      </c>
      <c r="I108" s="2">
        <v>35997</v>
      </c>
      <c r="J108" s="7">
        <f t="shared" ca="1" si="3"/>
        <v>25.290410958904111</v>
      </c>
      <c r="K108" s="1" t="s">
        <v>774</v>
      </c>
      <c r="L108" s="1" t="s">
        <v>775</v>
      </c>
      <c r="M108" s="2">
        <v>44146</v>
      </c>
      <c r="N108" s="1">
        <v>2</v>
      </c>
      <c r="O108" s="2">
        <v>44781</v>
      </c>
      <c r="P108" s="1" t="s">
        <v>221</v>
      </c>
      <c r="Q108" s="1" t="s">
        <v>292</v>
      </c>
      <c r="R108" s="1" t="s">
        <v>60</v>
      </c>
      <c r="S108" s="1" t="s">
        <v>47</v>
      </c>
      <c r="T108" s="1">
        <v>12</v>
      </c>
      <c r="U108" s="2" t="s">
        <v>42</v>
      </c>
      <c r="V108" s="2">
        <v>44875</v>
      </c>
      <c r="W108" s="2">
        <v>45324</v>
      </c>
      <c r="X108" s="1" t="s">
        <v>42</v>
      </c>
      <c r="Y108" s="2" t="s">
        <v>42</v>
      </c>
      <c r="Z108" s="1" t="s">
        <v>776</v>
      </c>
      <c r="AA108" s="1" t="s">
        <v>777</v>
      </c>
      <c r="AB108" s="1" t="s">
        <v>778</v>
      </c>
      <c r="AC108" s="1" t="s">
        <v>129</v>
      </c>
      <c r="AD108" s="1">
        <v>7014477116</v>
      </c>
      <c r="AE108" s="1" t="s">
        <v>65</v>
      </c>
      <c r="AF108" s="1" t="s">
        <v>66</v>
      </c>
      <c r="AG108" s="2" t="s">
        <v>42</v>
      </c>
      <c r="AH108" s="1"/>
      <c r="AI108" s="1" t="s">
        <v>42</v>
      </c>
      <c r="AJ108" s="1"/>
      <c r="AK108" s="2" t="s">
        <v>42</v>
      </c>
      <c r="AL108" s="1" t="s">
        <v>3507</v>
      </c>
    </row>
    <row r="109" spans="1:38" ht="20.100000000000001" customHeight="1" x14ac:dyDescent="0.2">
      <c r="A109" s="3">
        <f t="shared" si="2"/>
        <v>106</v>
      </c>
      <c r="B109" s="1" t="s">
        <v>779</v>
      </c>
      <c r="C109" s="1" t="s">
        <v>780</v>
      </c>
      <c r="D109" s="1" t="s">
        <v>38</v>
      </c>
      <c r="E109" s="1" t="s">
        <v>39</v>
      </c>
      <c r="F109" s="1" t="s">
        <v>40</v>
      </c>
      <c r="G109" s="1" t="s">
        <v>781</v>
      </c>
      <c r="H109" s="2" t="s">
        <v>42</v>
      </c>
      <c r="I109" s="2">
        <v>34383</v>
      </c>
      <c r="J109" s="7">
        <f t="shared" ca="1" si="3"/>
        <v>29.712328767123289</v>
      </c>
      <c r="K109" s="1" t="s">
        <v>782</v>
      </c>
      <c r="L109" s="1" t="s">
        <v>783</v>
      </c>
      <c r="M109" s="2">
        <v>44187</v>
      </c>
      <c r="N109" s="1">
        <v>2</v>
      </c>
      <c r="O109" s="2">
        <v>44896</v>
      </c>
      <c r="P109" s="1" t="s">
        <v>44</v>
      </c>
      <c r="Q109" s="1" t="s">
        <v>178</v>
      </c>
      <c r="R109" s="1" t="s">
        <v>784</v>
      </c>
      <c r="S109" s="1" t="s">
        <v>754</v>
      </c>
      <c r="T109" s="1">
        <v>8</v>
      </c>
      <c r="U109" s="2" t="s">
        <v>42</v>
      </c>
      <c r="V109" s="2">
        <v>44916</v>
      </c>
      <c r="W109" s="2" t="s">
        <v>42</v>
      </c>
      <c r="X109" s="1" t="s">
        <v>42</v>
      </c>
      <c r="Y109" s="2" t="s">
        <v>42</v>
      </c>
      <c r="Z109" s="1" t="s">
        <v>785</v>
      </c>
      <c r="AA109" s="1" t="s">
        <v>786</v>
      </c>
      <c r="AB109" s="1" t="s">
        <v>787</v>
      </c>
      <c r="AC109" s="1" t="s">
        <v>50</v>
      </c>
      <c r="AD109" s="1"/>
      <c r="AE109" s="1" t="s">
        <v>788</v>
      </c>
      <c r="AF109" s="1"/>
      <c r="AG109" s="2" t="s">
        <v>42</v>
      </c>
      <c r="AH109" s="1"/>
      <c r="AI109" s="1" t="s">
        <v>42</v>
      </c>
      <c r="AJ109" s="1"/>
      <c r="AK109" s="2" t="s">
        <v>42</v>
      </c>
      <c r="AL109" s="1" t="s">
        <v>3507</v>
      </c>
    </row>
    <row r="110" spans="1:38" ht="20.100000000000001" customHeight="1" x14ac:dyDescent="0.2">
      <c r="A110" s="3">
        <f t="shared" si="2"/>
        <v>107</v>
      </c>
      <c r="B110" s="1" t="s">
        <v>789</v>
      </c>
      <c r="C110" s="1" t="s">
        <v>790</v>
      </c>
      <c r="D110" s="1" t="s">
        <v>38</v>
      </c>
      <c r="E110" s="1" t="s">
        <v>150</v>
      </c>
      <c r="F110" s="1" t="s">
        <v>70</v>
      </c>
      <c r="G110" s="1" t="s">
        <v>791</v>
      </c>
      <c r="H110" s="2">
        <v>45424</v>
      </c>
      <c r="I110" s="2">
        <v>27760</v>
      </c>
      <c r="J110" s="7">
        <f t="shared" ca="1" si="3"/>
        <v>47.857534246575341</v>
      </c>
      <c r="K110" s="1" t="s">
        <v>792</v>
      </c>
      <c r="L110" s="1" t="s">
        <v>80</v>
      </c>
      <c r="M110" s="2">
        <v>44197</v>
      </c>
      <c r="N110" s="1">
        <v>2</v>
      </c>
      <c r="O110" s="2">
        <v>44197</v>
      </c>
      <c r="P110" s="1" t="s">
        <v>44</v>
      </c>
      <c r="Q110" s="1" t="s">
        <v>45</v>
      </c>
      <c r="R110" s="1" t="s">
        <v>116</v>
      </c>
      <c r="S110" s="1" t="s">
        <v>47</v>
      </c>
      <c r="T110" s="1">
        <v>8</v>
      </c>
      <c r="U110" s="2" t="s">
        <v>42</v>
      </c>
      <c r="V110" s="2">
        <v>44926</v>
      </c>
      <c r="W110" s="2" t="s">
        <v>42</v>
      </c>
      <c r="X110" s="1" t="s">
        <v>793</v>
      </c>
      <c r="Y110" s="2">
        <v>46896</v>
      </c>
      <c r="Z110" s="1" t="s">
        <v>794</v>
      </c>
      <c r="AA110" s="1" t="s">
        <v>42</v>
      </c>
      <c r="AB110" s="1" t="s">
        <v>42</v>
      </c>
      <c r="AC110" s="1" t="s">
        <v>42</v>
      </c>
      <c r="AD110" s="1">
        <v>7015572543</v>
      </c>
      <c r="AE110" s="1" t="s">
        <v>3506</v>
      </c>
      <c r="AF110" s="1"/>
      <c r="AG110" s="2" t="s">
        <v>42</v>
      </c>
      <c r="AH110" s="1"/>
      <c r="AI110" s="1" t="s">
        <v>51</v>
      </c>
      <c r="AJ110" s="1"/>
      <c r="AK110" s="2" t="s">
        <v>42</v>
      </c>
      <c r="AL110" s="1" t="s">
        <v>3507</v>
      </c>
    </row>
    <row r="111" spans="1:38" ht="20.100000000000001" customHeight="1" x14ac:dyDescent="0.2">
      <c r="A111" s="3">
        <f t="shared" si="2"/>
        <v>108</v>
      </c>
      <c r="B111" s="1" t="s">
        <v>2850</v>
      </c>
      <c r="C111" s="1" t="s">
        <v>2851</v>
      </c>
      <c r="D111" s="1" t="s">
        <v>38</v>
      </c>
      <c r="E111" s="1" t="s">
        <v>69</v>
      </c>
      <c r="F111" s="1"/>
      <c r="G111" s="1" t="s">
        <v>2852</v>
      </c>
      <c r="H111" s="2" t="s">
        <v>42</v>
      </c>
      <c r="I111" s="2" t="s">
        <v>42</v>
      </c>
      <c r="J111" s="7"/>
      <c r="K111" s="1" t="s">
        <v>416</v>
      </c>
      <c r="L111" s="1" t="s">
        <v>1135</v>
      </c>
      <c r="M111" s="2">
        <v>44197</v>
      </c>
      <c r="N111" s="1">
        <v>2</v>
      </c>
      <c r="O111" s="2">
        <v>44158</v>
      </c>
      <c r="P111" s="1" t="s">
        <v>44</v>
      </c>
      <c r="Q111" s="1" t="s">
        <v>178</v>
      </c>
      <c r="R111" s="1" t="s">
        <v>42</v>
      </c>
      <c r="S111" s="1" t="s">
        <v>754</v>
      </c>
      <c r="T111" s="1">
        <v>4</v>
      </c>
      <c r="U111" s="2" t="s">
        <v>42</v>
      </c>
      <c r="V111" s="2">
        <v>44926</v>
      </c>
      <c r="W111" s="2" t="s">
        <v>42</v>
      </c>
      <c r="X111" s="1" t="s">
        <v>42</v>
      </c>
      <c r="Y111" s="2" t="s">
        <v>42</v>
      </c>
      <c r="Z111" s="1" t="s">
        <v>2853</v>
      </c>
      <c r="AA111" s="1" t="s">
        <v>2854</v>
      </c>
      <c r="AB111" s="1" t="s">
        <v>2855</v>
      </c>
      <c r="AC111" s="1" t="s">
        <v>129</v>
      </c>
      <c r="AD111" s="1"/>
      <c r="AE111" s="1" t="s">
        <v>42</v>
      </c>
      <c r="AF111" s="1"/>
      <c r="AG111" s="2">
        <v>44865</v>
      </c>
      <c r="AH111" s="1" t="s">
        <v>2805</v>
      </c>
      <c r="AI111" s="1" t="s">
        <v>42</v>
      </c>
      <c r="AJ111" s="1"/>
      <c r="AK111" s="2" t="s">
        <v>42</v>
      </c>
      <c r="AL111" s="1" t="s">
        <v>2806</v>
      </c>
    </row>
    <row r="112" spans="1:38" ht="20.100000000000001" customHeight="1" x14ac:dyDescent="0.2">
      <c r="A112" s="3">
        <f t="shared" si="2"/>
        <v>109</v>
      </c>
      <c r="B112" s="1" t="s">
        <v>795</v>
      </c>
      <c r="C112" s="1" t="s">
        <v>796</v>
      </c>
      <c r="D112" s="1" t="s">
        <v>38</v>
      </c>
      <c r="E112" s="1" t="s">
        <v>150</v>
      </c>
      <c r="F112" s="1" t="s">
        <v>70</v>
      </c>
      <c r="G112" s="1" t="s">
        <v>797</v>
      </c>
      <c r="H112" s="2">
        <v>45316</v>
      </c>
      <c r="I112" s="2">
        <v>35017</v>
      </c>
      <c r="J112" s="7">
        <f t="shared" ca="1" si="3"/>
        <v>27.975342465753425</v>
      </c>
      <c r="K112" s="1" t="s">
        <v>667</v>
      </c>
      <c r="L112" s="1" t="s">
        <v>798</v>
      </c>
      <c r="M112" s="2">
        <v>44198</v>
      </c>
      <c r="N112" s="1">
        <v>2</v>
      </c>
      <c r="O112" s="2">
        <v>44198</v>
      </c>
      <c r="P112" s="1" t="s">
        <v>44</v>
      </c>
      <c r="Q112" s="1" t="s">
        <v>45</v>
      </c>
      <c r="R112" s="1" t="s">
        <v>155</v>
      </c>
      <c r="S112" s="1" t="s">
        <v>47</v>
      </c>
      <c r="T112" s="1">
        <v>8</v>
      </c>
      <c r="U112" s="2" t="s">
        <v>42</v>
      </c>
      <c r="V112" s="2">
        <v>44927</v>
      </c>
      <c r="W112" s="2" t="s">
        <v>42</v>
      </c>
      <c r="X112" s="1" t="s">
        <v>799</v>
      </c>
      <c r="Y112" s="2">
        <v>46394</v>
      </c>
      <c r="Z112" s="1" t="s">
        <v>800</v>
      </c>
      <c r="AA112" s="1" t="s">
        <v>801</v>
      </c>
      <c r="AB112" s="1" t="s">
        <v>802</v>
      </c>
      <c r="AC112" s="1" t="s">
        <v>50</v>
      </c>
      <c r="AD112" s="1">
        <v>7014477116</v>
      </c>
      <c r="AE112" s="1" t="s">
        <v>65</v>
      </c>
      <c r="AF112" s="1"/>
      <c r="AG112" s="2" t="s">
        <v>42</v>
      </c>
      <c r="AH112" s="1"/>
      <c r="AI112" s="1" t="s">
        <v>42</v>
      </c>
      <c r="AJ112" s="1"/>
      <c r="AK112" s="2" t="s">
        <v>42</v>
      </c>
      <c r="AL112" s="1" t="s">
        <v>3507</v>
      </c>
    </row>
    <row r="113" spans="1:38" ht="20.100000000000001" customHeight="1" x14ac:dyDescent="0.2">
      <c r="A113" s="3">
        <f t="shared" si="2"/>
        <v>110</v>
      </c>
      <c r="B113" s="1" t="s">
        <v>803</v>
      </c>
      <c r="C113" s="1" t="s">
        <v>804</v>
      </c>
      <c r="D113" s="1" t="s">
        <v>38</v>
      </c>
      <c r="E113" s="1" t="s">
        <v>150</v>
      </c>
      <c r="F113" s="1" t="s">
        <v>70</v>
      </c>
      <c r="G113" s="1" t="s">
        <v>805</v>
      </c>
      <c r="H113" s="2">
        <v>45281</v>
      </c>
      <c r="I113" s="2">
        <v>35042</v>
      </c>
      <c r="J113" s="7">
        <f t="shared" ca="1" si="3"/>
        <v>27.906849315068492</v>
      </c>
      <c r="K113" s="1" t="s">
        <v>89</v>
      </c>
      <c r="L113" s="1" t="s">
        <v>416</v>
      </c>
      <c r="M113" s="2">
        <v>44206</v>
      </c>
      <c r="N113" s="1">
        <v>2</v>
      </c>
      <c r="O113" s="2">
        <v>45183</v>
      </c>
      <c r="P113" s="1" t="s">
        <v>44</v>
      </c>
      <c r="Q113" s="1" t="s">
        <v>66</v>
      </c>
      <c r="R113" s="1" t="s">
        <v>60</v>
      </c>
      <c r="S113" s="1" t="s">
        <v>47</v>
      </c>
      <c r="T113" s="1">
        <v>8</v>
      </c>
      <c r="U113" s="2" t="s">
        <v>42</v>
      </c>
      <c r="V113" s="2">
        <v>44935</v>
      </c>
      <c r="W113" s="2" t="s">
        <v>42</v>
      </c>
      <c r="X113" s="1" t="s">
        <v>806</v>
      </c>
      <c r="Y113" s="2">
        <v>46399</v>
      </c>
      <c r="Z113" s="1" t="s">
        <v>807</v>
      </c>
      <c r="AA113" s="1" t="s">
        <v>42</v>
      </c>
      <c r="AB113" s="1" t="s">
        <v>808</v>
      </c>
      <c r="AC113" s="1" t="s">
        <v>50</v>
      </c>
      <c r="AD113" s="1">
        <v>7014477116</v>
      </c>
      <c r="AE113" s="1" t="s">
        <v>65</v>
      </c>
      <c r="AF113" s="1" t="s">
        <v>66</v>
      </c>
      <c r="AG113" s="2" t="s">
        <v>42</v>
      </c>
      <c r="AH113" s="1"/>
      <c r="AI113" s="1" t="s">
        <v>42</v>
      </c>
      <c r="AJ113" s="1"/>
      <c r="AK113" s="2" t="s">
        <v>42</v>
      </c>
      <c r="AL113" s="1" t="s">
        <v>514</v>
      </c>
    </row>
    <row r="114" spans="1:38" ht="20.100000000000001" customHeight="1" x14ac:dyDescent="0.2">
      <c r="A114" s="3">
        <f t="shared" si="2"/>
        <v>111</v>
      </c>
      <c r="B114" s="1" t="s">
        <v>809</v>
      </c>
      <c r="C114" s="1" t="s">
        <v>810</v>
      </c>
      <c r="D114" s="1" t="s">
        <v>38</v>
      </c>
      <c r="E114" s="1" t="s">
        <v>811</v>
      </c>
      <c r="F114" s="1" t="s">
        <v>55</v>
      </c>
      <c r="G114" s="1" t="s">
        <v>812</v>
      </c>
      <c r="H114" s="2">
        <v>45340</v>
      </c>
      <c r="I114" s="2">
        <v>26665</v>
      </c>
      <c r="J114" s="7">
        <f t="shared" ca="1" si="3"/>
        <v>50.857534246575341</v>
      </c>
      <c r="K114" s="1" t="s">
        <v>813</v>
      </c>
      <c r="L114" s="1" t="s">
        <v>813</v>
      </c>
      <c r="M114" s="2">
        <v>44228</v>
      </c>
      <c r="N114" s="1">
        <v>2</v>
      </c>
      <c r="O114" s="2">
        <v>44669</v>
      </c>
      <c r="P114" s="1" t="s">
        <v>44</v>
      </c>
      <c r="Q114" s="1" t="s">
        <v>45</v>
      </c>
      <c r="R114" s="1" t="s">
        <v>708</v>
      </c>
      <c r="S114" s="1" t="s">
        <v>47</v>
      </c>
      <c r="T114" s="1">
        <v>8</v>
      </c>
      <c r="U114" s="2" t="s">
        <v>42</v>
      </c>
      <c r="V114" s="2">
        <v>44957</v>
      </c>
      <c r="W114" s="2" t="s">
        <v>42</v>
      </c>
      <c r="X114" s="1" t="s">
        <v>814</v>
      </c>
      <c r="Y114" s="2">
        <v>46956</v>
      </c>
      <c r="Z114" s="1" t="s">
        <v>815</v>
      </c>
      <c r="AA114" s="1" t="s">
        <v>42</v>
      </c>
      <c r="AB114" s="1" t="s">
        <v>816</v>
      </c>
      <c r="AC114" s="1" t="s">
        <v>50</v>
      </c>
      <c r="AD114" s="1">
        <v>7014477116</v>
      </c>
      <c r="AE114" s="1" t="s">
        <v>65</v>
      </c>
      <c r="AF114" s="1"/>
      <c r="AG114" s="2" t="s">
        <v>42</v>
      </c>
      <c r="AH114" s="1"/>
      <c r="AI114" s="1" t="s">
        <v>42</v>
      </c>
      <c r="AJ114" s="1"/>
      <c r="AK114" s="2" t="s">
        <v>42</v>
      </c>
      <c r="AL114" s="1" t="s">
        <v>3507</v>
      </c>
    </row>
    <row r="115" spans="1:38" ht="20.100000000000001" customHeight="1" x14ac:dyDescent="0.2">
      <c r="A115" s="3">
        <f t="shared" si="2"/>
        <v>112</v>
      </c>
      <c r="B115" s="1" t="s">
        <v>817</v>
      </c>
      <c r="C115" s="1" t="s">
        <v>818</v>
      </c>
      <c r="D115" s="1" t="s">
        <v>38</v>
      </c>
      <c r="E115" s="1" t="s">
        <v>54</v>
      </c>
      <c r="F115" s="1" t="s">
        <v>55</v>
      </c>
      <c r="G115" s="1" t="s">
        <v>819</v>
      </c>
      <c r="H115" s="2">
        <v>45285</v>
      </c>
      <c r="I115" s="2">
        <v>31048</v>
      </c>
      <c r="J115" s="7">
        <f t="shared" ca="1" si="3"/>
        <v>38.849315068493148</v>
      </c>
      <c r="K115" s="1" t="s">
        <v>57</v>
      </c>
      <c r="L115" s="1" t="s">
        <v>134</v>
      </c>
      <c r="M115" s="2">
        <v>44237</v>
      </c>
      <c r="N115" s="1">
        <v>2</v>
      </c>
      <c r="O115" s="2">
        <v>45130</v>
      </c>
      <c r="P115" s="1" t="s">
        <v>44</v>
      </c>
      <c r="Q115" s="1" t="s">
        <v>722</v>
      </c>
      <c r="R115" s="1" t="s">
        <v>60</v>
      </c>
      <c r="S115" s="1" t="s">
        <v>47</v>
      </c>
      <c r="T115" s="1">
        <v>12</v>
      </c>
      <c r="U115" s="2" t="s">
        <v>42</v>
      </c>
      <c r="V115" s="2">
        <v>44966</v>
      </c>
      <c r="W115" s="2" t="s">
        <v>42</v>
      </c>
      <c r="X115" s="1" t="s">
        <v>820</v>
      </c>
      <c r="Y115" s="2">
        <v>46256</v>
      </c>
      <c r="Z115" s="1" t="s">
        <v>821</v>
      </c>
      <c r="AA115" s="1" t="s">
        <v>822</v>
      </c>
      <c r="AB115" s="1" t="s">
        <v>823</v>
      </c>
      <c r="AC115" s="1" t="s">
        <v>50</v>
      </c>
      <c r="AD115" s="1">
        <v>7015572543</v>
      </c>
      <c r="AE115" s="1" t="s">
        <v>3506</v>
      </c>
      <c r="AF115" s="1" t="s">
        <v>66</v>
      </c>
      <c r="AG115" s="2" t="s">
        <v>42</v>
      </c>
      <c r="AH115" s="1"/>
      <c r="AI115" s="1" t="s">
        <v>42</v>
      </c>
      <c r="AJ115" s="1"/>
      <c r="AK115" s="2" t="s">
        <v>42</v>
      </c>
      <c r="AL115" s="1" t="s">
        <v>3507</v>
      </c>
    </row>
    <row r="116" spans="1:38" ht="20.100000000000001" customHeight="1" x14ac:dyDescent="0.2">
      <c r="A116" s="3">
        <f t="shared" si="2"/>
        <v>113</v>
      </c>
      <c r="B116" s="1" t="s">
        <v>824</v>
      </c>
      <c r="C116" s="1" t="s">
        <v>825</v>
      </c>
      <c r="D116" s="1" t="s">
        <v>38</v>
      </c>
      <c r="E116" s="1" t="s">
        <v>150</v>
      </c>
      <c r="F116" s="1" t="s">
        <v>70</v>
      </c>
      <c r="G116" s="1" t="s">
        <v>826</v>
      </c>
      <c r="H116" s="2">
        <v>45330</v>
      </c>
      <c r="I116" s="2">
        <v>33623</v>
      </c>
      <c r="J116" s="7">
        <f t="shared" ca="1" si="3"/>
        <v>31.794520547945204</v>
      </c>
      <c r="K116" s="1" t="s">
        <v>152</v>
      </c>
      <c r="L116" s="1" t="s">
        <v>798</v>
      </c>
      <c r="M116" s="2">
        <v>44245</v>
      </c>
      <c r="N116" s="1">
        <v>2</v>
      </c>
      <c r="O116" s="2">
        <v>44245</v>
      </c>
      <c r="P116" s="1" t="s">
        <v>44</v>
      </c>
      <c r="Q116" s="1" t="s">
        <v>45</v>
      </c>
      <c r="R116" s="1" t="s">
        <v>155</v>
      </c>
      <c r="S116" s="1" t="s">
        <v>47</v>
      </c>
      <c r="T116" s="1">
        <v>8</v>
      </c>
      <c r="U116" s="2" t="s">
        <v>42</v>
      </c>
      <c r="V116" s="2">
        <v>44974</v>
      </c>
      <c r="W116" s="2" t="s">
        <v>42</v>
      </c>
      <c r="X116" s="1" t="s">
        <v>827</v>
      </c>
      <c r="Y116" s="2">
        <v>46452</v>
      </c>
      <c r="Z116" s="1" t="s">
        <v>828</v>
      </c>
      <c r="AA116" s="1" t="s">
        <v>829</v>
      </c>
      <c r="AB116" s="1" t="s">
        <v>830</v>
      </c>
      <c r="AC116" s="1" t="s">
        <v>50</v>
      </c>
      <c r="AD116" s="1">
        <v>7014477116</v>
      </c>
      <c r="AE116" s="1" t="s">
        <v>65</v>
      </c>
      <c r="AF116" s="1"/>
      <c r="AG116" s="2" t="s">
        <v>42</v>
      </c>
      <c r="AH116" s="1"/>
      <c r="AI116" s="1" t="s">
        <v>42</v>
      </c>
      <c r="AJ116" s="1"/>
      <c r="AK116" s="2" t="s">
        <v>42</v>
      </c>
      <c r="AL116" s="1" t="s">
        <v>3507</v>
      </c>
    </row>
    <row r="117" spans="1:38" ht="20.100000000000001" customHeight="1" x14ac:dyDescent="0.2">
      <c r="A117" s="3">
        <f t="shared" si="2"/>
        <v>114</v>
      </c>
      <c r="B117" s="1" t="s">
        <v>831</v>
      </c>
      <c r="C117" s="1" t="s">
        <v>832</v>
      </c>
      <c r="D117" s="1" t="s">
        <v>38</v>
      </c>
      <c r="E117" s="1" t="s">
        <v>69</v>
      </c>
      <c r="F117" s="1" t="s">
        <v>70</v>
      </c>
      <c r="G117" s="1" t="s">
        <v>833</v>
      </c>
      <c r="H117" s="2">
        <v>45345</v>
      </c>
      <c r="I117" s="2">
        <v>36161</v>
      </c>
      <c r="J117" s="7">
        <f t="shared" ca="1" si="3"/>
        <v>24.841095890410958</v>
      </c>
      <c r="K117" s="1" t="s">
        <v>89</v>
      </c>
      <c r="L117" s="1" t="s">
        <v>416</v>
      </c>
      <c r="M117" s="2">
        <v>44274</v>
      </c>
      <c r="N117" s="1">
        <v>2</v>
      </c>
      <c r="O117" s="2">
        <v>44274</v>
      </c>
      <c r="P117" s="1" t="s">
        <v>44</v>
      </c>
      <c r="Q117" s="1" t="s">
        <v>135</v>
      </c>
      <c r="R117" s="1" t="s">
        <v>60</v>
      </c>
      <c r="S117" s="1" t="s">
        <v>47</v>
      </c>
      <c r="T117" s="1">
        <v>8</v>
      </c>
      <c r="U117" s="2" t="s">
        <v>42</v>
      </c>
      <c r="V117" s="2">
        <v>45003</v>
      </c>
      <c r="W117" s="2" t="s">
        <v>42</v>
      </c>
      <c r="X117" s="1" t="s">
        <v>834</v>
      </c>
      <c r="Y117" s="2">
        <v>46028</v>
      </c>
      <c r="Z117" s="1" t="s">
        <v>835</v>
      </c>
      <c r="AA117" s="1" t="s">
        <v>836</v>
      </c>
      <c r="AB117" s="1" t="s">
        <v>837</v>
      </c>
      <c r="AC117" s="1" t="s">
        <v>129</v>
      </c>
      <c r="AD117" s="1">
        <v>7014477116</v>
      </c>
      <c r="AE117" s="1" t="s">
        <v>65</v>
      </c>
      <c r="AF117" s="1" t="s">
        <v>66</v>
      </c>
      <c r="AG117" s="2" t="s">
        <v>42</v>
      </c>
      <c r="AH117" s="1"/>
      <c r="AI117" s="1" t="s">
        <v>42</v>
      </c>
      <c r="AJ117" s="1"/>
      <c r="AK117" s="2" t="s">
        <v>42</v>
      </c>
      <c r="AL117" s="1" t="s">
        <v>3507</v>
      </c>
    </row>
    <row r="118" spans="1:38" ht="20.100000000000001" customHeight="1" x14ac:dyDescent="0.2">
      <c r="A118" s="3">
        <f t="shared" si="2"/>
        <v>115</v>
      </c>
      <c r="B118" s="1" t="s">
        <v>838</v>
      </c>
      <c r="C118" s="1" t="s">
        <v>839</v>
      </c>
      <c r="D118" s="1" t="s">
        <v>38</v>
      </c>
      <c r="E118" s="1" t="s">
        <v>39</v>
      </c>
      <c r="F118" s="1" t="s">
        <v>40</v>
      </c>
      <c r="G118" s="1" t="s">
        <v>840</v>
      </c>
      <c r="H118" s="2">
        <v>46399</v>
      </c>
      <c r="I118" s="2">
        <v>33841</v>
      </c>
      <c r="J118" s="7">
        <f t="shared" ca="1" si="3"/>
        <v>31.197260273972603</v>
      </c>
      <c r="K118" s="1" t="s">
        <v>841</v>
      </c>
      <c r="L118" s="1" t="s">
        <v>841</v>
      </c>
      <c r="M118" s="2">
        <v>44320</v>
      </c>
      <c r="N118" s="1">
        <v>2</v>
      </c>
      <c r="O118" s="2">
        <v>44320</v>
      </c>
      <c r="P118" s="1" t="s">
        <v>44</v>
      </c>
      <c r="Q118" s="1" t="s">
        <v>178</v>
      </c>
      <c r="R118" s="1" t="s">
        <v>842</v>
      </c>
      <c r="S118" s="1" t="s">
        <v>47</v>
      </c>
      <c r="T118" s="1">
        <v>8</v>
      </c>
      <c r="U118" s="2" t="s">
        <v>42</v>
      </c>
      <c r="V118" s="2">
        <v>45049</v>
      </c>
      <c r="W118" s="2" t="s">
        <v>42</v>
      </c>
      <c r="X118" s="1" t="s">
        <v>42</v>
      </c>
      <c r="Y118" s="2" t="s">
        <v>42</v>
      </c>
      <c r="Z118" s="1" t="s">
        <v>843</v>
      </c>
      <c r="AA118" s="1" t="s">
        <v>844</v>
      </c>
      <c r="AB118" s="1" t="s">
        <v>845</v>
      </c>
      <c r="AC118" s="1" t="s">
        <v>129</v>
      </c>
      <c r="AD118" s="1">
        <v>7014477116</v>
      </c>
      <c r="AE118" s="1" t="s">
        <v>65</v>
      </c>
      <c r="AF118" s="1"/>
      <c r="AG118" s="2" t="s">
        <v>42</v>
      </c>
      <c r="AH118" s="1"/>
      <c r="AI118" s="1" t="s">
        <v>42</v>
      </c>
      <c r="AJ118" s="1"/>
      <c r="AK118" s="2" t="s">
        <v>42</v>
      </c>
      <c r="AL118" s="1" t="s">
        <v>3507</v>
      </c>
    </row>
    <row r="119" spans="1:38" ht="20.100000000000001" customHeight="1" x14ac:dyDescent="0.2">
      <c r="A119" s="3">
        <f t="shared" si="2"/>
        <v>116</v>
      </c>
      <c r="B119" s="1" t="s">
        <v>846</v>
      </c>
      <c r="C119" s="1" t="s">
        <v>847</v>
      </c>
      <c r="D119" s="1" t="s">
        <v>38</v>
      </c>
      <c r="E119" s="1" t="s">
        <v>811</v>
      </c>
      <c r="F119" s="1" t="s">
        <v>55</v>
      </c>
      <c r="G119" s="1" t="s">
        <v>848</v>
      </c>
      <c r="H119" s="2">
        <v>45380</v>
      </c>
      <c r="I119" s="2">
        <v>28856</v>
      </c>
      <c r="J119" s="7">
        <f t="shared" ca="1" si="3"/>
        <v>44.854794520547948</v>
      </c>
      <c r="K119" s="1" t="s">
        <v>849</v>
      </c>
      <c r="L119" s="1" t="s">
        <v>813</v>
      </c>
      <c r="M119" s="2">
        <v>44320</v>
      </c>
      <c r="N119" s="1">
        <v>2</v>
      </c>
      <c r="O119" s="2">
        <v>44320</v>
      </c>
      <c r="P119" s="1" t="s">
        <v>44</v>
      </c>
      <c r="Q119" s="1" t="s">
        <v>45</v>
      </c>
      <c r="R119" s="1" t="s">
        <v>116</v>
      </c>
      <c r="S119" s="1" t="s">
        <v>47</v>
      </c>
      <c r="T119" s="1">
        <v>8</v>
      </c>
      <c r="U119" s="2" t="s">
        <v>42</v>
      </c>
      <c r="V119" s="2">
        <v>45049</v>
      </c>
      <c r="W119" s="2" t="s">
        <v>42</v>
      </c>
      <c r="X119" s="1" t="s">
        <v>850</v>
      </c>
      <c r="Y119" s="2">
        <v>46109</v>
      </c>
      <c r="Z119" s="1" t="s">
        <v>851</v>
      </c>
      <c r="AA119" s="1" t="s">
        <v>42</v>
      </c>
      <c r="AB119" s="1" t="s">
        <v>42</v>
      </c>
      <c r="AC119" s="1" t="s">
        <v>42</v>
      </c>
      <c r="AD119" s="1">
        <v>7015572543</v>
      </c>
      <c r="AE119" s="1" t="s">
        <v>3506</v>
      </c>
      <c r="AF119" s="1"/>
      <c r="AG119" s="2" t="s">
        <v>42</v>
      </c>
      <c r="AH119" s="1"/>
      <c r="AI119" s="1" t="s">
        <v>51</v>
      </c>
      <c r="AJ119" s="1"/>
      <c r="AK119" s="2" t="s">
        <v>42</v>
      </c>
      <c r="AL119" s="1" t="s">
        <v>3507</v>
      </c>
    </row>
    <row r="120" spans="1:38" ht="20.100000000000001" customHeight="1" x14ac:dyDescent="0.2">
      <c r="A120" s="3">
        <f t="shared" si="2"/>
        <v>117</v>
      </c>
      <c r="B120" s="1" t="s">
        <v>2856</v>
      </c>
      <c r="C120" s="1" t="s">
        <v>2857</v>
      </c>
      <c r="D120" s="1" t="s">
        <v>38</v>
      </c>
      <c r="E120" s="1" t="s">
        <v>39</v>
      </c>
      <c r="F120" s="1"/>
      <c r="G120" s="1" t="s">
        <v>2858</v>
      </c>
      <c r="H120" s="2" t="s">
        <v>42</v>
      </c>
      <c r="I120" s="2">
        <v>35166</v>
      </c>
      <c r="J120" s="7">
        <f t="shared" ca="1" si="3"/>
        <v>27.567123287671233</v>
      </c>
      <c r="K120" s="1" t="s">
        <v>774</v>
      </c>
      <c r="L120" s="1" t="s">
        <v>547</v>
      </c>
      <c r="M120" s="2">
        <v>44357</v>
      </c>
      <c r="N120" s="1">
        <v>2</v>
      </c>
      <c r="O120" s="2">
        <v>44756</v>
      </c>
      <c r="P120" s="1" t="s">
        <v>44</v>
      </c>
      <c r="Q120" s="1" t="s">
        <v>466</v>
      </c>
      <c r="R120" s="1" t="s">
        <v>42</v>
      </c>
      <c r="S120" s="1" t="s">
        <v>47</v>
      </c>
      <c r="T120" s="1">
        <v>8</v>
      </c>
      <c r="U120" s="2" t="s">
        <v>42</v>
      </c>
      <c r="V120" s="2">
        <v>45086</v>
      </c>
      <c r="W120" s="2" t="s">
        <v>42</v>
      </c>
      <c r="X120" s="1" t="s">
        <v>42</v>
      </c>
      <c r="Y120" s="2" t="s">
        <v>42</v>
      </c>
      <c r="Z120" s="1" t="s">
        <v>2859</v>
      </c>
      <c r="AA120" s="1" t="s">
        <v>2860</v>
      </c>
      <c r="AB120" s="1" t="s">
        <v>2861</v>
      </c>
      <c r="AC120" s="1" t="s">
        <v>50</v>
      </c>
      <c r="AD120" s="1">
        <v>7004853987</v>
      </c>
      <c r="AE120" s="1" t="s">
        <v>471</v>
      </c>
      <c r="AF120" s="1"/>
      <c r="AG120" s="2">
        <v>44987</v>
      </c>
      <c r="AH120" s="1" t="s">
        <v>2812</v>
      </c>
      <c r="AI120" s="1" t="s">
        <v>2862</v>
      </c>
      <c r="AJ120" s="1"/>
      <c r="AK120" s="2" t="s">
        <v>42</v>
      </c>
      <c r="AL120" s="1" t="s">
        <v>2806</v>
      </c>
    </row>
    <row r="121" spans="1:38" ht="20.100000000000001" customHeight="1" x14ac:dyDescent="0.2">
      <c r="A121" s="3">
        <f t="shared" si="2"/>
        <v>118</v>
      </c>
      <c r="B121" s="1" t="s">
        <v>852</v>
      </c>
      <c r="C121" s="1" t="s">
        <v>853</v>
      </c>
      <c r="D121" s="1" t="s">
        <v>121</v>
      </c>
      <c r="E121" s="1" t="s">
        <v>39</v>
      </c>
      <c r="F121" s="1" t="s">
        <v>40</v>
      </c>
      <c r="G121" s="1" t="s">
        <v>854</v>
      </c>
      <c r="H121" s="2" t="s">
        <v>42</v>
      </c>
      <c r="I121" s="2">
        <v>36960</v>
      </c>
      <c r="J121" s="7">
        <f t="shared" ca="1" si="3"/>
        <v>22.652054794520549</v>
      </c>
      <c r="K121" s="1" t="s">
        <v>774</v>
      </c>
      <c r="L121" s="1" t="s">
        <v>547</v>
      </c>
      <c r="M121" s="2">
        <v>44409</v>
      </c>
      <c r="N121" s="1">
        <v>2</v>
      </c>
      <c r="O121" s="2">
        <v>44758</v>
      </c>
      <c r="P121" s="1" t="s">
        <v>221</v>
      </c>
      <c r="Q121" s="1" t="s">
        <v>292</v>
      </c>
      <c r="R121" s="1" t="s">
        <v>60</v>
      </c>
      <c r="S121" s="1" t="s">
        <v>47</v>
      </c>
      <c r="T121" s="1">
        <v>12</v>
      </c>
      <c r="U121" s="2" t="s">
        <v>42</v>
      </c>
      <c r="V121" s="2">
        <v>45138</v>
      </c>
      <c r="W121" s="2">
        <v>45244</v>
      </c>
      <c r="X121" s="1" t="s">
        <v>42</v>
      </c>
      <c r="Y121" s="2" t="s">
        <v>42</v>
      </c>
      <c r="Z121" s="1" t="s">
        <v>855</v>
      </c>
      <c r="AA121" s="1" t="s">
        <v>856</v>
      </c>
      <c r="AB121" s="1" t="s">
        <v>857</v>
      </c>
      <c r="AC121" s="1" t="s">
        <v>129</v>
      </c>
      <c r="AD121" s="1">
        <v>7014477116</v>
      </c>
      <c r="AE121" s="1" t="s">
        <v>65</v>
      </c>
      <c r="AF121" s="1" t="s">
        <v>66</v>
      </c>
      <c r="AG121" s="2" t="s">
        <v>42</v>
      </c>
      <c r="AH121" s="1"/>
      <c r="AI121" s="1" t="s">
        <v>42</v>
      </c>
      <c r="AJ121" s="1"/>
      <c r="AK121" s="2" t="s">
        <v>42</v>
      </c>
      <c r="AL121" s="1" t="s">
        <v>3507</v>
      </c>
    </row>
    <row r="122" spans="1:38" ht="20.100000000000001" customHeight="1" x14ac:dyDescent="0.2">
      <c r="A122" s="3">
        <f t="shared" si="2"/>
        <v>119</v>
      </c>
      <c r="B122" s="1" t="s">
        <v>2863</v>
      </c>
      <c r="C122" s="1" t="s">
        <v>2864</v>
      </c>
      <c r="D122" s="1" t="s">
        <v>38</v>
      </c>
      <c r="E122" s="1" t="s">
        <v>39</v>
      </c>
      <c r="F122" s="1"/>
      <c r="G122" s="1" t="s">
        <v>2865</v>
      </c>
      <c r="H122" s="2" t="s">
        <v>42</v>
      </c>
      <c r="I122" s="2" t="s">
        <v>42</v>
      </c>
      <c r="J122" s="7"/>
      <c r="K122" s="1" t="s">
        <v>42</v>
      </c>
      <c r="L122" s="1" t="s">
        <v>547</v>
      </c>
      <c r="M122" s="2">
        <v>44410</v>
      </c>
      <c r="N122" s="1">
        <v>2</v>
      </c>
      <c r="O122" s="2">
        <v>44772</v>
      </c>
      <c r="P122" s="1" t="s">
        <v>44</v>
      </c>
      <c r="Q122" s="1" t="s">
        <v>59</v>
      </c>
      <c r="R122" s="1" t="s">
        <v>42</v>
      </c>
      <c r="S122" s="1" t="s">
        <v>47</v>
      </c>
      <c r="T122" s="1">
        <v>12</v>
      </c>
      <c r="U122" s="2" t="s">
        <v>42</v>
      </c>
      <c r="V122" s="2">
        <v>45139</v>
      </c>
      <c r="W122" s="2" t="s">
        <v>42</v>
      </c>
      <c r="X122" s="1" t="s">
        <v>42</v>
      </c>
      <c r="Y122" s="2" t="s">
        <v>42</v>
      </c>
      <c r="Z122" s="1" t="s">
        <v>42</v>
      </c>
      <c r="AA122" s="1" t="s">
        <v>42</v>
      </c>
      <c r="AB122" s="1" t="s">
        <v>2866</v>
      </c>
      <c r="AC122" s="1" t="s">
        <v>983</v>
      </c>
      <c r="AD122" s="1">
        <v>7014477116</v>
      </c>
      <c r="AE122" s="1" t="s">
        <v>65</v>
      </c>
      <c r="AF122" s="1"/>
      <c r="AG122" s="2">
        <v>44772</v>
      </c>
      <c r="AH122" s="1" t="s">
        <v>2805</v>
      </c>
      <c r="AI122" s="1" t="s">
        <v>42</v>
      </c>
      <c r="AJ122" s="1"/>
      <c r="AK122" s="2" t="s">
        <v>42</v>
      </c>
      <c r="AL122" s="1" t="s">
        <v>2806</v>
      </c>
    </row>
    <row r="123" spans="1:38" ht="20.100000000000001" customHeight="1" x14ac:dyDescent="0.2">
      <c r="A123" s="3">
        <f t="shared" si="2"/>
        <v>120</v>
      </c>
      <c r="B123" s="1" t="s">
        <v>2867</v>
      </c>
      <c r="C123" s="1" t="s">
        <v>2868</v>
      </c>
      <c r="D123" s="1" t="s">
        <v>121</v>
      </c>
      <c r="E123" s="1" t="s">
        <v>39</v>
      </c>
      <c r="F123" s="1"/>
      <c r="G123" s="1" t="s">
        <v>2869</v>
      </c>
      <c r="H123" s="2" t="s">
        <v>42</v>
      </c>
      <c r="I123" s="2" t="s">
        <v>42</v>
      </c>
      <c r="J123" s="7"/>
      <c r="K123" s="1" t="s">
        <v>42</v>
      </c>
      <c r="L123" s="1" t="s">
        <v>547</v>
      </c>
      <c r="M123" s="2">
        <v>44411</v>
      </c>
      <c r="N123" s="1">
        <v>2</v>
      </c>
      <c r="O123" s="2">
        <v>44774</v>
      </c>
      <c r="P123" s="1" t="s">
        <v>44</v>
      </c>
      <c r="Q123" s="1" t="s">
        <v>203</v>
      </c>
      <c r="R123" s="1" t="s">
        <v>42</v>
      </c>
      <c r="S123" s="1" t="s">
        <v>47</v>
      </c>
      <c r="T123" s="1">
        <v>8</v>
      </c>
      <c r="U123" s="2" t="s">
        <v>42</v>
      </c>
      <c r="V123" s="2">
        <v>45140</v>
      </c>
      <c r="W123" s="2">
        <v>45119</v>
      </c>
      <c r="X123" s="1" t="s">
        <v>42</v>
      </c>
      <c r="Y123" s="2" t="s">
        <v>42</v>
      </c>
      <c r="Z123" s="1" t="s">
        <v>2870</v>
      </c>
      <c r="AA123" s="1" t="s">
        <v>2871</v>
      </c>
      <c r="AB123" s="1" t="s">
        <v>2872</v>
      </c>
      <c r="AC123" s="1" t="s">
        <v>617</v>
      </c>
      <c r="AD123" s="1">
        <v>7014477116</v>
      </c>
      <c r="AE123" s="1" t="s">
        <v>65</v>
      </c>
      <c r="AF123" s="1"/>
      <c r="AG123" s="2">
        <v>44964</v>
      </c>
      <c r="AH123" s="1" t="s">
        <v>2812</v>
      </c>
      <c r="AI123" s="1" t="s">
        <v>42</v>
      </c>
      <c r="AJ123" s="1"/>
      <c r="AK123" s="2" t="s">
        <v>42</v>
      </c>
      <c r="AL123" s="1" t="s">
        <v>2806</v>
      </c>
    </row>
    <row r="124" spans="1:38" ht="20.100000000000001" customHeight="1" x14ac:dyDescent="0.2">
      <c r="A124" s="3">
        <f t="shared" si="2"/>
        <v>121</v>
      </c>
      <c r="B124" s="1" t="s">
        <v>858</v>
      </c>
      <c r="C124" s="1" t="s">
        <v>859</v>
      </c>
      <c r="D124" s="1" t="s">
        <v>121</v>
      </c>
      <c r="E124" s="1" t="s">
        <v>39</v>
      </c>
      <c r="F124" s="1" t="s">
        <v>40</v>
      </c>
      <c r="G124" s="1" t="s">
        <v>860</v>
      </c>
      <c r="H124" s="2" t="s">
        <v>42</v>
      </c>
      <c r="I124" s="2" t="s">
        <v>42</v>
      </c>
      <c r="J124" s="7"/>
      <c r="K124" s="1" t="s">
        <v>211</v>
      </c>
      <c r="L124" s="1" t="s">
        <v>547</v>
      </c>
      <c r="M124" s="2">
        <v>44363</v>
      </c>
      <c r="N124" s="1">
        <v>2</v>
      </c>
      <c r="O124" s="2">
        <v>44900</v>
      </c>
      <c r="P124" s="1" t="s">
        <v>44</v>
      </c>
      <c r="Q124" s="1" t="s">
        <v>744</v>
      </c>
      <c r="R124" s="1" t="s">
        <v>60</v>
      </c>
      <c r="S124" s="1" t="s">
        <v>47</v>
      </c>
      <c r="T124" s="1">
        <v>8</v>
      </c>
      <c r="U124" s="2" t="s">
        <v>42</v>
      </c>
      <c r="V124" s="2">
        <v>45146</v>
      </c>
      <c r="W124" s="2" t="s">
        <v>42</v>
      </c>
      <c r="X124" s="1" t="s">
        <v>42</v>
      </c>
      <c r="Y124" s="2" t="s">
        <v>42</v>
      </c>
      <c r="Z124" s="1" t="s">
        <v>861</v>
      </c>
      <c r="AA124" s="1" t="s">
        <v>862</v>
      </c>
      <c r="AB124" s="1" t="s">
        <v>863</v>
      </c>
      <c r="AC124" s="1" t="s">
        <v>129</v>
      </c>
      <c r="AD124" s="1">
        <v>7015572543</v>
      </c>
      <c r="AE124" s="1" t="s">
        <v>3506</v>
      </c>
      <c r="AF124" s="1" t="s">
        <v>66</v>
      </c>
      <c r="AG124" s="2" t="s">
        <v>42</v>
      </c>
      <c r="AH124" s="1"/>
      <c r="AI124" s="1" t="s">
        <v>42</v>
      </c>
      <c r="AJ124" s="1"/>
      <c r="AK124" s="2" t="s">
        <v>42</v>
      </c>
      <c r="AL124" s="1" t="s">
        <v>3507</v>
      </c>
    </row>
    <row r="125" spans="1:38" ht="20.100000000000001" customHeight="1" x14ac:dyDescent="0.2">
      <c r="A125" s="3">
        <f t="shared" si="2"/>
        <v>122</v>
      </c>
      <c r="B125" s="1" t="s">
        <v>2873</v>
      </c>
      <c r="C125" s="1" t="s">
        <v>2874</v>
      </c>
      <c r="D125" s="1" t="s">
        <v>38</v>
      </c>
      <c r="E125" s="1" t="s">
        <v>39</v>
      </c>
      <c r="F125" s="1" t="s">
        <v>40</v>
      </c>
      <c r="G125" s="1" t="s">
        <v>2875</v>
      </c>
      <c r="H125" s="2" t="s">
        <v>42</v>
      </c>
      <c r="I125" s="2" t="s">
        <v>42</v>
      </c>
      <c r="J125" s="7"/>
      <c r="K125" s="1" t="s">
        <v>1610</v>
      </c>
      <c r="L125" s="1" t="s">
        <v>2090</v>
      </c>
      <c r="M125" s="2">
        <v>44417</v>
      </c>
      <c r="N125" s="1">
        <v>2</v>
      </c>
      <c r="O125" s="2">
        <v>44417</v>
      </c>
      <c r="P125" s="1" t="s">
        <v>44</v>
      </c>
      <c r="Q125" s="1" t="s">
        <v>408</v>
      </c>
      <c r="R125" s="1" t="s">
        <v>124</v>
      </c>
      <c r="S125" s="1" t="s">
        <v>125</v>
      </c>
      <c r="T125" s="1" t="s">
        <v>42</v>
      </c>
      <c r="U125" s="2" t="s">
        <v>42</v>
      </c>
      <c r="V125" s="2">
        <v>45146</v>
      </c>
      <c r="W125" s="2" t="s">
        <v>42</v>
      </c>
      <c r="X125" s="1" t="s">
        <v>42</v>
      </c>
      <c r="Y125" s="2" t="s">
        <v>42</v>
      </c>
      <c r="Z125" s="1" t="s">
        <v>42</v>
      </c>
      <c r="AA125" s="1" t="s">
        <v>42</v>
      </c>
      <c r="AB125" s="1" t="s">
        <v>2876</v>
      </c>
      <c r="AC125" s="1" t="s">
        <v>129</v>
      </c>
      <c r="AD125" s="1">
        <v>7015572543</v>
      </c>
      <c r="AE125" s="1" t="s">
        <v>3506</v>
      </c>
      <c r="AF125" s="1"/>
      <c r="AG125" s="2">
        <v>45217</v>
      </c>
      <c r="AH125" s="1" t="s">
        <v>2812</v>
      </c>
      <c r="AI125" s="1" t="s">
        <v>42</v>
      </c>
      <c r="AJ125" s="1"/>
      <c r="AK125" s="2" t="s">
        <v>42</v>
      </c>
      <c r="AL125" s="1" t="s">
        <v>2806</v>
      </c>
    </row>
    <row r="126" spans="1:38" ht="20.100000000000001" customHeight="1" x14ac:dyDescent="0.2">
      <c r="A126" s="3">
        <f t="shared" si="2"/>
        <v>123</v>
      </c>
      <c r="B126" s="1" t="s">
        <v>864</v>
      </c>
      <c r="C126" s="1" t="s">
        <v>865</v>
      </c>
      <c r="D126" s="1" t="s">
        <v>121</v>
      </c>
      <c r="E126" s="1" t="s">
        <v>39</v>
      </c>
      <c r="F126" s="1" t="s">
        <v>40</v>
      </c>
      <c r="G126" s="1" t="s">
        <v>866</v>
      </c>
      <c r="H126" s="2" t="s">
        <v>42</v>
      </c>
      <c r="I126" s="2" t="s">
        <v>42</v>
      </c>
      <c r="J126" s="7"/>
      <c r="K126" s="1" t="s">
        <v>80</v>
      </c>
      <c r="L126" s="1" t="s">
        <v>80</v>
      </c>
      <c r="M126" s="2">
        <v>44417</v>
      </c>
      <c r="N126" s="1">
        <v>2</v>
      </c>
      <c r="O126" s="2">
        <v>44417</v>
      </c>
      <c r="P126" s="1" t="s">
        <v>44</v>
      </c>
      <c r="Q126" s="1" t="s">
        <v>45</v>
      </c>
      <c r="R126" s="1" t="s">
        <v>124</v>
      </c>
      <c r="S126" s="1" t="s">
        <v>125</v>
      </c>
      <c r="T126" s="1" t="s">
        <v>42</v>
      </c>
      <c r="U126" s="2" t="s">
        <v>42</v>
      </c>
      <c r="V126" s="2">
        <v>45146</v>
      </c>
      <c r="W126" s="2" t="s">
        <v>42</v>
      </c>
      <c r="X126" s="1" t="s">
        <v>42</v>
      </c>
      <c r="Y126" s="2" t="s">
        <v>42</v>
      </c>
      <c r="Z126" s="1" t="s">
        <v>42</v>
      </c>
      <c r="AA126" s="1" t="s">
        <v>42</v>
      </c>
      <c r="AB126" s="1" t="s">
        <v>867</v>
      </c>
      <c r="AC126" s="1" t="s">
        <v>50</v>
      </c>
      <c r="AD126" s="1">
        <v>7015572543</v>
      </c>
      <c r="AE126" s="1" t="s">
        <v>3506</v>
      </c>
      <c r="AF126" s="1"/>
      <c r="AG126" s="2" t="s">
        <v>42</v>
      </c>
      <c r="AH126" s="1"/>
      <c r="AI126" s="1" t="s">
        <v>42</v>
      </c>
      <c r="AJ126" s="1"/>
      <c r="AK126" s="2" t="s">
        <v>42</v>
      </c>
      <c r="AL126" s="1" t="s">
        <v>3507</v>
      </c>
    </row>
    <row r="127" spans="1:38" ht="20.100000000000001" customHeight="1" x14ac:dyDescent="0.2">
      <c r="A127" s="3">
        <f t="shared" si="2"/>
        <v>124</v>
      </c>
      <c r="B127" s="1" t="s">
        <v>2877</v>
      </c>
      <c r="C127" s="1" t="s">
        <v>2878</v>
      </c>
      <c r="D127" s="1" t="s">
        <v>121</v>
      </c>
      <c r="E127" s="1" t="s">
        <v>39</v>
      </c>
      <c r="F127" s="1"/>
      <c r="G127" s="1" t="s">
        <v>2879</v>
      </c>
      <c r="H127" s="2" t="s">
        <v>42</v>
      </c>
      <c r="I127" s="2" t="s">
        <v>42</v>
      </c>
      <c r="J127" s="7"/>
      <c r="K127" s="1" t="s">
        <v>774</v>
      </c>
      <c r="L127" s="1" t="s">
        <v>547</v>
      </c>
      <c r="M127" s="2">
        <v>44427</v>
      </c>
      <c r="N127" s="1">
        <v>2</v>
      </c>
      <c r="O127" s="2">
        <v>44762</v>
      </c>
      <c r="P127" s="1" t="s">
        <v>165</v>
      </c>
      <c r="Q127" s="1" t="s">
        <v>166</v>
      </c>
      <c r="R127" s="1" t="s">
        <v>42</v>
      </c>
      <c r="S127" s="1" t="s">
        <v>47</v>
      </c>
      <c r="T127" s="1">
        <v>12</v>
      </c>
      <c r="U127" s="2" t="s">
        <v>42</v>
      </c>
      <c r="V127" s="2">
        <v>45156</v>
      </c>
      <c r="W127" s="2" t="s">
        <v>42</v>
      </c>
      <c r="X127" s="1" t="s">
        <v>42</v>
      </c>
      <c r="Y127" s="2" t="s">
        <v>42</v>
      </c>
      <c r="Z127" s="1" t="s">
        <v>2880</v>
      </c>
      <c r="AA127" s="1" t="s">
        <v>2881</v>
      </c>
      <c r="AB127" s="1" t="s">
        <v>2882</v>
      </c>
      <c r="AC127" s="1" t="s">
        <v>983</v>
      </c>
      <c r="AD127" s="1">
        <v>7014477116</v>
      </c>
      <c r="AE127" s="1" t="s">
        <v>65</v>
      </c>
      <c r="AF127" s="1"/>
      <c r="AG127" s="2" t="s">
        <v>42</v>
      </c>
      <c r="AH127" s="1" t="s">
        <v>2812</v>
      </c>
      <c r="AI127" s="1" t="s">
        <v>42</v>
      </c>
      <c r="AJ127" s="1"/>
      <c r="AK127" s="2" t="s">
        <v>42</v>
      </c>
      <c r="AL127" s="1" t="s">
        <v>2806</v>
      </c>
    </row>
    <row r="128" spans="1:38" ht="20.100000000000001" customHeight="1" x14ac:dyDescent="0.2">
      <c r="A128" s="3">
        <f t="shared" si="2"/>
        <v>125</v>
      </c>
      <c r="B128" s="1" t="s">
        <v>868</v>
      </c>
      <c r="C128" s="1" t="s">
        <v>869</v>
      </c>
      <c r="D128" s="1" t="s">
        <v>38</v>
      </c>
      <c r="E128" s="1" t="s">
        <v>39</v>
      </c>
      <c r="F128" s="1" t="s">
        <v>40</v>
      </c>
      <c r="G128" s="1" t="s">
        <v>870</v>
      </c>
      <c r="H128" s="2" t="s">
        <v>42</v>
      </c>
      <c r="I128" s="2" t="s">
        <v>42</v>
      </c>
      <c r="J128" s="7"/>
      <c r="K128" s="1" t="s">
        <v>774</v>
      </c>
      <c r="L128" s="1" t="s">
        <v>58</v>
      </c>
      <c r="M128" s="2">
        <v>44440</v>
      </c>
      <c r="N128" s="1">
        <v>2</v>
      </c>
      <c r="O128" s="2">
        <v>44767</v>
      </c>
      <c r="P128" s="1" t="s">
        <v>44</v>
      </c>
      <c r="Q128" s="1" t="s">
        <v>475</v>
      </c>
      <c r="R128" s="1" t="s">
        <v>60</v>
      </c>
      <c r="S128" s="1" t="s">
        <v>47</v>
      </c>
      <c r="T128" s="1">
        <v>12</v>
      </c>
      <c r="U128" s="2" t="s">
        <v>42</v>
      </c>
      <c r="V128" s="2">
        <v>45169</v>
      </c>
      <c r="W128" s="2" t="s">
        <v>42</v>
      </c>
      <c r="X128" s="1" t="s">
        <v>42</v>
      </c>
      <c r="Y128" s="2" t="s">
        <v>42</v>
      </c>
      <c r="Z128" s="1" t="s">
        <v>871</v>
      </c>
      <c r="AA128" s="1" t="s">
        <v>872</v>
      </c>
      <c r="AB128" s="1" t="s">
        <v>873</v>
      </c>
      <c r="AC128" s="1" t="s">
        <v>617</v>
      </c>
      <c r="AD128" s="1">
        <v>7004853987</v>
      </c>
      <c r="AE128" s="1" t="s">
        <v>471</v>
      </c>
      <c r="AF128" s="1" t="s">
        <v>66</v>
      </c>
      <c r="AG128" s="2" t="s">
        <v>42</v>
      </c>
      <c r="AH128" s="1"/>
      <c r="AI128" s="1" t="s">
        <v>42</v>
      </c>
      <c r="AJ128" s="1"/>
      <c r="AK128" s="2" t="s">
        <v>42</v>
      </c>
      <c r="AL128" s="1" t="s">
        <v>3507</v>
      </c>
    </row>
    <row r="129" spans="1:38" ht="20.100000000000001" customHeight="1" x14ac:dyDescent="0.2">
      <c r="A129" s="3">
        <f t="shared" si="2"/>
        <v>126</v>
      </c>
      <c r="B129" s="1" t="s">
        <v>874</v>
      </c>
      <c r="C129" s="1" t="s">
        <v>875</v>
      </c>
      <c r="D129" s="1" t="s">
        <v>38</v>
      </c>
      <c r="E129" s="1" t="s">
        <v>69</v>
      </c>
      <c r="F129" s="1" t="s">
        <v>70</v>
      </c>
      <c r="G129" s="1" t="s">
        <v>876</v>
      </c>
      <c r="H129" s="2">
        <v>45404</v>
      </c>
      <c r="I129" s="2">
        <v>35933</v>
      </c>
      <c r="J129" s="7">
        <f t="shared" ca="1" si="3"/>
        <v>25.465753424657535</v>
      </c>
      <c r="K129" s="1" t="s">
        <v>89</v>
      </c>
      <c r="L129" s="1" t="s">
        <v>416</v>
      </c>
      <c r="M129" s="2">
        <v>44440</v>
      </c>
      <c r="N129" s="1">
        <v>2</v>
      </c>
      <c r="O129" s="2">
        <v>44440</v>
      </c>
      <c r="P129" s="1" t="s">
        <v>44</v>
      </c>
      <c r="Q129" s="1" t="s">
        <v>142</v>
      </c>
      <c r="R129" s="1" t="s">
        <v>60</v>
      </c>
      <c r="S129" s="1" t="s">
        <v>47</v>
      </c>
      <c r="T129" s="1">
        <v>8</v>
      </c>
      <c r="U129" s="2" t="s">
        <v>42</v>
      </c>
      <c r="V129" s="2">
        <v>45169</v>
      </c>
      <c r="W129" s="2" t="s">
        <v>42</v>
      </c>
      <c r="X129" s="1" t="s">
        <v>877</v>
      </c>
      <c r="Y129" s="2">
        <v>46087</v>
      </c>
      <c r="Z129" s="1" t="s">
        <v>878</v>
      </c>
      <c r="AA129" s="1" t="s">
        <v>879</v>
      </c>
      <c r="AB129" s="1" t="s">
        <v>880</v>
      </c>
      <c r="AC129" s="1" t="s">
        <v>50</v>
      </c>
      <c r="AD129" s="1">
        <v>7014477116</v>
      </c>
      <c r="AE129" s="1" t="s">
        <v>65</v>
      </c>
      <c r="AF129" s="1" t="s">
        <v>147</v>
      </c>
      <c r="AG129" s="2" t="s">
        <v>42</v>
      </c>
      <c r="AH129" s="1"/>
      <c r="AI129" s="1" t="s">
        <v>42</v>
      </c>
      <c r="AJ129" s="1"/>
      <c r="AK129" s="2" t="s">
        <v>42</v>
      </c>
      <c r="AL129" s="1" t="s">
        <v>3507</v>
      </c>
    </row>
    <row r="130" spans="1:38" ht="20.100000000000001" customHeight="1" x14ac:dyDescent="0.2">
      <c r="A130" s="3">
        <f t="shared" si="2"/>
        <v>127</v>
      </c>
      <c r="B130" s="1" t="s">
        <v>2883</v>
      </c>
      <c r="C130" s="1" t="s">
        <v>2884</v>
      </c>
      <c r="D130" s="1" t="s">
        <v>38</v>
      </c>
      <c r="E130" s="1" t="s">
        <v>39</v>
      </c>
      <c r="F130" s="1"/>
      <c r="G130" s="1" t="s">
        <v>2885</v>
      </c>
      <c r="H130" s="2" t="s">
        <v>42</v>
      </c>
      <c r="I130" s="2">
        <v>36702</v>
      </c>
      <c r="J130" s="7">
        <f t="shared" ca="1" si="3"/>
        <v>23.358904109589041</v>
      </c>
      <c r="K130" s="1" t="s">
        <v>774</v>
      </c>
      <c r="L130" s="1" t="s">
        <v>547</v>
      </c>
      <c r="M130" s="2">
        <v>44447</v>
      </c>
      <c r="N130" s="1">
        <v>2</v>
      </c>
      <c r="O130" s="2">
        <v>44756</v>
      </c>
      <c r="P130" s="1" t="s">
        <v>44</v>
      </c>
      <c r="Q130" s="1" t="s">
        <v>475</v>
      </c>
      <c r="R130" s="1" t="s">
        <v>42</v>
      </c>
      <c r="S130" s="1" t="s">
        <v>47</v>
      </c>
      <c r="T130" s="1">
        <v>12</v>
      </c>
      <c r="U130" s="2" t="s">
        <v>42</v>
      </c>
      <c r="V130" s="2">
        <v>44811</v>
      </c>
      <c r="W130" s="2" t="s">
        <v>42</v>
      </c>
      <c r="X130" s="1" t="s">
        <v>42</v>
      </c>
      <c r="Y130" s="2" t="s">
        <v>42</v>
      </c>
      <c r="Z130" s="1" t="s">
        <v>2886</v>
      </c>
      <c r="AA130" s="1" t="s">
        <v>2887</v>
      </c>
      <c r="AB130" s="1" t="s">
        <v>2888</v>
      </c>
      <c r="AC130" s="1" t="s">
        <v>129</v>
      </c>
      <c r="AD130" s="1">
        <v>7004853987</v>
      </c>
      <c r="AE130" s="1" t="s">
        <v>471</v>
      </c>
      <c r="AF130" s="1"/>
      <c r="AG130" s="2">
        <v>44848</v>
      </c>
      <c r="AH130" s="1" t="s">
        <v>2812</v>
      </c>
      <c r="AI130" s="1" t="s">
        <v>42</v>
      </c>
      <c r="AJ130" s="1"/>
      <c r="AK130" s="2" t="s">
        <v>42</v>
      </c>
      <c r="AL130" s="1" t="s">
        <v>2806</v>
      </c>
    </row>
    <row r="131" spans="1:38" ht="20.100000000000001" customHeight="1" x14ac:dyDescent="0.2">
      <c r="A131" s="3">
        <f t="shared" si="2"/>
        <v>128</v>
      </c>
      <c r="B131" s="1" t="s">
        <v>881</v>
      </c>
      <c r="C131" s="1" t="s">
        <v>882</v>
      </c>
      <c r="D131" s="1" t="s">
        <v>38</v>
      </c>
      <c r="E131" s="1" t="s">
        <v>150</v>
      </c>
      <c r="F131" s="1" t="s">
        <v>70</v>
      </c>
      <c r="G131" s="1" t="s">
        <v>883</v>
      </c>
      <c r="H131" s="2">
        <v>45308</v>
      </c>
      <c r="I131" s="2">
        <v>35280</v>
      </c>
      <c r="J131" s="7">
        <f t="shared" ca="1" si="3"/>
        <v>27.254794520547946</v>
      </c>
      <c r="K131" s="1" t="s">
        <v>482</v>
      </c>
      <c r="L131" s="1" t="s">
        <v>798</v>
      </c>
      <c r="M131" s="2">
        <v>44504</v>
      </c>
      <c r="N131" s="1">
        <v>2</v>
      </c>
      <c r="O131" s="2">
        <v>45190</v>
      </c>
      <c r="P131" s="1" t="s">
        <v>44</v>
      </c>
      <c r="Q131" s="1" t="s">
        <v>45</v>
      </c>
      <c r="R131" s="1" t="s">
        <v>155</v>
      </c>
      <c r="S131" s="1" t="s">
        <v>47</v>
      </c>
      <c r="T131" s="1">
        <v>8</v>
      </c>
      <c r="U131" s="2" t="s">
        <v>42</v>
      </c>
      <c r="V131" s="2">
        <v>44868</v>
      </c>
      <c r="W131" s="2" t="s">
        <v>42</v>
      </c>
      <c r="X131" s="1" t="s">
        <v>884</v>
      </c>
      <c r="Y131" s="2">
        <v>46947</v>
      </c>
      <c r="Z131" s="1" t="s">
        <v>885</v>
      </c>
      <c r="AA131" s="1" t="s">
        <v>886</v>
      </c>
      <c r="AB131" s="1" t="s">
        <v>887</v>
      </c>
      <c r="AC131" s="1" t="s">
        <v>50</v>
      </c>
      <c r="AD131" s="1">
        <v>7014477116</v>
      </c>
      <c r="AE131" s="1" t="s">
        <v>65</v>
      </c>
      <c r="AF131" s="1"/>
      <c r="AG131" s="2" t="s">
        <v>42</v>
      </c>
      <c r="AH131" s="1"/>
      <c r="AI131" s="1" t="s">
        <v>42</v>
      </c>
      <c r="AJ131" s="1"/>
      <c r="AK131" s="2" t="s">
        <v>42</v>
      </c>
      <c r="AL131" s="1" t="s">
        <v>514</v>
      </c>
    </row>
    <row r="132" spans="1:38" ht="20.100000000000001" customHeight="1" x14ac:dyDescent="0.2">
      <c r="A132" s="3">
        <f t="shared" ref="A132:A195" si="4">ROW()-3</f>
        <v>129</v>
      </c>
      <c r="B132" s="1" t="s">
        <v>2889</v>
      </c>
      <c r="C132" s="1" t="s">
        <v>2890</v>
      </c>
      <c r="D132" s="1" t="s">
        <v>121</v>
      </c>
      <c r="E132" s="1" t="s">
        <v>39</v>
      </c>
      <c r="F132" s="1"/>
      <c r="G132" s="1" t="s">
        <v>2891</v>
      </c>
      <c r="H132" s="2" t="s">
        <v>42</v>
      </c>
      <c r="I132" s="2" t="s">
        <v>42</v>
      </c>
      <c r="J132" s="7"/>
      <c r="K132" s="1" t="s">
        <v>42</v>
      </c>
      <c r="L132" s="1" t="s">
        <v>547</v>
      </c>
      <c r="M132" s="2">
        <v>44562</v>
      </c>
      <c r="N132" s="1">
        <v>2</v>
      </c>
      <c r="O132" s="2">
        <v>44757</v>
      </c>
      <c r="P132" s="1" t="s">
        <v>44</v>
      </c>
      <c r="Q132" s="1" t="s">
        <v>306</v>
      </c>
      <c r="R132" s="1" t="s">
        <v>42</v>
      </c>
      <c r="S132" s="1"/>
      <c r="T132" s="1">
        <v>8</v>
      </c>
      <c r="U132" s="2" t="s">
        <v>42</v>
      </c>
      <c r="V132" s="2" t="s">
        <v>42</v>
      </c>
      <c r="W132" s="2" t="s">
        <v>42</v>
      </c>
      <c r="X132" s="1" t="s">
        <v>42</v>
      </c>
      <c r="Y132" s="2" t="s">
        <v>42</v>
      </c>
      <c r="Z132" s="1" t="s">
        <v>2892</v>
      </c>
      <c r="AA132" s="1" t="s">
        <v>2893</v>
      </c>
      <c r="AB132" s="1" t="s">
        <v>2894</v>
      </c>
      <c r="AC132" s="1" t="s">
        <v>129</v>
      </c>
      <c r="AD132" s="1">
        <v>7015572543</v>
      </c>
      <c r="AE132" s="1" t="s">
        <v>3506</v>
      </c>
      <c r="AF132" s="1"/>
      <c r="AG132" s="2">
        <v>44777</v>
      </c>
      <c r="AH132" s="1" t="s">
        <v>2812</v>
      </c>
      <c r="AI132" s="1" t="s">
        <v>42</v>
      </c>
      <c r="AJ132" s="1"/>
      <c r="AK132" s="2" t="s">
        <v>42</v>
      </c>
      <c r="AL132" s="1" t="s">
        <v>2806</v>
      </c>
    </row>
    <row r="133" spans="1:38" ht="20.100000000000001" customHeight="1" x14ac:dyDescent="0.2">
      <c r="A133" s="3">
        <f t="shared" si="4"/>
        <v>130</v>
      </c>
      <c r="B133" s="1" t="s">
        <v>2895</v>
      </c>
      <c r="C133" s="1" t="s">
        <v>2896</v>
      </c>
      <c r="D133" s="1" t="s">
        <v>121</v>
      </c>
      <c r="E133" s="1" t="s">
        <v>39</v>
      </c>
      <c r="F133" s="1"/>
      <c r="G133" s="1" t="s">
        <v>2897</v>
      </c>
      <c r="H133" s="2" t="s">
        <v>42</v>
      </c>
      <c r="I133" s="2" t="s">
        <v>42</v>
      </c>
      <c r="J133" s="7"/>
      <c r="K133" s="1" t="s">
        <v>42</v>
      </c>
      <c r="L133" s="1" t="s">
        <v>547</v>
      </c>
      <c r="M133" s="2">
        <v>44562</v>
      </c>
      <c r="N133" s="1">
        <v>2</v>
      </c>
      <c r="O133" s="2">
        <v>44757</v>
      </c>
      <c r="P133" s="1" t="s">
        <v>44</v>
      </c>
      <c r="Q133" s="1" t="s">
        <v>306</v>
      </c>
      <c r="R133" s="1" t="s">
        <v>42</v>
      </c>
      <c r="S133" s="1"/>
      <c r="T133" s="1">
        <v>8</v>
      </c>
      <c r="U133" s="2" t="s">
        <v>42</v>
      </c>
      <c r="V133" s="2" t="s">
        <v>42</v>
      </c>
      <c r="W133" s="2" t="s">
        <v>42</v>
      </c>
      <c r="X133" s="1" t="s">
        <v>42</v>
      </c>
      <c r="Y133" s="2" t="s">
        <v>42</v>
      </c>
      <c r="Z133" s="1" t="s">
        <v>2898</v>
      </c>
      <c r="AA133" s="1" t="s">
        <v>42</v>
      </c>
      <c r="AB133" s="1" t="s">
        <v>2899</v>
      </c>
      <c r="AC133" s="1" t="s">
        <v>129</v>
      </c>
      <c r="AD133" s="1">
        <v>7015572543</v>
      </c>
      <c r="AE133" s="1" t="s">
        <v>3506</v>
      </c>
      <c r="AF133" s="1"/>
      <c r="AG133" s="2">
        <v>44777</v>
      </c>
      <c r="AH133" s="1" t="s">
        <v>2812</v>
      </c>
      <c r="AI133" s="1" t="s">
        <v>42</v>
      </c>
      <c r="AJ133" s="1"/>
      <c r="AK133" s="2" t="s">
        <v>42</v>
      </c>
      <c r="AL133" s="1" t="s">
        <v>2806</v>
      </c>
    </row>
    <row r="134" spans="1:38" ht="20.100000000000001" customHeight="1" x14ac:dyDescent="0.2">
      <c r="A134" s="3">
        <f t="shared" si="4"/>
        <v>131</v>
      </c>
      <c r="B134" s="1" t="s">
        <v>2900</v>
      </c>
      <c r="C134" s="1" t="s">
        <v>2901</v>
      </c>
      <c r="D134" s="1" t="s">
        <v>121</v>
      </c>
      <c r="E134" s="1" t="s">
        <v>39</v>
      </c>
      <c r="F134" s="1" t="s">
        <v>40</v>
      </c>
      <c r="G134" s="1" t="s">
        <v>2902</v>
      </c>
      <c r="H134" s="2" t="s">
        <v>42</v>
      </c>
      <c r="I134" s="2" t="s">
        <v>42</v>
      </c>
      <c r="J134" s="7"/>
      <c r="K134" s="1" t="s">
        <v>774</v>
      </c>
      <c r="L134" s="1" t="s">
        <v>547</v>
      </c>
      <c r="M134" s="2">
        <v>44562</v>
      </c>
      <c r="N134" s="1">
        <v>2</v>
      </c>
      <c r="O134" s="2">
        <v>44562</v>
      </c>
      <c r="P134" s="1" t="s">
        <v>44</v>
      </c>
      <c r="Q134" s="1" t="s">
        <v>306</v>
      </c>
      <c r="R134" s="1" t="s">
        <v>42</v>
      </c>
      <c r="S134" s="1" t="s">
        <v>47</v>
      </c>
      <c r="T134" s="1">
        <v>12</v>
      </c>
      <c r="U134" s="2" t="s">
        <v>42</v>
      </c>
      <c r="V134" s="2">
        <v>44926</v>
      </c>
      <c r="W134" s="2" t="s">
        <v>42</v>
      </c>
      <c r="X134" s="1" t="s">
        <v>42</v>
      </c>
      <c r="Y134" s="2" t="s">
        <v>42</v>
      </c>
      <c r="Z134" s="1" t="s">
        <v>2903</v>
      </c>
      <c r="AA134" s="1" t="s">
        <v>2904</v>
      </c>
      <c r="AB134" s="1" t="s">
        <v>2905</v>
      </c>
      <c r="AC134" s="1" t="s">
        <v>129</v>
      </c>
      <c r="AD134" s="1">
        <v>7015572543</v>
      </c>
      <c r="AE134" s="1" t="s">
        <v>3506</v>
      </c>
      <c r="AF134" s="1"/>
      <c r="AG134" s="2">
        <v>44951</v>
      </c>
      <c r="AH134" s="1" t="s">
        <v>2812</v>
      </c>
      <c r="AI134" s="1" t="s">
        <v>42</v>
      </c>
      <c r="AJ134" s="1"/>
      <c r="AK134" s="2" t="s">
        <v>42</v>
      </c>
      <c r="AL134" s="1" t="s">
        <v>2806</v>
      </c>
    </row>
    <row r="135" spans="1:38" ht="20.100000000000001" customHeight="1" x14ac:dyDescent="0.2">
      <c r="A135" s="3">
        <f t="shared" si="4"/>
        <v>132</v>
      </c>
      <c r="B135" s="1" t="s">
        <v>2906</v>
      </c>
      <c r="C135" s="1" t="s">
        <v>2907</v>
      </c>
      <c r="D135" s="1" t="s">
        <v>38</v>
      </c>
      <c r="E135" s="1" t="s">
        <v>39</v>
      </c>
      <c r="F135" s="1" t="s">
        <v>40</v>
      </c>
      <c r="G135" s="1" t="s">
        <v>2908</v>
      </c>
      <c r="H135" s="2" t="s">
        <v>42</v>
      </c>
      <c r="I135" s="2" t="s">
        <v>42</v>
      </c>
      <c r="J135" s="7"/>
      <c r="K135" s="1" t="s">
        <v>774</v>
      </c>
      <c r="L135" s="1" t="s">
        <v>547</v>
      </c>
      <c r="M135" s="2">
        <v>44562</v>
      </c>
      <c r="N135" s="1">
        <v>2</v>
      </c>
      <c r="O135" s="2">
        <v>44582</v>
      </c>
      <c r="P135" s="1" t="s">
        <v>44</v>
      </c>
      <c r="Q135" s="1" t="s">
        <v>744</v>
      </c>
      <c r="R135" s="1" t="s">
        <v>42</v>
      </c>
      <c r="S135" s="1" t="s">
        <v>47</v>
      </c>
      <c r="T135" s="1">
        <v>12</v>
      </c>
      <c r="U135" s="2" t="s">
        <v>42</v>
      </c>
      <c r="V135" s="2">
        <v>44926</v>
      </c>
      <c r="W135" s="2" t="s">
        <v>42</v>
      </c>
      <c r="X135" s="1" t="s">
        <v>42</v>
      </c>
      <c r="Y135" s="2" t="s">
        <v>42</v>
      </c>
      <c r="Z135" s="1" t="s">
        <v>2909</v>
      </c>
      <c r="AA135" s="1" t="s">
        <v>2910</v>
      </c>
      <c r="AB135" s="1" t="s">
        <v>2911</v>
      </c>
      <c r="AC135" s="1" t="s">
        <v>129</v>
      </c>
      <c r="AD135" s="1">
        <v>7015572543</v>
      </c>
      <c r="AE135" s="1" t="s">
        <v>3506</v>
      </c>
      <c r="AF135" s="1"/>
      <c r="AG135" s="2">
        <v>44993</v>
      </c>
      <c r="AH135" s="1" t="s">
        <v>2812</v>
      </c>
      <c r="AI135" s="1" t="s">
        <v>42</v>
      </c>
      <c r="AJ135" s="1"/>
      <c r="AK135" s="2" t="s">
        <v>42</v>
      </c>
      <c r="AL135" s="1" t="s">
        <v>2806</v>
      </c>
    </row>
    <row r="136" spans="1:38" ht="20.100000000000001" customHeight="1" x14ac:dyDescent="0.2">
      <c r="A136" s="3">
        <f t="shared" si="4"/>
        <v>133</v>
      </c>
      <c r="B136" s="1" t="s">
        <v>888</v>
      </c>
      <c r="C136" s="1" t="s">
        <v>889</v>
      </c>
      <c r="D136" s="1" t="s">
        <v>38</v>
      </c>
      <c r="E136" s="1" t="s">
        <v>414</v>
      </c>
      <c r="F136" s="1" t="s">
        <v>70</v>
      </c>
      <c r="G136" s="1" t="s">
        <v>890</v>
      </c>
      <c r="H136" s="2">
        <v>45372</v>
      </c>
      <c r="I136" s="2">
        <v>34816</v>
      </c>
      <c r="J136" s="7">
        <f t="shared" ref="J136:J196" ca="1" si="5">($H$1-I136)/365</f>
        <v>28.526027397260275</v>
      </c>
      <c r="K136" s="1" t="s">
        <v>240</v>
      </c>
      <c r="L136" s="1" t="s">
        <v>416</v>
      </c>
      <c r="M136" s="2">
        <v>44562</v>
      </c>
      <c r="N136" s="1">
        <v>2</v>
      </c>
      <c r="O136" s="2">
        <v>44562</v>
      </c>
      <c r="P136" s="1" t="s">
        <v>44</v>
      </c>
      <c r="Q136" s="1" t="s">
        <v>154</v>
      </c>
      <c r="R136" s="1" t="s">
        <v>60</v>
      </c>
      <c r="S136" s="1" t="s">
        <v>47</v>
      </c>
      <c r="T136" s="1">
        <v>8</v>
      </c>
      <c r="U136" s="2" t="s">
        <v>42</v>
      </c>
      <c r="V136" s="2">
        <v>44926</v>
      </c>
      <c r="W136" s="2" t="s">
        <v>42</v>
      </c>
      <c r="X136" s="1" t="s">
        <v>891</v>
      </c>
      <c r="Y136" s="2">
        <v>46065</v>
      </c>
      <c r="Z136" s="1" t="s">
        <v>892</v>
      </c>
      <c r="AA136" s="1" t="s">
        <v>42</v>
      </c>
      <c r="AB136" s="1" t="s">
        <v>893</v>
      </c>
      <c r="AC136" s="1" t="s">
        <v>129</v>
      </c>
      <c r="AD136" s="1">
        <v>7014477116</v>
      </c>
      <c r="AE136" s="1" t="s">
        <v>65</v>
      </c>
      <c r="AF136" s="1"/>
      <c r="AG136" s="2" t="s">
        <v>42</v>
      </c>
      <c r="AH136" s="1"/>
      <c r="AI136" s="1" t="s">
        <v>42</v>
      </c>
      <c r="AJ136" s="1"/>
      <c r="AK136" s="2" t="s">
        <v>42</v>
      </c>
      <c r="AL136" s="1" t="s">
        <v>3507</v>
      </c>
    </row>
    <row r="137" spans="1:38" ht="20.100000000000001" customHeight="1" x14ac:dyDescent="0.2">
      <c r="A137" s="3">
        <f t="shared" si="4"/>
        <v>134</v>
      </c>
      <c r="B137" s="1" t="s">
        <v>894</v>
      </c>
      <c r="C137" s="1" t="s">
        <v>895</v>
      </c>
      <c r="D137" s="1" t="s">
        <v>38</v>
      </c>
      <c r="E137" s="1" t="s">
        <v>69</v>
      </c>
      <c r="F137" s="1" t="s">
        <v>70</v>
      </c>
      <c r="G137" s="1" t="s">
        <v>896</v>
      </c>
      <c r="H137" s="2">
        <v>45305</v>
      </c>
      <c r="I137" s="2">
        <v>29587</v>
      </c>
      <c r="J137" s="7">
        <f t="shared" ca="1" si="5"/>
        <v>42.852054794520548</v>
      </c>
      <c r="K137" s="1" t="s">
        <v>897</v>
      </c>
      <c r="L137" s="1" t="s">
        <v>898</v>
      </c>
      <c r="M137" s="2">
        <v>44621</v>
      </c>
      <c r="N137" s="1">
        <v>2</v>
      </c>
      <c r="O137" s="2">
        <v>44562</v>
      </c>
      <c r="P137" s="1" t="s">
        <v>44</v>
      </c>
      <c r="Q137" s="1" t="s">
        <v>899</v>
      </c>
      <c r="R137" s="1" t="s">
        <v>900</v>
      </c>
      <c r="S137" s="1" t="s">
        <v>47</v>
      </c>
      <c r="T137" s="1">
        <v>8</v>
      </c>
      <c r="U137" s="2" t="s">
        <v>42</v>
      </c>
      <c r="V137" s="2">
        <v>44985</v>
      </c>
      <c r="W137" s="2" t="s">
        <v>42</v>
      </c>
      <c r="X137" s="1" t="s">
        <v>901</v>
      </c>
      <c r="Y137" s="2">
        <v>44877</v>
      </c>
      <c r="Z137" s="1" t="s">
        <v>902</v>
      </c>
      <c r="AA137" s="1" t="s">
        <v>42</v>
      </c>
      <c r="AB137" s="1" t="s">
        <v>42</v>
      </c>
      <c r="AC137" s="1" t="s">
        <v>42</v>
      </c>
      <c r="AD137" s="1">
        <v>7026482336</v>
      </c>
      <c r="AE137" s="1" t="s">
        <v>903</v>
      </c>
      <c r="AF137" s="1" t="s">
        <v>904</v>
      </c>
      <c r="AG137" s="2" t="s">
        <v>42</v>
      </c>
      <c r="AH137" s="1"/>
      <c r="AI137" s="1" t="s">
        <v>42</v>
      </c>
      <c r="AJ137" s="1"/>
      <c r="AK137" s="2" t="s">
        <v>42</v>
      </c>
      <c r="AL137" s="1" t="s">
        <v>3507</v>
      </c>
    </row>
    <row r="138" spans="1:38" ht="20.100000000000001" customHeight="1" x14ac:dyDescent="0.2">
      <c r="A138" s="3">
        <f t="shared" si="4"/>
        <v>135</v>
      </c>
      <c r="B138" s="1" t="s">
        <v>2912</v>
      </c>
      <c r="C138" s="1" t="s">
        <v>2913</v>
      </c>
      <c r="D138" s="1" t="s">
        <v>38</v>
      </c>
      <c r="E138" s="1" t="s">
        <v>69</v>
      </c>
      <c r="F138" s="1"/>
      <c r="G138" s="1" t="s">
        <v>2914</v>
      </c>
      <c r="H138" s="2">
        <v>45134</v>
      </c>
      <c r="I138" s="2">
        <v>35836</v>
      </c>
      <c r="J138" s="7">
        <f t="shared" ca="1" si="5"/>
        <v>25.731506849315068</v>
      </c>
      <c r="K138" s="1" t="s">
        <v>908</v>
      </c>
      <c r="L138" s="1" t="s">
        <v>2915</v>
      </c>
      <c r="M138" s="2">
        <v>44576</v>
      </c>
      <c r="N138" s="1">
        <v>2</v>
      </c>
      <c r="O138" s="2">
        <v>44562</v>
      </c>
      <c r="P138" s="1" t="s">
        <v>44</v>
      </c>
      <c r="Q138" s="1" t="s">
        <v>899</v>
      </c>
      <c r="R138" s="1" t="s">
        <v>42</v>
      </c>
      <c r="S138" s="1" t="s">
        <v>47</v>
      </c>
      <c r="T138" s="1">
        <v>8</v>
      </c>
      <c r="U138" s="2" t="s">
        <v>42</v>
      </c>
      <c r="V138" s="2">
        <v>45091</v>
      </c>
      <c r="W138" s="2" t="s">
        <v>42</v>
      </c>
      <c r="X138" s="1" t="s">
        <v>2916</v>
      </c>
      <c r="Y138" s="2">
        <v>46002</v>
      </c>
      <c r="Z138" s="1" t="s">
        <v>2917</v>
      </c>
      <c r="AA138" s="1" t="s">
        <v>42</v>
      </c>
      <c r="AB138" s="1" t="s">
        <v>2918</v>
      </c>
      <c r="AC138" s="1" t="s">
        <v>50</v>
      </c>
      <c r="AD138" s="1">
        <v>7026482336</v>
      </c>
      <c r="AE138" s="1" t="s">
        <v>903</v>
      </c>
      <c r="AF138" s="1"/>
      <c r="AG138" s="2" t="s">
        <v>42</v>
      </c>
      <c r="AH138" s="1"/>
      <c r="AI138" s="1" t="s">
        <v>42</v>
      </c>
      <c r="AJ138" s="1"/>
      <c r="AK138" s="2" t="s">
        <v>42</v>
      </c>
      <c r="AL138" s="1" t="s">
        <v>2806</v>
      </c>
    </row>
    <row r="139" spans="1:38" ht="20.100000000000001" customHeight="1" x14ac:dyDescent="0.2">
      <c r="A139" s="3">
        <f t="shared" si="4"/>
        <v>136</v>
      </c>
      <c r="B139" s="1" t="s">
        <v>905</v>
      </c>
      <c r="C139" s="1" t="s">
        <v>906</v>
      </c>
      <c r="D139" s="1" t="s">
        <v>38</v>
      </c>
      <c r="E139" s="1" t="s">
        <v>69</v>
      </c>
      <c r="F139" s="1" t="s">
        <v>70</v>
      </c>
      <c r="G139" s="1" t="s">
        <v>907</v>
      </c>
      <c r="H139" s="2">
        <v>45338</v>
      </c>
      <c r="I139" s="2">
        <v>35447</v>
      </c>
      <c r="J139" s="7">
        <f t="shared" ca="1" si="5"/>
        <v>26.797260273972604</v>
      </c>
      <c r="K139" s="1" t="s">
        <v>908</v>
      </c>
      <c r="L139" s="1" t="s">
        <v>909</v>
      </c>
      <c r="M139" s="2">
        <v>44606</v>
      </c>
      <c r="N139" s="1">
        <v>2</v>
      </c>
      <c r="O139" s="2">
        <v>44562</v>
      </c>
      <c r="P139" s="1" t="s">
        <v>44</v>
      </c>
      <c r="Q139" s="1" t="s">
        <v>899</v>
      </c>
      <c r="R139" s="1" t="s">
        <v>900</v>
      </c>
      <c r="S139" s="1" t="s">
        <v>47</v>
      </c>
      <c r="T139" s="1">
        <v>8</v>
      </c>
      <c r="U139" s="2" t="s">
        <v>42</v>
      </c>
      <c r="V139" s="2">
        <v>44970</v>
      </c>
      <c r="W139" s="2" t="s">
        <v>42</v>
      </c>
      <c r="X139" s="1" t="s">
        <v>910</v>
      </c>
      <c r="Y139" s="2">
        <v>46019</v>
      </c>
      <c r="Z139" s="1" t="s">
        <v>911</v>
      </c>
      <c r="AA139" s="1" t="s">
        <v>42</v>
      </c>
      <c r="AB139" s="1" t="s">
        <v>912</v>
      </c>
      <c r="AC139" s="1" t="s">
        <v>50</v>
      </c>
      <c r="AD139" s="1">
        <v>7026482336</v>
      </c>
      <c r="AE139" s="1" t="s">
        <v>903</v>
      </c>
      <c r="AF139" s="1" t="s">
        <v>904</v>
      </c>
      <c r="AG139" s="2" t="s">
        <v>42</v>
      </c>
      <c r="AH139" s="1"/>
      <c r="AI139" s="1" t="s">
        <v>42</v>
      </c>
      <c r="AJ139" s="1"/>
      <c r="AK139" s="2" t="s">
        <v>42</v>
      </c>
      <c r="AL139" s="1" t="s">
        <v>3507</v>
      </c>
    </row>
    <row r="140" spans="1:38" ht="20.100000000000001" customHeight="1" x14ac:dyDescent="0.2">
      <c r="A140" s="3">
        <f t="shared" si="4"/>
        <v>137</v>
      </c>
      <c r="B140" s="1" t="s">
        <v>2919</v>
      </c>
      <c r="C140" s="1" t="s">
        <v>2920</v>
      </c>
      <c r="D140" s="1" t="s">
        <v>38</v>
      </c>
      <c r="E140" s="1" t="s">
        <v>69</v>
      </c>
      <c r="F140" s="1"/>
      <c r="G140" s="1" t="s">
        <v>2921</v>
      </c>
      <c r="H140" s="2">
        <v>45333</v>
      </c>
      <c r="I140" s="2">
        <v>34284</v>
      </c>
      <c r="J140" s="7">
        <f t="shared" ca="1" si="5"/>
        <v>29.983561643835618</v>
      </c>
      <c r="K140" s="1" t="s">
        <v>1233</v>
      </c>
      <c r="L140" s="1" t="s">
        <v>134</v>
      </c>
      <c r="M140" s="2">
        <v>44606</v>
      </c>
      <c r="N140" s="1">
        <v>2</v>
      </c>
      <c r="O140" s="2">
        <v>44562</v>
      </c>
      <c r="P140" s="1" t="s">
        <v>44</v>
      </c>
      <c r="Q140" s="1" t="s">
        <v>899</v>
      </c>
      <c r="R140" s="1" t="s">
        <v>42</v>
      </c>
      <c r="S140" s="1" t="s">
        <v>47</v>
      </c>
      <c r="T140" s="1">
        <v>8</v>
      </c>
      <c r="U140" s="2" t="s">
        <v>42</v>
      </c>
      <c r="V140" s="2">
        <v>44970</v>
      </c>
      <c r="W140" s="2" t="s">
        <v>42</v>
      </c>
      <c r="X140" s="1" t="s">
        <v>2922</v>
      </c>
      <c r="Y140" s="2">
        <v>45839</v>
      </c>
      <c r="Z140" s="1" t="s">
        <v>2923</v>
      </c>
      <c r="AA140" s="1" t="s">
        <v>42</v>
      </c>
      <c r="AB140" s="1" t="s">
        <v>2924</v>
      </c>
      <c r="AC140" s="1" t="s">
        <v>50</v>
      </c>
      <c r="AD140" s="1">
        <v>7026482336</v>
      </c>
      <c r="AE140" s="1" t="s">
        <v>903</v>
      </c>
      <c r="AF140" s="1"/>
      <c r="AG140" s="2">
        <v>45007</v>
      </c>
      <c r="AH140" s="1" t="s">
        <v>2812</v>
      </c>
      <c r="AI140" s="1" t="s">
        <v>42</v>
      </c>
      <c r="AJ140" s="1"/>
      <c r="AK140" s="2" t="s">
        <v>42</v>
      </c>
      <c r="AL140" s="1" t="s">
        <v>2806</v>
      </c>
    </row>
    <row r="141" spans="1:38" ht="20.100000000000001" customHeight="1" x14ac:dyDescent="0.2">
      <c r="A141" s="3">
        <f t="shared" si="4"/>
        <v>138</v>
      </c>
      <c r="B141" s="1" t="s">
        <v>913</v>
      </c>
      <c r="C141" s="1" t="s">
        <v>914</v>
      </c>
      <c r="D141" s="1" t="s">
        <v>38</v>
      </c>
      <c r="E141" s="1" t="s">
        <v>69</v>
      </c>
      <c r="F141" s="1" t="s">
        <v>70</v>
      </c>
      <c r="G141" s="1" t="s">
        <v>915</v>
      </c>
      <c r="H141" s="2">
        <v>45273</v>
      </c>
      <c r="I141" s="2">
        <v>34824</v>
      </c>
      <c r="J141" s="7">
        <f t="shared" ca="1" si="5"/>
        <v>28.504109589041096</v>
      </c>
      <c r="K141" s="1" t="s">
        <v>482</v>
      </c>
      <c r="L141" s="1" t="s">
        <v>916</v>
      </c>
      <c r="M141" s="2">
        <v>44606</v>
      </c>
      <c r="N141" s="1">
        <v>2</v>
      </c>
      <c r="O141" s="2">
        <v>44562</v>
      </c>
      <c r="P141" s="1" t="s">
        <v>44</v>
      </c>
      <c r="Q141" s="1" t="s">
        <v>899</v>
      </c>
      <c r="R141" s="1" t="s">
        <v>900</v>
      </c>
      <c r="S141" s="1" t="s">
        <v>47</v>
      </c>
      <c r="T141" s="1">
        <v>8</v>
      </c>
      <c r="U141" s="2" t="s">
        <v>42</v>
      </c>
      <c r="V141" s="2">
        <v>44970</v>
      </c>
      <c r="W141" s="2" t="s">
        <v>42</v>
      </c>
      <c r="X141" s="1" t="s">
        <v>917</v>
      </c>
      <c r="Y141" s="2">
        <v>46264</v>
      </c>
      <c r="Z141" s="1" t="s">
        <v>918</v>
      </c>
      <c r="AA141" s="1" t="s">
        <v>42</v>
      </c>
      <c r="AB141" s="1" t="s">
        <v>919</v>
      </c>
      <c r="AC141" s="1" t="s">
        <v>50</v>
      </c>
      <c r="AD141" s="1">
        <v>7026482336</v>
      </c>
      <c r="AE141" s="1" t="s">
        <v>903</v>
      </c>
      <c r="AF141" s="1" t="s">
        <v>904</v>
      </c>
      <c r="AG141" s="2" t="s">
        <v>42</v>
      </c>
      <c r="AH141" s="1"/>
      <c r="AI141" s="1" t="s">
        <v>42</v>
      </c>
      <c r="AJ141" s="1"/>
      <c r="AK141" s="2" t="s">
        <v>42</v>
      </c>
      <c r="AL141" s="1" t="s">
        <v>3507</v>
      </c>
    </row>
    <row r="142" spans="1:38" ht="20.100000000000001" customHeight="1" x14ac:dyDescent="0.2">
      <c r="A142" s="3">
        <f t="shared" si="4"/>
        <v>139</v>
      </c>
      <c r="B142" s="1" t="s">
        <v>920</v>
      </c>
      <c r="C142" s="1" t="s">
        <v>921</v>
      </c>
      <c r="D142" s="1" t="s">
        <v>38</v>
      </c>
      <c r="E142" s="1" t="s">
        <v>150</v>
      </c>
      <c r="F142" s="1" t="s">
        <v>70</v>
      </c>
      <c r="G142" s="1" t="s">
        <v>922</v>
      </c>
      <c r="H142" s="2">
        <v>45347</v>
      </c>
      <c r="I142" s="2">
        <v>35353</v>
      </c>
      <c r="J142" s="7">
        <f t="shared" ca="1" si="5"/>
        <v>27.054794520547944</v>
      </c>
      <c r="K142" s="1" t="s">
        <v>908</v>
      </c>
      <c r="L142" s="1" t="s">
        <v>923</v>
      </c>
      <c r="M142" s="2">
        <v>44576</v>
      </c>
      <c r="N142" s="1">
        <v>2</v>
      </c>
      <c r="O142" s="2">
        <v>44562</v>
      </c>
      <c r="P142" s="1" t="s">
        <v>44</v>
      </c>
      <c r="Q142" s="1" t="s">
        <v>899</v>
      </c>
      <c r="R142" s="1" t="s">
        <v>900</v>
      </c>
      <c r="S142" s="1" t="s">
        <v>47</v>
      </c>
      <c r="T142" s="1">
        <v>8</v>
      </c>
      <c r="U142" s="2" t="s">
        <v>42</v>
      </c>
      <c r="V142" s="2">
        <v>45091</v>
      </c>
      <c r="W142" s="2" t="s">
        <v>42</v>
      </c>
      <c r="X142" s="1" t="s">
        <v>924</v>
      </c>
      <c r="Y142" s="2">
        <v>46357</v>
      </c>
      <c r="Z142" s="1" t="s">
        <v>925</v>
      </c>
      <c r="AA142" s="1" t="s">
        <v>42</v>
      </c>
      <c r="AB142" s="1" t="s">
        <v>926</v>
      </c>
      <c r="AC142" s="1" t="s">
        <v>129</v>
      </c>
      <c r="AD142" s="1">
        <v>7026482336</v>
      </c>
      <c r="AE142" s="1" t="s">
        <v>903</v>
      </c>
      <c r="AF142" s="1" t="s">
        <v>904</v>
      </c>
      <c r="AG142" s="2" t="s">
        <v>42</v>
      </c>
      <c r="AH142" s="1"/>
      <c r="AI142" s="1" t="s">
        <v>42</v>
      </c>
      <c r="AJ142" s="1"/>
      <c r="AK142" s="2" t="s">
        <v>42</v>
      </c>
      <c r="AL142" s="1" t="s">
        <v>3507</v>
      </c>
    </row>
    <row r="143" spans="1:38" ht="20.100000000000001" customHeight="1" x14ac:dyDescent="0.2">
      <c r="A143" s="3">
        <f t="shared" si="4"/>
        <v>140</v>
      </c>
      <c r="B143" s="1" t="s">
        <v>927</v>
      </c>
      <c r="C143" s="1" t="s">
        <v>928</v>
      </c>
      <c r="D143" s="1" t="s">
        <v>121</v>
      </c>
      <c r="E143" s="1" t="s">
        <v>39</v>
      </c>
      <c r="F143" s="1" t="s">
        <v>40</v>
      </c>
      <c r="G143" s="1" t="s">
        <v>929</v>
      </c>
      <c r="H143" s="2" t="s">
        <v>42</v>
      </c>
      <c r="I143" s="2">
        <v>37122</v>
      </c>
      <c r="J143" s="7">
        <f t="shared" ca="1" si="5"/>
        <v>22.208219178082192</v>
      </c>
      <c r="K143" s="1" t="s">
        <v>774</v>
      </c>
      <c r="L143" s="1" t="s">
        <v>547</v>
      </c>
      <c r="M143" s="2">
        <v>44573</v>
      </c>
      <c r="N143" s="1">
        <v>2</v>
      </c>
      <c r="O143" s="2">
        <v>44952</v>
      </c>
      <c r="P143" s="1" t="s">
        <v>165</v>
      </c>
      <c r="Q143" s="1" t="s">
        <v>166</v>
      </c>
      <c r="R143" s="1" t="s">
        <v>60</v>
      </c>
      <c r="S143" s="1" t="s">
        <v>47</v>
      </c>
      <c r="T143" s="1">
        <v>12</v>
      </c>
      <c r="U143" s="2" t="s">
        <v>42</v>
      </c>
      <c r="V143" s="2">
        <v>45088</v>
      </c>
      <c r="W143" s="2" t="s">
        <v>42</v>
      </c>
      <c r="X143" s="1" t="s">
        <v>42</v>
      </c>
      <c r="Y143" s="2" t="s">
        <v>42</v>
      </c>
      <c r="Z143" s="1" t="s">
        <v>930</v>
      </c>
      <c r="AA143" s="1" t="s">
        <v>931</v>
      </c>
      <c r="AB143" s="1" t="s">
        <v>932</v>
      </c>
      <c r="AC143" s="1" t="s">
        <v>129</v>
      </c>
      <c r="AD143" s="1">
        <v>7014477116</v>
      </c>
      <c r="AE143" s="1" t="s">
        <v>65</v>
      </c>
      <c r="AF143" s="1" t="s">
        <v>66</v>
      </c>
      <c r="AG143" s="2" t="s">
        <v>42</v>
      </c>
      <c r="AH143" s="1" t="s">
        <v>341</v>
      </c>
      <c r="AI143" s="1" t="s">
        <v>42</v>
      </c>
      <c r="AJ143" s="1"/>
      <c r="AK143" s="2" t="s">
        <v>42</v>
      </c>
      <c r="AL143" s="1" t="s">
        <v>3507</v>
      </c>
    </row>
    <row r="144" spans="1:38" ht="20.100000000000001" customHeight="1" x14ac:dyDescent="0.2">
      <c r="A144" s="3">
        <f t="shared" si="4"/>
        <v>141</v>
      </c>
      <c r="B144" s="1" t="s">
        <v>933</v>
      </c>
      <c r="C144" s="1" t="s">
        <v>934</v>
      </c>
      <c r="D144" s="1" t="s">
        <v>38</v>
      </c>
      <c r="E144" s="1" t="s">
        <v>150</v>
      </c>
      <c r="F144" s="1" t="s">
        <v>70</v>
      </c>
      <c r="G144" s="1" t="s">
        <v>935</v>
      </c>
      <c r="H144" s="2">
        <v>45371</v>
      </c>
      <c r="I144" s="2">
        <v>36222</v>
      </c>
      <c r="J144" s="7">
        <f t="shared" ca="1" si="5"/>
        <v>24.673972602739727</v>
      </c>
      <c r="K144" s="1" t="s">
        <v>936</v>
      </c>
      <c r="L144" s="1" t="s">
        <v>134</v>
      </c>
      <c r="M144" s="2">
        <v>44574</v>
      </c>
      <c r="N144" s="1">
        <v>2</v>
      </c>
      <c r="O144" s="2">
        <v>45047</v>
      </c>
      <c r="P144" s="1" t="s">
        <v>44</v>
      </c>
      <c r="Q144" s="1" t="s">
        <v>222</v>
      </c>
      <c r="R144" s="1" t="s">
        <v>60</v>
      </c>
      <c r="S144" s="1" t="s">
        <v>47</v>
      </c>
      <c r="T144" s="1" t="s">
        <v>42</v>
      </c>
      <c r="U144" s="2" t="s">
        <v>42</v>
      </c>
      <c r="V144" s="2">
        <v>45089</v>
      </c>
      <c r="W144" s="2" t="s">
        <v>42</v>
      </c>
      <c r="X144" s="1" t="s">
        <v>42</v>
      </c>
      <c r="Y144" s="2" t="s">
        <v>42</v>
      </c>
      <c r="Z144" s="1" t="s">
        <v>937</v>
      </c>
      <c r="AA144" s="1" t="s">
        <v>938</v>
      </c>
      <c r="AB144" s="1" t="s">
        <v>939</v>
      </c>
      <c r="AC144" s="1" t="s">
        <v>50</v>
      </c>
      <c r="AD144" s="1">
        <v>7021202564</v>
      </c>
      <c r="AE144" s="1" t="s">
        <v>567</v>
      </c>
      <c r="AF144" s="1" t="s">
        <v>227</v>
      </c>
      <c r="AG144" s="2" t="s">
        <v>42</v>
      </c>
      <c r="AH144" s="1"/>
      <c r="AI144" s="1" t="s">
        <v>42</v>
      </c>
      <c r="AJ144" s="1"/>
      <c r="AK144" s="2" t="s">
        <v>42</v>
      </c>
      <c r="AL144" s="1" t="s">
        <v>3507</v>
      </c>
    </row>
    <row r="145" spans="1:38" ht="20.100000000000001" customHeight="1" x14ac:dyDescent="0.2">
      <c r="A145" s="3">
        <f t="shared" si="4"/>
        <v>142</v>
      </c>
      <c r="B145" s="1" t="s">
        <v>940</v>
      </c>
      <c r="C145" s="1" t="s">
        <v>941</v>
      </c>
      <c r="D145" s="1" t="s">
        <v>38</v>
      </c>
      <c r="E145" s="1" t="s">
        <v>150</v>
      </c>
      <c r="F145" s="1" t="s">
        <v>70</v>
      </c>
      <c r="G145" s="1" t="s">
        <v>942</v>
      </c>
      <c r="H145" s="2">
        <v>45371</v>
      </c>
      <c r="I145" s="2">
        <v>32021</v>
      </c>
      <c r="J145" s="7">
        <f t="shared" ca="1" si="5"/>
        <v>36.183561643835617</v>
      </c>
      <c r="K145" s="1" t="s">
        <v>943</v>
      </c>
      <c r="L145" s="1" t="s">
        <v>944</v>
      </c>
      <c r="M145" s="2">
        <v>44574</v>
      </c>
      <c r="N145" s="1">
        <v>2</v>
      </c>
      <c r="O145" s="2" t="s">
        <v>42</v>
      </c>
      <c r="P145" s="1" t="s">
        <v>44</v>
      </c>
      <c r="Q145" s="1" t="s">
        <v>222</v>
      </c>
      <c r="R145" s="1" t="s">
        <v>60</v>
      </c>
      <c r="S145" s="1" t="s">
        <v>47</v>
      </c>
      <c r="T145" s="1" t="s">
        <v>42</v>
      </c>
      <c r="U145" s="2" t="s">
        <v>42</v>
      </c>
      <c r="V145" s="2">
        <v>45089</v>
      </c>
      <c r="W145" s="2" t="s">
        <v>42</v>
      </c>
      <c r="X145" s="1" t="s">
        <v>42</v>
      </c>
      <c r="Y145" s="2" t="s">
        <v>42</v>
      </c>
      <c r="Z145" s="1" t="s">
        <v>945</v>
      </c>
      <c r="AA145" s="1" t="s">
        <v>946</v>
      </c>
      <c r="AB145" s="1" t="s">
        <v>947</v>
      </c>
      <c r="AC145" s="1" t="s">
        <v>129</v>
      </c>
      <c r="AD145" s="1">
        <v>7021202564</v>
      </c>
      <c r="AE145" s="1" t="s">
        <v>567</v>
      </c>
      <c r="AF145" s="1" t="s">
        <v>227</v>
      </c>
      <c r="AG145" s="2" t="s">
        <v>42</v>
      </c>
      <c r="AH145" s="1" t="s">
        <v>341</v>
      </c>
      <c r="AI145" s="1" t="s">
        <v>42</v>
      </c>
      <c r="AJ145" s="1"/>
      <c r="AK145" s="2" t="s">
        <v>42</v>
      </c>
      <c r="AL145" s="1" t="s">
        <v>514</v>
      </c>
    </row>
    <row r="146" spans="1:38" ht="20.100000000000001" customHeight="1" x14ac:dyDescent="0.2">
      <c r="A146" s="3">
        <f t="shared" si="4"/>
        <v>143</v>
      </c>
      <c r="B146" s="1" t="s">
        <v>948</v>
      </c>
      <c r="C146" s="1" t="s">
        <v>949</v>
      </c>
      <c r="D146" s="1" t="s">
        <v>38</v>
      </c>
      <c r="E146" s="1" t="s">
        <v>414</v>
      </c>
      <c r="F146" s="1" t="s">
        <v>70</v>
      </c>
      <c r="G146" s="1" t="s">
        <v>950</v>
      </c>
      <c r="H146" s="2">
        <v>45416</v>
      </c>
      <c r="I146" s="2">
        <v>35434</v>
      </c>
      <c r="J146" s="7">
        <f t="shared" ca="1" si="5"/>
        <v>26.832876712328765</v>
      </c>
      <c r="K146" s="1" t="s">
        <v>89</v>
      </c>
      <c r="L146" s="1" t="s">
        <v>416</v>
      </c>
      <c r="M146" s="2">
        <v>44593</v>
      </c>
      <c r="N146" s="1">
        <v>2</v>
      </c>
      <c r="O146" s="2">
        <v>44593</v>
      </c>
      <c r="P146" s="1" t="s">
        <v>44</v>
      </c>
      <c r="Q146" s="1" t="s">
        <v>135</v>
      </c>
      <c r="R146" s="1" t="s">
        <v>60</v>
      </c>
      <c r="S146" s="1" t="s">
        <v>47</v>
      </c>
      <c r="T146" s="1">
        <v>8</v>
      </c>
      <c r="U146" s="2" t="s">
        <v>42</v>
      </c>
      <c r="V146" s="2">
        <v>44957</v>
      </c>
      <c r="W146" s="2" t="s">
        <v>42</v>
      </c>
      <c r="X146" s="1" t="s">
        <v>951</v>
      </c>
      <c r="Y146" s="2">
        <v>45935</v>
      </c>
      <c r="Z146" s="1" t="s">
        <v>952</v>
      </c>
      <c r="AA146" s="1" t="s">
        <v>953</v>
      </c>
      <c r="AB146" s="1" t="s">
        <v>954</v>
      </c>
      <c r="AC146" s="1" t="s">
        <v>50</v>
      </c>
      <c r="AD146" s="1">
        <v>7014477116</v>
      </c>
      <c r="AE146" s="1" t="s">
        <v>65</v>
      </c>
      <c r="AF146" s="1" t="s">
        <v>66</v>
      </c>
      <c r="AG146" s="2" t="s">
        <v>42</v>
      </c>
      <c r="AH146" s="1"/>
      <c r="AI146" s="1" t="s">
        <v>42</v>
      </c>
      <c r="AJ146" s="1"/>
      <c r="AK146" s="2" t="s">
        <v>42</v>
      </c>
      <c r="AL146" s="1" t="s">
        <v>3507</v>
      </c>
    </row>
    <row r="147" spans="1:38" ht="20.100000000000001" customHeight="1" x14ac:dyDescent="0.2">
      <c r="A147" s="3">
        <f t="shared" si="4"/>
        <v>144</v>
      </c>
      <c r="B147" s="1" t="s">
        <v>955</v>
      </c>
      <c r="C147" s="1" t="s">
        <v>956</v>
      </c>
      <c r="D147" s="1" t="s">
        <v>38</v>
      </c>
      <c r="E147" s="1" t="s">
        <v>811</v>
      </c>
      <c r="F147" s="1" t="s">
        <v>55</v>
      </c>
      <c r="G147" s="1" t="s">
        <v>957</v>
      </c>
      <c r="H147" s="2">
        <v>45376</v>
      </c>
      <c r="I147" s="2">
        <v>29952</v>
      </c>
      <c r="J147" s="7">
        <f t="shared" ca="1" si="5"/>
        <v>41.852054794520548</v>
      </c>
      <c r="K147" s="1" t="s">
        <v>195</v>
      </c>
      <c r="L147" s="1" t="s">
        <v>195</v>
      </c>
      <c r="M147" s="2">
        <v>44603</v>
      </c>
      <c r="N147" s="1">
        <v>2</v>
      </c>
      <c r="O147" s="2">
        <v>44603</v>
      </c>
      <c r="P147" s="1" t="s">
        <v>44</v>
      </c>
      <c r="Q147" s="1" t="s">
        <v>958</v>
      </c>
      <c r="R147" s="1" t="s">
        <v>196</v>
      </c>
      <c r="S147" s="1" t="s">
        <v>47</v>
      </c>
      <c r="T147" s="1" t="s">
        <v>42</v>
      </c>
      <c r="U147" s="2" t="s">
        <v>42</v>
      </c>
      <c r="V147" s="2">
        <v>44967</v>
      </c>
      <c r="W147" s="2" t="s">
        <v>42</v>
      </c>
      <c r="X147" s="1" t="s">
        <v>959</v>
      </c>
      <c r="Y147" s="2">
        <v>45327</v>
      </c>
      <c r="Z147" s="1" t="s">
        <v>960</v>
      </c>
      <c r="AA147" s="1" t="s">
        <v>42</v>
      </c>
      <c r="AB147" s="1" t="s">
        <v>961</v>
      </c>
      <c r="AC147" s="1" t="s">
        <v>129</v>
      </c>
      <c r="AD147" s="1">
        <v>1023619636</v>
      </c>
      <c r="AE147" s="1" t="s">
        <v>37</v>
      </c>
      <c r="AF147" s="1"/>
      <c r="AG147" s="2" t="s">
        <v>42</v>
      </c>
      <c r="AH147" s="1"/>
      <c r="AI147" s="1" t="s">
        <v>962</v>
      </c>
      <c r="AJ147" s="1"/>
      <c r="AK147" s="2" t="s">
        <v>42</v>
      </c>
      <c r="AL147" s="1" t="s">
        <v>3507</v>
      </c>
    </row>
    <row r="148" spans="1:38" ht="20.100000000000001" customHeight="1" x14ac:dyDescent="0.2">
      <c r="A148" s="3">
        <f t="shared" si="4"/>
        <v>145</v>
      </c>
      <c r="B148" s="1" t="s">
        <v>963</v>
      </c>
      <c r="C148" s="1" t="s">
        <v>964</v>
      </c>
      <c r="D148" s="1" t="s">
        <v>121</v>
      </c>
      <c r="E148" s="1" t="s">
        <v>39</v>
      </c>
      <c r="F148" s="1" t="s">
        <v>40</v>
      </c>
      <c r="G148" s="1" t="s">
        <v>965</v>
      </c>
      <c r="H148" s="2" t="s">
        <v>42</v>
      </c>
      <c r="I148" s="2" t="s">
        <v>42</v>
      </c>
      <c r="J148" s="7"/>
      <c r="K148" s="1" t="s">
        <v>774</v>
      </c>
      <c r="L148" s="1" t="s">
        <v>774</v>
      </c>
      <c r="M148" s="2">
        <v>44611</v>
      </c>
      <c r="N148" s="1">
        <v>2</v>
      </c>
      <c r="O148" s="2" t="s">
        <v>42</v>
      </c>
      <c r="P148" s="1" t="s">
        <v>44</v>
      </c>
      <c r="Q148" s="1" t="s">
        <v>142</v>
      </c>
      <c r="R148" s="1" t="s">
        <v>60</v>
      </c>
      <c r="S148" s="1" t="s">
        <v>47</v>
      </c>
      <c r="T148" s="1" t="s">
        <v>42</v>
      </c>
      <c r="U148" s="2" t="s">
        <v>42</v>
      </c>
      <c r="V148" s="2">
        <v>44975</v>
      </c>
      <c r="W148" s="2" t="s">
        <v>42</v>
      </c>
      <c r="X148" s="1" t="s">
        <v>42</v>
      </c>
      <c r="Y148" s="2" t="s">
        <v>42</v>
      </c>
      <c r="Z148" s="1" t="s">
        <v>966</v>
      </c>
      <c r="AA148" s="1" t="s">
        <v>967</v>
      </c>
      <c r="AB148" s="1" t="s">
        <v>968</v>
      </c>
      <c r="AC148" s="1" t="s">
        <v>617</v>
      </c>
      <c r="AD148" s="1">
        <v>7009073037</v>
      </c>
      <c r="AE148" s="1" t="s">
        <v>103</v>
      </c>
      <c r="AF148" s="1" t="s">
        <v>147</v>
      </c>
      <c r="AG148" s="2" t="s">
        <v>42</v>
      </c>
      <c r="AH148" s="1"/>
      <c r="AI148" s="1" t="s">
        <v>42</v>
      </c>
      <c r="AJ148" s="1"/>
      <c r="AK148" s="2" t="s">
        <v>42</v>
      </c>
      <c r="AL148" s="1" t="s">
        <v>3507</v>
      </c>
    </row>
    <row r="149" spans="1:38" ht="20.100000000000001" customHeight="1" x14ac:dyDescent="0.2">
      <c r="A149" s="3">
        <f t="shared" si="4"/>
        <v>146</v>
      </c>
      <c r="B149" s="1" t="s">
        <v>969</v>
      </c>
      <c r="C149" s="1" t="s">
        <v>970</v>
      </c>
      <c r="D149" s="1" t="s">
        <v>121</v>
      </c>
      <c r="E149" s="1" t="s">
        <v>69</v>
      </c>
      <c r="F149" s="1" t="s">
        <v>70</v>
      </c>
      <c r="G149" s="1" t="s">
        <v>971</v>
      </c>
      <c r="H149" s="2">
        <v>45478</v>
      </c>
      <c r="I149" s="2" t="s">
        <v>42</v>
      </c>
      <c r="J149" s="7"/>
      <c r="K149" s="1" t="s">
        <v>972</v>
      </c>
      <c r="L149" s="1" t="s">
        <v>973</v>
      </c>
      <c r="M149" s="2">
        <v>44621</v>
      </c>
      <c r="N149" s="1">
        <v>2</v>
      </c>
      <c r="O149" s="2" t="s">
        <v>42</v>
      </c>
      <c r="P149" s="1" t="s">
        <v>44</v>
      </c>
      <c r="Q149" s="1" t="s">
        <v>178</v>
      </c>
      <c r="R149" s="1" t="s">
        <v>179</v>
      </c>
      <c r="S149" s="1" t="s">
        <v>125</v>
      </c>
      <c r="T149" s="1" t="s">
        <v>42</v>
      </c>
      <c r="U149" s="2" t="s">
        <v>42</v>
      </c>
      <c r="V149" s="2">
        <v>44985</v>
      </c>
      <c r="W149" s="2" t="s">
        <v>42</v>
      </c>
      <c r="X149" s="1" t="s">
        <v>42</v>
      </c>
      <c r="Y149" s="2" t="s">
        <v>42</v>
      </c>
      <c r="Z149" s="1" t="s">
        <v>974</v>
      </c>
      <c r="AA149" s="1" t="s">
        <v>42</v>
      </c>
      <c r="AB149" s="1" t="s">
        <v>975</v>
      </c>
      <c r="AC149" s="1" t="s">
        <v>129</v>
      </c>
      <c r="AD149" s="1"/>
      <c r="AE149" s="1" t="s">
        <v>788</v>
      </c>
      <c r="AF149" s="1"/>
      <c r="AG149" s="2" t="s">
        <v>42</v>
      </c>
      <c r="AH149" s="1"/>
      <c r="AI149" s="1" t="s">
        <v>42</v>
      </c>
      <c r="AJ149" s="1"/>
      <c r="AK149" s="2" t="s">
        <v>42</v>
      </c>
      <c r="AL149" s="1" t="s">
        <v>3507</v>
      </c>
    </row>
    <row r="150" spans="1:38" ht="20.100000000000001" customHeight="1" x14ac:dyDescent="0.2">
      <c r="A150" s="3">
        <f t="shared" si="4"/>
        <v>147</v>
      </c>
      <c r="B150" s="1" t="s">
        <v>976</v>
      </c>
      <c r="C150" s="1" t="s">
        <v>977</v>
      </c>
      <c r="D150" s="1" t="s">
        <v>121</v>
      </c>
      <c r="E150" s="1" t="s">
        <v>39</v>
      </c>
      <c r="F150" s="1" t="s">
        <v>40</v>
      </c>
      <c r="G150" s="1" t="s">
        <v>978</v>
      </c>
      <c r="H150" s="2" t="s">
        <v>42</v>
      </c>
      <c r="I150" s="2">
        <v>33439</v>
      </c>
      <c r="J150" s="7">
        <f t="shared" ca="1" si="5"/>
        <v>32.298630136986304</v>
      </c>
      <c r="K150" s="1" t="s">
        <v>979</v>
      </c>
      <c r="L150" s="1" t="s">
        <v>979</v>
      </c>
      <c r="M150" s="2">
        <v>44623</v>
      </c>
      <c r="N150" s="1">
        <v>2</v>
      </c>
      <c r="O150" s="2">
        <v>44623</v>
      </c>
      <c r="P150" s="1" t="s">
        <v>44</v>
      </c>
      <c r="Q150" s="1" t="s">
        <v>408</v>
      </c>
      <c r="R150" s="1" t="s">
        <v>124</v>
      </c>
      <c r="S150" s="1" t="s">
        <v>125</v>
      </c>
      <c r="T150" s="1" t="s">
        <v>42</v>
      </c>
      <c r="U150" s="2" t="s">
        <v>42</v>
      </c>
      <c r="V150" s="2">
        <v>44987</v>
      </c>
      <c r="W150" s="2" t="s">
        <v>42</v>
      </c>
      <c r="X150" s="1" t="s">
        <v>42</v>
      </c>
      <c r="Y150" s="2" t="s">
        <v>42</v>
      </c>
      <c r="Z150" s="1" t="s">
        <v>980</v>
      </c>
      <c r="AA150" s="1" t="s">
        <v>981</v>
      </c>
      <c r="AB150" s="1" t="s">
        <v>982</v>
      </c>
      <c r="AC150" s="1" t="s">
        <v>983</v>
      </c>
      <c r="AD150" s="1">
        <v>7014477116</v>
      </c>
      <c r="AE150" s="1" t="s">
        <v>65</v>
      </c>
      <c r="AF150" s="1"/>
      <c r="AG150" s="2" t="s">
        <v>42</v>
      </c>
      <c r="AH150" s="1"/>
      <c r="AI150" s="1" t="s">
        <v>42</v>
      </c>
      <c r="AJ150" s="1"/>
      <c r="AK150" s="2" t="s">
        <v>42</v>
      </c>
      <c r="AL150" s="1" t="s">
        <v>3507</v>
      </c>
    </row>
    <row r="151" spans="1:38" ht="20.100000000000001" customHeight="1" x14ac:dyDescent="0.2">
      <c r="A151" s="3">
        <f t="shared" si="4"/>
        <v>148</v>
      </c>
      <c r="B151" s="1" t="s">
        <v>2925</v>
      </c>
      <c r="C151" s="1" t="s">
        <v>2926</v>
      </c>
      <c r="D151" s="1" t="s">
        <v>121</v>
      </c>
      <c r="E151" s="1" t="s">
        <v>39</v>
      </c>
      <c r="F151" s="1" t="s">
        <v>40</v>
      </c>
      <c r="G151" s="1" t="s">
        <v>2927</v>
      </c>
      <c r="H151" s="2" t="s">
        <v>42</v>
      </c>
      <c r="I151" s="2" t="s">
        <v>42</v>
      </c>
      <c r="J151" s="7"/>
      <c r="K151" s="1" t="s">
        <v>80</v>
      </c>
      <c r="L151" s="1" t="s">
        <v>80</v>
      </c>
      <c r="M151" s="2">
        <v>44623</v>
      </c>
      <c r="N151" s="1">
        <v>2</v>
      </c>
      <c r="O151" s="2">
        <v>44623</v>
      </c>
      <c r="P151" s="1" t="s">
        <v>44</v>
      </c>
      <c r="Q151" s="1" t="s">
        <v>408</v>
      </c>
      <c r="R151" s="1" t="s">
        <v>124</v>
      </c>
      <c r="S151" s="1" t="s">
        <v>125</v>
      </c>
      <c r="T151" s="1" t="s">
        <v>42</v>
      </c>
      <c r="U151" s="2" t="s">
        <v>42</v>
      </c>
      <c r="V151" s="2">
        <v>44987</v>
      </c>
      <c r="W151" s="2" t="s">
        <v>42</v>
      </c>
      <c r="X151" s="1" t="s">
        <v>42</v>
      </c>
      <c r="Y151" s="2" t="s">
        <v>42</v>
      </c>
      <c r="Z151" s="1" t="s">
        <v>2928</v>
      </c>
      <c r="AA151" s="1" t="s">
        <v>42</v>
      </c>
      <c r="AB151" s="1" t="s">
        <v>2929</v>
      </c>
      <c r="AC151" s="1" t="s">
        <v>617</v>
      </c>
      <c r="AD151" s="1">
        <v>7014477116</v>
      </c>
      <c r="AE151" s="1" t="s">
        <v>65</v>
      </c>
      <c r="AF151" s="1"/>
      <c r="AG151" s="2">
        <v>45175</v>
      </c>
      <c r="AH151" s="1" t="s">
        <v>2812</v>
      </c>
      <c r="AI151" s="1" t="s">
        <v>42</v>
      </c>
      <c r="AJ151" s="1"/>
      <c r="AK151" s="2" t="s">
        <v>42</v>
      </c>
      <c r="AL151" s="1" t="s">
        <v>2806</v>
      </c>
    </row>
    <row r="152" spans="1:38" ht="20.100000000000001" customHeight="1" x14ac:dyDescent="0.2">
      <c r="A152" s="3">
        <f t="shared" si="4"/>
        <v>149</v>
      </c>
      <c r="B152" s="1" t="s">
        <v>984</v>
      </c>
      <c r="C152" s="1" t="s">
        <v>985</v>
      </c>
      <c r="D152" s="1" t="s">
        <v>121</v>
      </c>
      <c r="E152" s="1" t="s">
        <v>39</v>
      </c>
      <c r="F152" s="1" t="s">
        <v>40</v>
      </c>
      <c r="G152" s="1" t="s">
        <v>986</v>
      </c>
      <c r="H152" s="2" t="s">
        <v>42</v>
      </c>
      <c r="I152" s="2" t="s">
        <v>42</v>
      </c>
      <c r="J152" s="7"/>
      <c r="K152" s="1" t="s">
        <v>979</v>
      </c>
      <c r="L152" s="1" t="s">
        <v>979</v>
      </c>
      <c r="M152" s="2">
        <v>44623</v>
      </c>
      <c r="N152" s="1">
        <v>2</v>
      </c>
      <c r="O152" s="2">
        <v>44623</v>
      </c>
      <c r="P152" s="1" t="s">
        <v>44</v>
      </c>
      <c r="Q152" s="1" t="s">
        <v>408</v>
      </c>
      <c r="R152" s="1" t="s">
        <v>124</v>
      </c>
      <c r="S152" s="1" t="s">
        <v>125</v>
      </c>
      <c r="T152" s="1" t="s">
        <v>42</v>
      </c>
      <c r="U152" s="2" t="s">
        <v>42</v>
      </c>
      <c r="V152" s="2">
        <v>44987</v>
      </c>
      <c r="W152" s="2" t="s">
        <v>42</v>
      </c>
      <c r="X152" s="1" t="s">
        <v>42</v>
      </c>
      <c r="Y152" s="2" t="s">
        <v>42</v>
      </c>
      <c r="Z152" s="1" t="s">
        <v>987</v>
      </c>
      <c r="AA152" s="1" t="s">
        <v>988</v>
      </c>
      <c r="AB152" s="1" t="s">
        <v>989</v>
      </c>
      <c r="AC152" s="1" t="s">
        <v>129</v>
      </c>
      <c r="AD152" s="1">
        <v>7014477116</v>
      </c>
      <c r="AE152" s="1" t="s">
        <v>65</v>
      </c>
      <c r="AF152" s="1"/>
      <c r="AG152" s="2" t="s">
        <v>42</v>
      </c>
      <c r="AH152" s="1"/>
      <c r="AI152" s="1" t="s">
        <v>42</v>
      </c>
      <c r="AJ152" s="1"/>
      <c r="AK152" s="2" t="s">
        <v>42</v>
      </c>
      <c r="AL152" s="1" t="s">
        <v>3507</v>
      </c>
    </row>
    <row r="153" spans="1:38" ht="20.100000000000001" customHeight="1" x14ac:dyDescent="0.2">
      <c r="A153" s="3">
        <f t="shared" si="4"/>
        <v>150</v>
      </c>
      <c r="B153" s="1" t="s">
        <v>990</v>
      </c>
      <c r="C153" s="1" t="s">
        <v>991</v>
      </c>
      <c r="D153" s="1" t="s">
        <v>121</v>
      </c>
      <c r="E153" s="1" t="s">
        <v>39</v>
      </c>
      <c r="F153" s="1" t="s">
        <v>40</v>
      </c>
      <c r="G153" s="1" t="s">
        <v>992</v>
      </c>
      <c r="H153" s="2">
        <v>46284</v>
      </c>
      <c r="I153" s="2">
        <v>30550</v>
      </c>
      <c r="J153" s="7">
        <f t="shared" ca="1" si="5"/>
        <v>40.213698630136989</v>
      </c>
      <c r="K153" s="1" t="s">
        <v>979</v>
      </c>
      <c r="L153" s="1" t="s">
        <v>979</v>
      </c>
      <c r="M153" s="2">
        <v>44625</v>
      </c>
      <c r="N153" s="1">
        <v>2</v>
      </c>
      <c r="O153" s="2">
        <v>44625</v>
      </c>
      <c r="P153" s="1" t="s">
        <v>44</v>
      </c>
      <c r="Q153" s="1" t="s">
        <v>408</v>
      </c>
      <c r="R153" s="1" t="s">
        <v>124</v>
      </c>
      <c r="S153" s="1" t="s">
        <v>47</v>
      </c>
      <c r="T153" s="1">
        <v>8</v>
      </c>
      <c r="U153" s="2" t="s">
        <v>42</v>
      </c>
      <c r="V153" s="2">
        <v>44989</v>
      </c>
      <c r="W153" s="2" t="s">
        <v>42</v>
      </c>
      <c r="X153" s="1" t="s">
        <v>42</v>
      </c>
      <c r="Y153" s="2" t="s">
        <v>42</v>
      </c>
      <c r="Z153" s="1" t="s">
        <v>993</v>
      </c>
      <c r="AA153" s="1" t="s">
        <v>994</v>
      </c>
      <c r="AB153" s="1" t="s">
        <v>995</v>
      </c>
      <c r="AC153" s="1" t="s">
        <v>129</v>
      </c>
      <c r="AD153" s="1">
        <v>7026482336</v>
      </c>
      <c r="AE153" s="1" t="s">
        <v>903</v>
      </c>
      <c r="AF153" s="1"/>
      <c r="AG153" s="2" t="s">
        <v>42</v>
      </c>
      <c r="AH153" s="1"/>
      <c r="AI153" s="1" t="s">
        <v>42</v>
      </c>
      <c r="AJ153" s="1"/>
      <c r="AK153" s="2" t="s">
        <v>42</v>
      </c>
      <c r="AL153" s="1" t="s">
        <v>3507</v>
      </c>
    </row>
    <row r="154" spans="1:38" ht="20.100000000000001" customHeight="1" x14ac:dyDescent="0.2">
      <c r="A154" s="3">
        <f t="shared" si="4"/>
        <v>151</v>
      </c>
      <c r="B154" s="1" t="s">
        <v>996</v>
      </c>
      <c r="C154" s="1" t="s">
        <v>997</v>
      </c>
      <c r="D154" s="1" t="s">
        <v>121</v>
      </c>
      <c r="E154" s="1" t="s">
        <v>39</v>
      </c>
      <c r="F154" s="1" t="s">
        <v>40</v>
      </c>
      <c r="G154" s="1" t="s">
        <v>998</v>
      </c>
      <c r="H154" s="2">
        <v>44846</v>
      </c>
      <c r="I154" s="2">
        <v>29497</v>
      </c>
      <c r="J154" s="7">
        <f t="shared" ca="1" si="5"/>
        <v>43.098630136986301</v>
      </c>
      <c r="K154" s="1" t="s">
        <v>80</v>
      </c>
      <c r="L154" s="1" t="s">
        <v>80</v>
      </c>
      <c r="M154" s="2">
        <v>44625</v>
      </c>
      <c r="N154" s="1">
        <v>2</v>
      </c>
      <c r="O154" s="2">
        <v>44625</v>
      </c>
      <c r="P154" s="1" t="s">
        <v>44</v>
      </c>
      <c r="Q154" s="1" t="s">
        <v>408</v>
      </c>
      <c r="R154" s="1" t="s">
        <v>124</v>
      </c>
      <c r="S154" s="1" t="s">
        <v>47</v>
      </c>
      <c r="T154" s="1">
        <v>8</v>
      </c>
      <c r="U154" s="2" t="s">
        <v>42</v>
      </c>
      <c r="V154" s="2">
        <v>44989</v>
      </c>
      <c r="W154" s="2" t="s">
        <v>42</v>
      </c>
      <c r="X154" s="1" t="s">
        <v>42</v>
      </c>
      <c r="Y154" s="2" t="s">
        <v>42</v>
      </c>
      <c r="Z154" s="1" t="s">
        <v>999</v>
      </c>
      <c r="AA154" s="1" t="s">
        <v>1000</v>
      </c>
      <c r="AB154" s="1" t="s">
        <v>1001</v>
      </c>
      <c r="AC154" s="1" t="s">
        <v>129</v>
      </c>
      <c r="AD154" s="1">
        <v>7026482336</v>
      </c>
      <c r="AE154" s="1" t="s">
        <v>903</v>
      </c>
      <c r="AF154" s="1"/>
      <c r="AG154" s="2" t="s">
        <v>42</v>
      </c>
      <c r="AH154" s="1"/>
      <c r="AI154" s="1" t="s">
        <v>42</v>
      </c>
      <c r="AJ154" s="1"/>
      <c r="AK154" s="2" t="s">
        <v>42</v>
      </c>
      <c r="AL154" s="1" t="s">
        <v>3507</v>
      </c>
    </row>
    <row r="155" spans="1:38" ht="20.100000000000001" customHeight="1" x14ac:dyDescent="0.2">
      <c r="A155" s="3">
        <f t="shared" si="4"/>
        <v>152</v>
      </c>
      <c r="B155" s="1" t="s">
        <v>1002</v>
      </c>
      <c r="C155" s="1" t="s">
        <v>1003</v>
      </c>
      <c r="D155" s="1" t="s">
        <v>121</v>
      </c>
      <c r="E155" s="1" t="s">
        <v>39</v>
      </c>
      <c r="F155" s="1" t="s">
        <v>40</v>
      </c>
      <c r="G155" s="1" t="s">
        <v>1004</v>
      </c>
      <c r="H155" s="2" t="s">
        <v>42</v>
      </c>
      <c r="I155" s="2" t="s">
        <v>42</v>
      </c>
      <c r="J155" s="7"/>
      <c r="K155" s="1" t="s">
        <v>563</v>
      </c>
      <c r="L155" s="1" t="s">
        <v>563</v>
      </c>
      <c r="M155" s="2">
        <v>44627</v>
      </c>
      <c r="N155" s="1">
        <v>2</v>
      </c>
      <c r="O155" s="2" t="s">
        <v>42</v>
      </c>
      <c r="P155" s="1" t="s">
        <v>44</v>
      </c>
      <c r="Q155" s="1" t="s">
        <v>408</v>
      </c>
      <c r="R155" s="1" t="s">
        <v>124</v>
      </c>
      <c r="S155" s="1" t="s">
        <v>125</v>
      </c>
      <c r="T155" s="1" t="s">
        <v>42</v>
      </c>
      <c r="U155" s="2" t="s">
        <v>42</v>
      </c>
      <c r="V155" s="2">
        <v>44991</v>
      </c>
      <c r="W155" s="2" t="s">
        <v>42</v>
      </c>
      <c r="X155" s="1" t="s">
        <v>42</v>
      </c>
      <c r="Y155" s="2" t="s">
        <v>42</v>
      </c>
      <c r="Z155" s="1" t="s">
        <v>1005</v>
      </c>
      <c r="AA155" s="1" t="s">
        <v>1006</v>
      </c>
      <c r="AB155" s="1" t="s">
        <v>1007</v>
      </c>
      <c r="AC155" s="1" t="s">
        <v>522</v>
      </c>
      <c r="AD155" s="1">
        <v>7009073037</v>
      </c>
      <c r="AE155" s="1" t="s">
        <v>103</v>
      </c>
      <c r="AF155" s="1"/>
      <c r="AG155" s="2" t="s">
        <v>42</v>
      </c>
      <c r="AH155" s="1"/>
      <c r="AI155" s="1" t="s">
        <v>42</v>
      </c>
      <c r="AJ155" s="1"/>
      <c r="AK155" s="2" t="s">
        <v>42</v>
      </c>
      <c r="AL155" s="1" t="s">
        <v>3507</v>
      </c>
    </row>
    <row r="156" spans="1:38" ht="20.100000000000001" customHeight="1" x14ac:dyDescent="0.2">
      <c r="A156" s="3">
        <f t="shared" si="4"/>
        <v>153</v>
      </c>
      <c r="B156" s="1" t="s">
        <v>1008</v>
      </c>
      <c r="C156" s="1" t="s">
        <v>1009</v>
      </c>
      <c r="D156" s="1" t="s">
        <v>121</v>
      </c>
      <c r="E156" s="1" t="s">
        <v>39</v>
      </c>
      <c r="F156" s="1" t="s">
        <v>40</v>
      </c>
      <c r="G156" s="1" t="s">
        <v>1010</v>
      </c>
      <c r="H156" s="2" t="s">
        <v>42</v>
      </c>
      <c r="I156" s="2" t="s">
        <v>42</v>
      </c>
      <c r="J156" s="7"/>
      <c r="K156" s="1" t="s">
        <v>774</v>
      </c>
      <c r="L156" s="1" t="s">
        <v>547</v>
      </c>
      <c r="M156" s="2">
        <v>44629</v>
      </c>
      <c r="N156" s="1">
        <v>2</v>
      </c>
      <c r="O156" s="2">
        <v>44629</v>
      </c>
      <c r="P156" s="1" t="s">
        <v>721</v>
      </c>
      <c r="Q156" s="1" t="s">
        <v>722</v>
      </c>
      <c r="R156" s="1" t="s">
        <v>60</v>
      </c>
      <c r="S156" s="1" t="s">
        <v>47</v>
      </c>
      <c r="T156" s="1">
        <v>12</v>
      </c>
      <c r="U156" s="2" t="s">
        <v>42</v>
      </c>
      <c r="V156" s="2">
        <v>44993</v>
      </c>
      <c r="W156" s="2" t="s">
        <v>42</v>
      </c>
      <c r="X156" s="1" t="s">
        <v>42</v>
      </c>
      <c r="Y156" s="2" t="s">
        <v>42</v>
      </c>
      <c r="Z156" s="1" t="s">
        <v>1011</v>
      </c>
      <c r="AA156" s="1" t="s">
        <v>1012</v>
      </c>
      <c r="AB156" s="1" t="s">
        <v>1013</v>
      </c>
      <c r="AC156" s="1" t="s">
        <v>129</v>
      </c>
      <c r="AD156" s="1">
        <v>7015572543</v>
      </c>
      <c r="AE156" s="1" t="s">
        <v>3506</v>
      </c>
      <c r="AF156" s="1" t="s">
        <v>66</v>
      </c>
      <c r="AG156" s="2" t="s">
        <v>42</v>
      </c>
      <c r="AH156" s="1"/>
      <c r="AI156" s="1" t="s">
        <v>42</v>
      </c>
      <c r="AJ156" s="1"/>
      <c r="AK156" s="2" t="s">
        <v>42</v>
      </c>
      <c r="AL156" s="1" t="s">
        <v>3507</v>
      </c>
    </row>
    <row r="157" spans="1:38" ht="20.100000000000001" customHeight="1" x14ac:dyDescent="0.2">
      <c r="A157" s="3">
        <f t="shared" si="4"/>
        <v>154</v>
      </c>
      <c r="B157" s="1" t="s">
        <v>1014</v>
      </c>
      <c r="C157" s="1" t="s">
        <v>1015</v>
      </c>
      <c r="D157" s="1" t="s">
        <v>121</v>
      </c>
      <c r="E157" s="1" t="s">
        <v>39</v>
      </c>
      <c r="F157" s="1" t="s">
        <v>40</v>
      </c>
      <c r="G157" s="1" t="s">
        <v>1016</v>
      </c>
      <c r="H157" s="2" t="s">
        <v>42</v>
      </c>
      <c r="I157" s="2" t="s">
        <v>42</v>
      </c>
      <c r="J157" s="7"/>
      <c r="K157" s="1" t="s">
        <v>774</v>
      </c>
      <c r="L157" s="1" t="s">
        <v>547</v>
      </c>
      <c r="M157" s="2">
        <v>44630</v>
      </c>
      <c r="N157" s="1">
        <v>2</v>
      </c>
      <c r="O157" s="2">
        <v>44630</v>
      </c>
      <c r="P157" s="1" t="s">
        <v>721</v>
      </c>
      <c r="Q157" s="1" t="s">
        <v>722</v>
      </c>
      <c r="R157" s="1" t="s">
        <v>60</v>
      </c>
      <c r="S157" s="1" t="s">
        <v>47</v>
      </c>
      <c r="T157" s="1">
        <v>12</v>
      </c>
      <c r="U157" s="2" t="s">
        <v>42</v>
      </c>
      <c r="V157" s="2">
        <v>44994</v>
      </c>
      <c r="W157" s="2" t="s">
        <v>42</v>
      </c>
      <c r="X157" s="1" t="s">
        <v>42</v>
      </c>
      <c r="Y157" s="2" t="s">
        <v>42</v>
      </c>
      <c r="Z157" s="1" t="s">
        <v>1017</v>
      </c>
      <c r="AA157" s="1" t="s">
        <v>1018</v>
      </c>
      <c r="AB157" s="1" t="s">
        <v>1019</v>
      </c>
      <c r="AC157" s="1" t="s">
        <v>50</v>
      </c>
      <c r="AD157" s="1">
        <v>7015572543</v>
      </c>
      <c r="AE157" s="1" t="s">
        <v>3506</v>
      </c>
      <c r="AF157" s="1" t="s">
        <v>66</v>
      </c>
      <c r="AG157" s="2" t="s">
        <v>42</v>
      </c>
      <c r="AH157" s="1"/>
      <c r="AI157" s="1" t="s">
        <v>42</v>
      </c>
      <c r="AJ157" s="1"/>
      <c r="AK157" s="2" t="s">
        <v>42</v>
      </c>
      <c r="AL157" s="1" t="s">
        <v>3507</v>
      </c>
    </row>
    <row r="158" spans="1:38" ht="20.100000000000001" customHeight="1" x14ac:dyDescent="0.2">
      <c r="A158" s="3">
        <f t="shared" si="4"/>
        <v>155</v>
      </c>
      <c r="B158" s="1" t="s">
        <v>2930</v>
      </c>
      <c r="C158" s="1" t="s">
        <v>2931</v>
      </c>
      <c r="D158" s="1" t="s">
        <v>121</v>
      </c>
      <c r="E158" s="1" t="s">
        <v>39</v>
      </c>
      <c r="F158" s="1" t="s">
        <v>40</v>
      </c>
      <c r="G158" s="1" t="s">
        <v>2932</v>
      </c>
      <c r="H158" s="2" t="s">
        <v>42</v>
      </c>
      <c r="I158" s="2" t="s">
        <v>42</v>
      </c>
      <c r="J158" s="7"/>
      <c r="K158" s="1" t="s">
        <v>774</v>
      </c>
      <c r="L158" s="1" t="s">
        <v>547</v>
      </c>
      <c r="M158" s="2">
        <v>44632</v>
      </c>
      <c r="N158" s="1">
        <v>2</v>
      </c>
      <c r="O158" s="2">
        <v>44766</v>
      </c>
      <c r="P158" s="1" t="s">
        <v>721</v>
      </c>
      <c r="Q158" s="1" t="s">
        <v>722</v>
      </c>
      <c r="R158" s="1" t="s">
        <v>60</v>
      </c>
      <c r="S158" s="1" t="s">
        <v>47</v>
      </c>
      <c r="T158" s="1">
        <v>12</v>
      </c>
      <c r="U158" s="2" t="s">
        <v>42</v>
      </c>
      <c r="V158" s="2">
        <v>44996</v>
      </c>
      <c r="W158" s="2" t="s">
        <v>42</v>
      </c>
      <c r="X158" s="1" t="s">
        <v>42</v>
      </c>
      <c r="Y158" s="2" t="s">
        <v>42</v>
      </c>
      <c r="Z158" s="1" t="s">
        <v>2933</v>
      </c>
      <c r="AA158" s="1" t="s">
        <v>2934</v>
      </c>
      <c r="AB158" s="1" t="s">
        <v>2935</v>
      </c>
      <c r="AC158" s="1" t="s">
        <v>983</v>
      </c>
      <c r="AD158" s="1">
        <v>7015572543</v>
      </c>
      <c r="AE158" s="1" t="s">
        <v>3506</v>
      </c>
      <c r="AF158" s="1"/>
      <c r="AG158" s="2" t="s">
        <v>42</v>
      </c>
      <c r="AH158" s="1" t="s">
        <v>2812</v>
      </c>
      <c r="AI158" s="1" t="s">
        <v>42</v>
      </c>
      <c r="AJ158" s="1"/>
      <c r="AK158" s="2" t="s">
        <v>42</v>
      </c>
      <c r="AL158" s="1" t="s">
        <v>2806</v>
      </c>
    </row>
    <row r="159" spans="1:38" ht="20.100000000000001" customHeight="1" x14ac:dyDescent="0.2">
      <c r="A159" s="3">
        <f t="shared" si="4"/>
        <v>156</v>
      </c>
      <c r="B159" s="1" t="s">
        <v>1020</v>
      </c>
      <c r="C159" s="1" t="s">
        <v>1021</v>
      </c>
      <c r="D159" s="1" t="s">
        <v>121</v>
      </c>
      <c r="E159" s="1" t="s">
        <v>39</v>
      </c>
      <c r="F159" s="1" t="s">
        <v>40</v>
      </c>
      <c r="G159" s="1" t="s">
        <v>1022</v>
      </c>
      <c r="H159" s="2" t="s">
        <v>42</v>
      </c>
      <c r="I159" s="2" t="s">
        <v>42</v>
      </c>
      <c r="J159" s="7"/>
      <c r="K159" s="1" t="s">
        <v>1023</v>
      </c>
      <c r="L159" s="1" t="s">
        <v>1024</v>
      </c>
      <c r="M159" s="2">
        <v>44636</v>
      </c>
      <c r="N159" s="1">
        <v>2</v>
      </c>
      <c r="O159" s="2">
        <v>44636</v>
      </c>
      <c r="P159" s="1" t="s">
        <v>44</v>
      </c>
      <c r="Q159" s="1" t="s">
        <v>899</v>
      </c>
      <c r="R159" s="1" t="s">
        <v>124</v>
      </c>
      <c r="S159" s="1" t="s">
        <v>47</v>
      </c>
      <c r="T159" s="1">
        <v>8</v>
      </c>
      <c r="U159" s="2" t="s">
        <v>42</v>
      </c>
      <c r="V159" s="2">
        <v>45000</v>
      </c>
      <c r="W159" s="2" t="s">
        <v>42</v>
      </c>
      <c r="X159" s="1" t="s">
        <v>42</v>
      </c>
      <c r="Y159" s="2" t="s">
        <v>42</v>
      </c>
      <c r="Z159" s="1" t="s">
        <v>1025</v>
      </c>
      <c r="AA159" s="1" t="s">
        <v>1026</v>
      </c>
      <c r="AB159" s="1" t="s">
        <v>1027</v>
      </c>
      <c r="AC159" s="1" t="s">
        <v>129</v>
      </c>
      <c r="AD159" s="1">
        <v>7026482336</v>
      </c>
      <c r="AE159" s="1" t="s">
        <v>903</v>
      </c>
      <c r="AF159" s="1" t="s">
        <v>904</v>
      </c>
      <c r="AG159" s="2" t="s">
        <v>42</v>
      </c>
      <c r="AH159" s="1"/>
      <c r="AI159" s="1" t="s">
        <v>42</v>
      </c>
      <c r="AJ159" s="1"/>
      <c r="AK159" s="2" t="s">
        <v>42</v>
      </c>
      <c r="AL159" s="1" t="s">
        <v>3507</v>
      </c>
    </row>
    <row r="160" spans="1:38" ht="20.100000000000001" customHeight="1" x14ac:dyDescent="0.2">
      <c r="A160" s="3">
        <f t="shared" si="4"/>
        <v>157</v>
      </c>
      <c r="B160" s="1" t="s">
        <v>1028</v>
      </c>
      <c r="C160" s="1" t="s">
        <v>1029</v>
      </c>
      <c r="D160" s="1" t="s">
        <v>121</v>
      </c>
      <c r="E160" s="1" t="s">
        <v>39</v>
      </c>
      <c r="F160" s="1" t="s">
        <v>40</v>
      </c>
      <c r="G160" s="1" t="s">
        <v>1030</v>
      </c>
      <c r="H160" s="2" t="s">
        <v>42</v>
      </c>
      <c r="I160" s="2" t="s">
        <v>42</v>
      </c>
      <c r="J160" s="7"/>
      <c r="K160" s="1" t="s">
        <v>979</v>
      </c>
      <c r="L160" s="1" t="s">
        <v>979</v>
      </c>
      <c r="M160" s="2">
        <v>44644</v>
      </c>
      <c r="N160" s="1">
        <v>2</v>
      </c>
      <c r="O160" s="2">
        <v>44644</v>
      </c>
      <c r="P160" s="1" t="s">
        <v>44</v>
      </c>
      <c r="Q160" s="1" t="s">
        <v>408</v>
      </c>
      <c r="R160" s="1" t="s">
        <v>124</v>
      </c>
      <c r="S160" s="1" t="s">
        <v>125</v>
      </c>
      <c r="T160" s="1" t="s">
        <v>42</v>
      </c>
      <c r="U160" s="2" t="s">
        <v>42</v>
      </c>
      <c r="V160" s="2">
        <v>45008</v>
      </c>
      <c r="W160" s="2" t="s">
        <v>42</v>
      </c>
      <c r="X160" s="1" t="s">
        <v>42</v>
      </c>
      <c r="Y160" s="2" t="s">
        <v>42</v>
      </c>
      <c r="Z160" s="1" t="s">
        <v>1031</v>
      </c>
      <c r="AA160" s="1" t="s">
        <v>1032</v>
      </c>
      <c r="AB160" s="1" t="s">
        <v>1033</v>
      </c>
      <c r="AC160" s="1" t="s">
        <v>129</v>
      </c>
      <c r="AD160" s="1">
        <v>7014477116</v>
      </c>
      <c r="AE160" s="1" t="s">
        <v>65</v>
      </c>
      <c r="AF160" s="1"/>
      <c r="AG160" s="2" t="s">
        <v>42</v>
      </c>
      <c r="AH160" s="1"/>
      <c r="AI160" s="1" t="s">
        <v>42</v>
      </c>
      <c r="AJ160" s="1"/>
      <c r="AK160" s="2" t="s">
        <v>42</v>
      </c>
      <c r="AL160" s="1" t="s">
        <v>3507</v>
      </c>
    </row>
    <row r="161" spans="1:38" ht="20.100000000000001" customHeight="1" x14ac:dyDescent="0.2">
      <c r="A161" s="3">
        <f t="shared" si="4"/>
        <v>158</v>
      </c>
      <c r="B161" s="1" t="s">
        <v>1034</v>
      </c>
      <c r="C161" s="1" t="s">
        <v>1035</v>
      </c>
      <c r="D161" s="1" t="s">
        <v>121</v>
      </c>
      <c r="E161" s="1" t="s">
        <v>39</v>
      </c>
      <c r="F161" s="1" t="s">
        <v>40</v>
      </c>
      <c r="G161" s="1" t="s">
        <v>1036</v>
      </c>
      <c r="H161" s="2" t="s">
        <v>42</v>
      </c>
      <c r="I161" s="2" t="s">
        <v>42</v>
      </c>
      <c r="J161" s="7"/>
      <c r="K161" s="1" t="s">
        <v>774</v>
      </c>
      <c r="L161" s="1" t="s">
        <v>547</v>
      </c>
      <c r="M161" s="2">
        <v>44652</v>
      </c>
      <c r="N161" s="1">
        <v>2</v>
      </c>
      <c r="O161" s="2">
        <v>44653</v>
      </c>
      <c r="P161" s="1" t="s">
        <v>721</v>
      </c>
      <c r="Q161" s="1" t="s">
        <v>722</v>
      </c>
      <c r="R161" s="1" t="s">
        <v>60</v>
      </c>
      <c r="S161" s="1" t="s">
        <v>47</v>
      </c>
      <c r="T161" s="1">
        <v>12</v>
      </c>
      <c r="U161" s="2" t="s">
        <v>42</v>
      </c>
      <c r="V161" s="2">
        <v>45016</v>
      </c>
      <c r="W161" s="2" t="s">
        <v>42</v>
      </c>
      <c r="X161" s="1" t="s">
        <v>42</v>
      </c>
      <c r="Y161" s="2" t="s">
        <v>42</v>
      </c>
      <c r="Z161" s="1" t="s">
        <v>1037</v>
      </c>
      <c r="AA161" s="1" t="s">
        <v>1038</v>
      </c>
      <c r="AB161" s="1" t="s">
        <v>1039</v>
      </c>
      <c r="AC161" s="1" t="s">
        <v>129</v>
      </c>
      <c r="AD161" s="1">
        <v>7015572543</v>
      </c>
      <c r="AE161" s="1" t="s">
        <v>3506</v>
      </c>
      <c r="AF161" s="1" t="s">
        <v>66</v>
      </c>
      <c r="AG161" s="2" t="s">
        <v>42</v>
      </c>
      <c r="AH161" s="1"/>
      <c r="AI161" s="1" t="s">
        <v>42</v>
      </c>
      <c r="AJ161" s="1"/>
      <c r="AK161" s="2" t="s">
        <v>42</v>
      </c>
      <c r="AL161" s="1" t="s">
        <v>3507</v>
      </c>
    </row>
    <row r="162" spans="1:38" ht="20.100000000000001" customHeight="1" x14ac:dyDescent="0.2">
      <c r="A162" s="3">
        <f t="shared" si="4"/>
        <v>159</v>
      </c>
      <c r="B162" s="1" t="s">
        <v>1040</v>
      </c>
      <c r="C162" s="1" t="s">
        <v>1041</v>
      </c>
      <c r="D162" s="1" t="s">
        <v>38</v>
      </c>
      <c r="E162" s="1" t="s">
        <v>54</v>
      </c>
      <c r="F162" s="1" t="s">
        <v>55</v>
      </c>
      <c r="G162" s="1" t="s">
        <v>1042</v>
      </c>
      <c r="H162" s="2">
        <v>45390</v>
      </c>
      <c r="I162" s="2">
        <v>32306</v>
      </c>
      <c r="J162" s="7">
        <f t="shared" ca="1" si="5"/>
        <v>35.402739726027399</v>
      </c>
      <c r="K162" s="1" t="s">
        <v>195</v>
      </c>
      <c r="L162" s="1" t="s">
        <v>195</v>
      </c>
      <c r="M162" s="2">
        <v>44652</v>
      </c>
      <c r="N162" s="1">
        <v>2</v>
      </c>
      <c r="O162" s="2" t="s">
        <v>42</v>
      </c>
      <c r="P162" s="1" t="s">
        <v>44</v>
      </c>
      <c r="Q162" s="1" t="s">
        <v>1043</v>
      </c>
      <c r="R162" s="1" t="s">
        <v>196</v>
      </c>
      <c r="S162" s="1" t="s">
        <v>320</v>
      </c>
      <c r="T162" s="1" t="s">
        <v>42</v>
      </c>
      <c r="U162" s="2" t="s">
        <v>42</v>
      </c>
      <c r="V162" s="2">
        <v>45016</v>
      </c>
      <c r="W162" s="2" t="s">
        <v>42</v>
      </c>
      <c r="X162" s="1" t="s">
        <v>42</v>
      </c>
      <c r="Y162" s="2" t="s">
        <v>42</v>
      </c>
      <c r="Z162" s="1" t="s">
        <v>1044</v>
      </c>
      <c r="AA162" s="1" t="s">
        <v>42</v>
      </c>
      <c r="AB162" s="1" t="s">
        <v>1045</v>
      </c>
      <c r="AC162" s="1" t="s">
        <v>129</v>
      </c>
      <c r="AD162" s="1">
        <v>1061419220</v>
      </c>
      <c r="AE162" s="1" t="s">
        <v>247</v>
      </c>
      <c r="AF162" s="1"/>
      <c r="AG162" s="2" t="s">
        <v>42</v>
      </c>
      <c r="AH162" s="1"/>
      <c r="AI162" s="1" t="s">
        <v>962</v>
      </c>
      <c r="AJ162" s="1"/>
      <c r="AK162" s="2" t="s">
        <v>42</v>
      </c>
      <c r="AL162" s="1" t="s">
        <v>3507</v>
      </c>
    </row>
    <row r="163" spans="1:38" ht="20.100000000000001" customHeight="1" x14ac:dyDescent="0.2">
      <c r="A163" s="3">
        <f t="shared" si="4"/>
        <v>160</v>
      </c>
      <c r="B163" s="1" t="s">
        <v>2936</v>
      </c>
      <c r="C163" s="1" t="s">
        <v>2937</v>
      </c>
      <c r="D163" s="1" t="s">
        <v>38</v>
      </c>
      <c r="E163" s="1" t="s">
        <v>69</v>
      </c>
      <c r="F163" s="1" t="s">
        <v>70</v>
      </c>
      <c r="G163" s="1" t="s">
        <v>2938</v>
      </c>
      <c r="H163" s="2">
        <v>45112</v>
      </c>
      <c r="I163" s="2" t="s">
        <v>42</v>
      </c>
      <c r="J163" s="7"/>
      <c r="K163" s="1" t="s">
        <v>1496</v>
      </c>
      <c r="L163" s="1" t="s">
        <v>2939</v>
      </c>
      <c r="M163" s="2">
        <v>44652</v>
      </c>
      <c r="N163" s="1">
        <v>2</v>
      </c>
      <c r="O163" s="2" t="s">
        <v>42</v>
      </c>
      <c r="P163" s="1" t="s">
        <v>44</v>
      </c>
      <c r="Q163" s="1" t="s">
        <v>958</v>
      </c>
      <c r="R163" s="1" t="s">
        <v>196</v>
      </c>
      <c r="S163" s="1" t="s">
        <v>754</v>
      </c>
      <c r="T163" s="1" t="s">
        <v>42</v>
      </c>
      <c r="U163" s="2" t="s">
        <v>42</v>
      </c>
      <c r="V163" s="2">
        <v>45016</v>
      </c>
      <c r="W163" s="2" t="s">
        <v>42</v>
      </c>
      <c r="X163" s="1" t="s">
        <v>42</v>
      </c>
      <c r="Y163" s="2" t="s">
        <v>42</v>
      </c>
      <c r="Z163" s="1" t="s">
        <v>2940</v>
      </c>
      <c r="AA163" s="1" t="s">
        <v>42</v>
      </c>
      <c r="AB163" s="1" t="s">
        <v>2941</v>
      </c>
      <c r="AC163" s="1" t="s">
        <v>129</v>
      </c>
      <c r="AD163" s="1"/>
      <c r="AE163" s="1" t="s">
        <v>788</v>
      </c>
      <c r="AF163" s="1"/>
      <c r="AG163" s="2" t="s">
        <v>42</v>
      </c>
      <c r="AH163" s="1"/>
      <c r="AI163" s="1" t="s">
        <v>42</v>
      </c>
      <c r="AJ163" s="1"/>
      <c r="AK163" s="2" t="s">
        <v>42</v>
      </c>
      <c r="AL163" s="1" t="s">
        <v>2806</v>
      </c>
    </row>
    <row r="164" spans="1:38" ht="20.100000000000001" customHeight="1" x14ac:dyDescent="0.2">
      <c r="A164" s="3">
        <f t="shared" si="4"/>
        <v>161</v>
      </c>
      <c r="B164" s="1" t="s">
        <v>2942</v>
      </c>
      <c r="C164" s="1" t="s">
        <v>2943</v>
      </c>
      <c r="D164" s="1" t="s">
        <v>121</v>
      </c>
      <c r="E164" s="1" t="s">
        <v>39</v>
      </c>
      <c r="F164" s="1" t="s">
        <v>40</v>
      </c>
      <c r="G164" s="1" t="s">
        <v>2944</v>
      </c>
      <c r="H164" s="2">
        <v>45162</v>
      </c>
      <c r="I164" s="2">
        <v>37478</v>
      </c>
      <c r="J164" s="7">
        <f t="shared" ca="1" si="5"/>
        <v>21.232876712328768</v>
      </c>
      <c r="K164" s="1" t="s">
        <v>211</v>
      </c>
      <c r="L164" s="1" t="s">
        <v>547</v>
      </c>
      <c r="M164" s="2">
        <v>44653</v>
      </c>
      <c r="N164" s="1">
        <v>2</v>
      </c>
      <c r="O164" s="2">
        <v>44895</v>
      </c>
      <c r="P164" s="1" t="s">
        <v>44</v>
      </c>
      <c r="Q164" s="1" t="s">
        <v>306</v>
      </c>
      <c r="R164" s="1" t="s">
        <v>42</v>
      </c>
      <c r="S164" s="1" t="s">
        <v>47</v>
      </c>
      <c r="T164" s="1">
        <v>12</v>
      </c>
      <c r="U164" s="2" t="s">
        <v>42</v>
      </c>
      <c r="V164" s="2">
        <v>45017</v>
      </c>
      <c r="W164" s="2" t="s">
        <v>42</v>
      </c>
      <c r="X164" s="1" t="s">
        <v>42</v>
      </c>
      <c r="Y164" s="2" t="s">
        <v>42</v>
      </c>
      <c r="Z164" s="1" t="s">
        <v>2945</v>
      </c>
      <c r="AA164" s="1" t="s">
        <v>2946</v>
      </c>
      <c r="AB164" s="1" t="s">
        <v>2947</v>
      </c>
      <c r="AC164" s="1" t="s">
        <v>617</v>
      </c>
      <c r="AD164" s="1">
        <v>7015572543</v>
      </c>
      <c r="AE164" s="1" t="s">
        <v>3506</v>
      </c>
      <c r="AF164" s="1"/>
      <c r="AG164" s="2">
        <v>44957</v>
      </c>
      <c r="AH164" s="1" t="s">
        <v>2812</v>
      </c>
      <c r="AI164" s="1" t="s">
        <v>42</v>
      </c>
      <c r="AJ164" s="1"/>
      <c r="AK164" s="2" t="s">
        <v>42</v>
      </c>
      <c r="AL164" s="1" t="s">
        <v>2806</v>
      </c>
    </row>
    <row r="165" spans="1:38" ht="20.100000000000001" customHeight="1" x14ac:dyDescent="0.2">
      <c r="A165" s="3">
        <f t="shared" si="4"/>
        <v>162</v>
      </c>
      <c r="B165" s="1" t="s">
        <v>2948</v>
      </c>
      <c r="C165" s="1" t="s">
        <v>2949</v>
      </c>
      <c r="D165" s="1" t="s">
        <v>38</v>
      </c>
      <c r="E165" s="1" t="s">
        <v>39</v>
      </c>
      <c r="F165" s="1" t="s">
        <v>40</v>
      </c>
      <c r="G165" s="1" t="s">
        <v>2950</v>
      </c>
      <c r="H165" s="2" t="s">
        <v>42</v>
      </c>
      <c r="I165" s="2" t="s">
        <v>42</v>
      </c>
      <c r="J165" s="7"/>
      <c r="K165" s="1" t="s">
        <v>72</v>
      </c>
      <c r="L165" s="1" t="s">
        <v>72</v>
      </c>
      <c r="M165" s="2">
        <v>44653</v>
      </c>
      <c r="N165" s="1">
        <v>2</v>
      </c>
      <c r="O165" s="2">
        <v>44653</v>
      </c>
      <c r="P165" s="1" t="s">
        <v>44</v>
      </c>
      <c r="Q165" s="1" t="s">
        <v>408</v>
      </c>
      <c r="R165" s="1" t="s">
        <v>124</v>
      </c>
      <c r="S165" s="1" t="s">
        <v>125</v>
      </c>
      <c r="T165" s="1" t="s">
        <v>42</v>
      </c>
      <c r="U165" s="2" t="s">
        <v>42</v>
      </c>
      <c r="V165" s="2">
        <v>45017</v>
      </c>
      <c r="W165" s="2" t="s">
        <v>42</v>
      </c>
      <c r="X165" s="1" t="s">
        <v>42</v>
      </c>
      <c r="Y165" s="2" t="s">
        <v>42</v>
      </c>
      <c r="Z165" s="1" t="s">
        <v>2951</v>
      </c>
      <c r="AA165" s="1" t="s">
        <v>2952</v>
      </c>
      <c r="AB165" s="1" t="s">
        <v>2953</v>
      </c>
      <c r="AC165" s="1" t="s">
        <v>617</v>
      </c>
      <c r="AD165" s="1">
        <v>7014477116</v>
      </c>
      <c r="AE165" s="1" t="s">
        <v>65</v>
      </c>
      <c r="AF165" s="1"/>
      <c r="AG165" s="2" t="s">
        <v>42</v>
      </c>
      <c r="AH165" s="1" t="s">
        <v>2812</v>
      </c>
      <c r="AI165" s="1" t="s">
        <v>42</v>
      </c>
      <c r="AJ165" s="1"/>
      <c r="AK165" s="2" t="s">
        <v>42</v>
      </c>
      <c r="AL165" s="1" t="s">
        <v>2806</v>
      </c>
    </row>
    <row r="166" spans="1:38" ht="20.100000000000001" customHeight="1" x14ac:dyDescent="0.2">
      <c r="A166" s="3">
        <f t="shared" si="4"/>
        <v>163</v>
      </c>
      <c r="B166" s="1" t="s">
        <v>1046</v>
      </c>
      <c r="C166" s="1" t="s">
        <v>1047</v>
      </c>
      <c r="D166" s="1" t="s">
        <v>121</v>
      </c>
      <c r="E166" s="1" t="s">
        <v>39</v>
      </c>
      <c r="F166" s="1" t="s">
        <v>40</v>
      </c>
      <c r="G166" s="1" t="s">
        <v>1048</v>
      </c>
      <c r="H166" s="2" t="s">
        <v>42</v>
      </c>
      <c r="I166" s="2" t="s">
        <v>42</v>
      </c>
      <c r="J166" s="7"/>
      <c r="K166" s="1" t="s">
        <v>80</v>
      </c>
      <c r="L166" s="1" t="s">
        <v>80</v>
      </c>
      <c r="M166" s="2">
        <v>44668</v>
      </c>
      <c r="N166" s="1">
        <v>2</v>
      </c>
      <c r="O166" s="2">
        <v>44668</v>
      </c>
      <c r="P166" s="1" t="s">
        <v>44</v>
      </c>
      <c r="Q166" s="1" t="s">
        <v>408</v>
      </c>
      <c r="R166" s="1" t="s">
        <v>124</v>
      </c>
      <c r="S166" s="1" t="s">
        <v>47</v>
      </c>
      <c r="T166" s="1">
        <v>8</v>
      </c>
      <c r="U166" s="2" t="s">
        <v>42</v>
      </c>
      <c r="V166" s="2">
        <v>45032</v>
      </c>
      <c r="W166" s="2" t="s">
        <v>42</v>
      </c>
      <c r="X166" s="1" t="s">
        <v>42</v>
      </c>
      <c r="Y166" s="2" t="s">
        <v>42</v>
      </c>
      <c r="Z166" s="1" t="s">
        <v>1049</v>
      </c>
      <c r="AA166" s="1" t="s">
        <v>1050</v>
      </c>
      <c r="AB166" s="1" t="s">
        <v>1051</v>
      </c>
      <c r="AC166" s="1" t="s">
        <v>129</v>
      </c>
      <c r="AD166" s="1">
        <v>7026482336</v>
      </c>
      <c r="AE166" s="1" t="s">
        <v>903</v>
      </c>
      <c r="AF166" s="1"/>
      <c r="AG166" s="2" t="s">
        <v>42</v>
      </c>
      <c r="AH166" s="1"/>
      <c r="AI166" s="1" t="s">
        <v>42</v>
      </c>
      <c r="AJ166" s="1"/>
      <c r="AK166" s="2" t="s">
        <v>42</v>
      </c>
      <c r="AL166" s="1" t="s">
        <v>3507</v>
      </c>
    </row>
    <row r="167" spans="1:38" ht="20.100000000000001" customHeight="1" x14ac:dyDescent="0.2">
      <c r="A167" s="3">
        <f t="shared" si="4"/>
        <v>164</v>
      </c>
      <c r="B167" s="1" t="s">
        <v>1052</v>
      </c>
      <c r="C167" s="1" t="s">
        <v>1053</v>
      </c>
      <c r="D167" s="1" t="s">
        <v>121</v>
      </c>
      <c r="E167" s="1" t="s">
        <v>39</v>
      </c>
      <c r="F167" s="1" t="s">
        <v>40</v>
      </c>
      <c r="G167" s="1" t="s">
        <v>1054</v>
      </c>
      <c r="H167" s="2" t="s">
        <v>42</v>
      </c>
      <c r="I167" s="2" t="s">
        <v>42</v>
      </c>
      <c r="J167" s="7"/>
      <c r="K167" s="1" t="s">
        <v>72</v>
      </c>
      <c r="L167" s="1" t="s">
        <v>72</v>
      </c>
      <c r="M167" s="2">
        <v>44671</v>
      </c>
      <c r="N167" s="1">
        <v>2</v>
      </c>
      <c r="O167" s="2">
        <v>44671</v>
      </c>
      <c r="P167" s="1" t="s">
        <v>44</v>
      </c>
      <c r="Q167" s="1" t="s">
        <v>408</v>
      </c>
      <c r="R167" s="1" t="s">
        <v>124</v>
      </c>
      <c r="S167" s="1" t="s">
        <v>125</v>
      </c>
      <c r="T167" s="1" t="s">
        <v>42</v>
      </c>
      <c r="U167" s="2" t="s">
        <v>42</v>
      </c>
      <c r="V167" s="2">
        <v>45035</v>
      </c>
      <c r="W167" s="2" t="s">
        <v>42</v>
      </c>
      <c r="X167" s="1" t="s">
        <v>42</v>
      </c>
      <c r="Y167" s="2" t="s">
        <v>42</v>
      </c>
      <c r="Z167" s="1" t="s">
        <v>1055</v>
      </c>
      <c r="AA167" s="1" t="s">
        <v>1056</v>
      </c>
      <c r="AB167" s="1" t="s">
        <v>1057</v>
      </c>
      <c r="AC167" s="1" t="s">
        <v>129</v>
      </c>
      <c r="AD167" s="1">
        <v>7014477116</v>
      </c>
      <c r="AE167" s="1" t="s">
        <v>65</v>
      </c>
      <c r="AF167" s="1"/>
      <c r="AG167" s="2" t="s">
        <v>42</v>
      </c>
      <c r="AH167" s="1"/>
      <c r="AI167" s="1" t="s">
        <v>42</v>
      </c>
      <c r="AJ167" s="1"/>
      <c r="AK167" s="2" t="s">
        <v>42</v>
      </c>
      <c r="AL167" s="1" t="s">
        <v>3507</v>
      </c>
    </row>
    <row r="168" spans="1:38" ht="20.100000000000001" customHeight="1" x14ac:dyDescent="0.2">
      <c r="A168" s="3">
        <f t="shared" si="4"/>
        <v>165</v>
      </c>
      <c r="B168" s="1" t="s">
        <v>2954</v>
      </c>
      <c r="C168" s="1" t="s">
        <v>2955</v>
      </c>
      <c r="D168" s="1" t="s">
        <v>121</v>
      </c>
      <c r="E168" s="1" t="s">
        <v>39</v>
      </c>
      <c r="F168" s="1" t="s">
        <v>40</v>
      </c>
      <c r="G168" s="1" t="s">
        <v>2956</v>
      </c>
      <c r="H168" s="2" t="s">
        <v>42</v>
      </c>
      <c r="I168" s="2" t="s">
        <v>42</v>
      </c>
      <c r="J168" s="7"/>
      <c r="K168" s="1" t="s">
        <v>211</v>
      </c>
      <c r="L168" s="1" t="s">
        <v>547</v>
      </c>
      <c r="M168" s="2">
        <v>44704</v>
      </c>
      <c r="N168" s="1">
        <v>2</v>
      </c>
      <c r="O168" s="2">
        <v>44703</v>
      </c>
      <c r="P168" s="1" t="s">
        <v>44</v>
      </c>
      <c r="Q168" s="1" t="s">
        <v>744</v>
      </c>
      <c r="R168" s="1" t="s">
        <v>60</v>
      </c>
      <c r="S168" s="1" t="s">
        <v>47</v>
      </c>
      <c r="T168" s="1">
        <v>12</v>
      </c>
      <c r="U168" s="2" t="s">
        <v>42</v>
      </c>
      <c r="V168" s="2">
        <v>45068</v>
      </c>
      <c r="W168" s="2" t="s">
        <v>42</v>
      </c>
      <c r="X168" s="1" t="s">
        <v>42</v>
      </c>
      <c r="Y168" s="2" t="s">
        <v>42</v>
      </c>
      <c r="Z168" s="1" t="s">
        <v>2957</v>
      </c>
      <c r="AA168" s="1" t="s">
        <v>42</v>
      </c>
      <c r="AB168" s="1" t="s">
        <v>2958</v>
      </c>
      <c r="AC168" s="1" t="s">
        <v>129</v>
      </c>
      <c r="AD168" s="1">
        <v>7015572543</v>
      </c>
      <c r="AE168" s="1" t="s">
        <v>3506</v>
      </c>
      <c r="AF168" s="1"/>
      <c r="AG168" s="2">
        <v>44998</v>
      </c>
      <c r="AH168" s="1" t="s">
        <v>2812</v>
      </c>
      <c r="AI168" s="1" t="s">
        <v>42</v>
      </c>
      <c r="AJ168" s="1"/>
      <c r="AK168" s="2" t="s">
        <v>42</v>
      </c>
      <c r="AL168" s="1" t="s">
        <v>2806</v>
      </c>
    </row>
    <row r="169" spans="1:38" ht="20.100000000000001" customHeight="1" x14ac:dyDescent="0.2">
      <c r="A169" s="3">
        <f t="shared" si="4"/>
        <v>166</v>
      </c>
      <c r="B169" s="1" t="s">
        <v>1058</v>
      </c>
      <c r="C169" s="1" t="s">
        <v>1059</v>
      </c>
      <c r="D169" s="1" t="s">
        <v>121</v>
      </c>
      <c r="E169" s="1" t="s">
        <v>39</v>
      </c>
      <c r="F169" s="1" t="s">
        <v>40</v>
      </c>
      <c r="G169" s="1" t="s">
        <v>1060</v>
      </c>
      <c r="H169" s="2" t="s">
        <v>42</v>
      </c>
      <c r="I169" s="2">
        <v>37973</v>
      </c>
      <c r="J169" s="7">
        <f t="shared" ca="1" si="5"/>
        <v>19.876712328767123</v>
      </c>
      <c r="K169" s="1" t="s">
        <v>211</v>
      </c>
      <c r="L169" s="1" t="s">
        <v>547</v>
      </c>
      <c r="M169" s="2">
        <v>44710</v>
      </c>
      <c r="N169" s="1">
        <v>2</v>
      </c>
      <c r="O169" s="2">
        <v>44710</v>
      </c>
      <c r="P169" s="1" t="s">
        <v>44</v>
      </c>
      <c r="Q169" s="1" t="s">
        <v>203</v>
      </c>
      <c r="R169" s="1" t="s">
        <v>60</v>
      </c>
      <c r="S169" s="1" t="s">
        <v>47</v>
      </c>
      <c r="T169" s="1">
        <v>8</v>
      </c>
      <c r="U169" s="2" t="s">
        <v>42</v>
      </c>
      <c r="V169" s="2">
        <v>45074</v>
      </c>
      <c r="W169" s="2">
        <v>45076</v>
      </c>
      <c r="X169" s="1" t="s">
        <v>42</v>
      </c>
      <c r="Y169" s="2" t="s">
        <v>42</v>
      </c>
      <c r="Z169" s="1" t="s">
        <v>1061</v>
      </c>
      <c r="AA169" s="1" t="s">
        <v>1062</v>
      </c>
      <c r="AB169" s="1" t="s">
        <v>1063</v>
      </c>
      <c r="AC169" s="1" t="s">
        <v>129</v>
      </c>
      <c r="AD169" s="1">
        <v>7014477116</v>
      </c>
      <c r="AE169" s="1" t="s">
        <v>65</v>
      </c>
      <c r="AF169" s="1" t="s">
        <v>66</v>
      </c>
      <c r="AG169" s="2" t="s">
        <v>42</v>
      </c>
      <c r="AH169" s="1"/>
      <c r="AI169" s="1" t="s">
        <v>42</v>
      </c>
      <c r="AJ169" s="1"/>
      <c r="AK169" s="2" t="s">
        <v>42</v>
      </c>
      <c r="AL169" s="1" t="s">
        <v>3507</v>
      </c>
    </row>
    <row r="170" spans="1:38" ht="20.100000000000001" customHeight="1" x14ac:dyDescent="0.2">
      <c r="A170" s="3">
        <f t="shared" si="4"/>
        <v>167</v>
      </c>
      <c r="B170" s="1" t="s">
        <v>1064</v>
      </c>
      <c r="C170" s="1" t="s">
        <v>1065</v>
      </c>
      <c r="D170" s="1" t="s">
        <v>38</v>
      </c>
      <c r="E170" s="1" t="s">
        <v>54</v>
      </c>
      <c r="F170" s="1" t="s">
        <v>55</v>
      </c>
      <c r="G170" s="1" t="s">
        <v>1066</v>
      </c>
      <c r="H170" s="2">
        <v>45331</v>
      </c>
      <c r="I170" s="2">
        <v>36162</v>
      </c>
      <c r="J170" s="7">
        <f t="shared" ca="1" si="5"/>
        <v>24.838356164383562</v>
      </c>
      <c r="K170" s="1" t="s">
        <v>1067</v>
      </c>
      <c r="L170" s="1" t="s">
        <v>134</v>
      </c>
      <c r="M170" s="2">
        <v>44713</v>
      </c>
      <c r="N170" s="1">
        <v>2</v>
      </c>
      <c r="O170" s="2">
        <v>44713</v>
      </c>
      <c r="P170" s="1" t="s">
        <v>44</v>
      </c>
      <c r="Q170" s="1" t="s">
        <v>59</v>
      </c>
      <c r="R170" s="1" t="s">
        <v>60</v>
      </c>
      <c r="S170" s="1" t="s">
        <v>47</v>
      </c>
      <c r="T170" s="1">
        <v>12</v>
      </c>
      <c r="U170" s="2" t="s">
        <v>42</v>
      </c>
      <c r="V170" s="2">
        <v>45077</v>
      </c>
      <c r="W170" s="2">
        <v>45144</v>
      </c>
      <c r="X170" s="1" t="s">
        <v>1068</v>
      </c>
      <c r="Y170" s="2">
        <v>46318</v>
      </c>
      <c r="Z170" s="1" t="s">
        <v>1069</v>
      </c>
      <c r="AA170" s="1" t="s">
        <v>1070</v>
      </c>
      <c r="AB170" s="1" t="s">
        <v>1071</v>
      </c>
      <c r="AC170" s="1" t="s">
        <v>50</v>
      </c>
      <c r="AD170" s="1">
        <v>7014477116</v>
      </c>
      <c r="AE170" s="1" t="s">
        <v>65</v>
      </c>
      <c r="AF170" s="1" t="s">
        <v>66</v>
      </c>
      <c r="AG170" s="2" t="s">
        <v>42</v>
      </c>
      <c r="AH170" s="1"/>
      <c r="AI170" s="1" t="s">
        <v>42</v>
      </c>
      <c r="AJ170" s="1"/>
      <c r="AK170" s="2" t="s">
        <v>42</v>
      </c>
      <c r="AL170" s="1" t="s">
        <v>3507</v>
      </c>
    </row>
    <row r="171" spans="1:38" ht="20.100000000000001" customHeight="1" x14ac:dyDescent="0.2">
      <c r="A171" s="3">
        <f t="shared" si="4"/>
        <v>168</v>
      </c>
      <c r="B171" s="1" t="s">
        <v>1072</v>
      </c>
      <c r="C171" s="1" t="s">
        <v>1073</v>
      </c>
      <c r="D171" s="1" t="s">
        <v>38</v>
      </c>
      <c r="E171" s="1" t="s">
        <v>69</v>
      </c>
      <c r="F171" s="1" t="s">
        <v>70</v>
      </c>
      <c r="G171" s="1" t="s">
        <v>1074</v>
      </c>
      <c r="H171" s="2">
        <v>45337</v>
      </c>
      <c r="I171" s="2">
        <v>36370</v>
      </c>
      <c r="J171" s="7">
        <f t="shared" ca="1" si="5"/>
        <v>24.268493150684932</v>
      </c>
      <c r="K171" s="1" t="s">
        <v>57</v>
      </c>
      <c r="L171" s="1" t="s">
        <v>134</v>
      </c>
      <c r="M171" s="2">
        <v>44713</v>
      </c>
      <c r="N171" s="1">
        <v>2</v>
      </c>
      <c r="O171" s="2">
        <v>44713</v>
      </c>
      <c r="P171" s="1" t="s">
        <v>721</v>
      </c>
      <c r="Q171" s="1" t="s">
        <v>722</v>
      </c>
      <c r="R171" s="1" t="s">
        <v>60</v>
      </c>
      <c r="S171" s="1" t="s">
        <v>47</v>
      </c>
      <c r="T171" s="1">
        <v>12</v>
      </c>
      <c r="U171" s="2" t="s">
        <v>42</v>
      </c>
      <c r="V171" s="2">
        <v>45077</v>
      </c>
      <c r="W171" s="2">
        <v>45110</v>
      </c>
      <c r="X171" s="1" t="s">
        <v>1075</v>
      </c>
      <c r="Y171" s="2">
        <v>46295</v>
      </c>
      <c r="Z171" s="1" t="s">
        <v>1076</v>
      </c>
      <c r="AA171" s="1" t="s">
        <v>1077</v>
      </c>
      <c r="AB171" s="1" t="s">
        <v>1078</v>
      </c>
      <c r="AC171" s="1" t="s">
        <v>50</v>
      </c>
      <c r="AD171" s="1">
        <v>7015572543</v>
      </c>
      <c r="AE171" s="1" t="s">
        <v>3506</v>
      </c>
      <c r="AF171" s="1" t="s">
        <v>66</v>
      </c>
      <c r="AG171" s="2" t="s">
        <v>42</v>
      </c>
      <c r="AH171" s="1"/>
      <c r="AI171" s="1" t="s">
        <v>42</v>
      </c>
      <c r="AJ171" s="1"/>
      <c r="AK171" s="2" t="s">
        <v>42</v>
      </c>
      <c r="AL171" s="1" t="s">
        <v>3507</v>
      </c>
    </row>
    <row r="172" spans="1:38" ht="20.100000000000001" customHeight="1" x14ac:dyDescent="0.2">
      <c r="A172" s="3">
        <f t="shared" si="4"/>
        <v>169</v>
      </c>
      <c r="B172" s="1" t="s">
        <v>1079</v>
      </c>
      <c r="C172" s="1" t="s">
        <v>1080</v>
      </c>
      <c r="D172" s="1" t="s">
        <v>38</v>
      </c>
      <c r="E172" s="1" t="s">
        <v>54</v>
      </c>
      <c r="F172" s="1" t="s">
        <v>55</v>
      </c>
      <c r="G172" s="1" t="s">
        <v>1081</v>
      </c>
      <c r="H172" s="2">
        <v>45292</v>
      </c>
      <c r="I172" s="2">
        <v>36816</v>
      </c>
      <c r="J172" s="7">
        <f t="shared" ca="1" si="5"/>
        <v>23.046575342465754</v>
      </c>
      <c r="K172" s="1" t="s">
        <v>1082</v>
      </c>
      <c r="L172" s="1" t="s">
        <v>1083</v>
      </c>
      <c r="M172" s="2">
        <v>44716</v>
      </c>
      <c r="N172" s="1">
        <v>2</v>
      </c>
      <c r="O172" s="2">
        <v>44716</v>
      </c>
      <c r="P172" s="1" t="s">
        <v>44</v>
      </c>
      <c r="Q172" s="1" t="s">
        <v>154</v>
      </c>
      <c r="R172" s="1" t="s">
        <v>606</v>
      </c>
      <c r="S172" s="1" t="s">
        <v>47</v>
      </c>
      <c r="T172" s="1">
        <v>8</v>
      </c>
      <c r="U172" s="2" t="s">
        <v>42</v>
      </c>
      <c r="V172" s="2">
        <v>45080</v>
      </c>
      <c r="W172" s="2">
        <v>45142</v>
      </c>
      <c r="X172" s="1" t="s">
        <v>42</v>
      </c>
      <c r="Y172" s="2" t="s">
        <v>42</v>
      </c>
      <c r="Z172" s="1" t="s">
        <v>1084</v>
      </c>
      <c r="AA172" s="1" t="s">
        <v>42</v>
      </c>
      <c r="AB172" s="1" t="s">
        <v>1085</v>
      </c>
      <c r="AC172" s="1" t="s">
        <v>50</v>
      </c>
      <c r="AD172" s="1">
        <v>7009073037</v>
      </c>
      <c r="AE172" s="1" t="s">
        <v>103</v>
      </c>
      <c r="AF172" s="1"/>
      <c r="AG172" s="2" t="s">
        <v>42</v>
      </c>
      <c r="AH172" s="1"/>
      <c r="AI172" s="1" t="s">
        <v>42</v>
      </c>
      <c r="AJ172" s="1"/>
      <c r="AK172" s="2" t="s">
        <v>42</v>
      </c>
      <c r="AL172" s="1" t="s">
        <v>3507</v>
      </c>
    </row>
    <row r="173" spans="1:38" ht="20.100000000000001" customHeight="1" x14ac:dyDescent="0.2">
      <c r="A173" s="3">
        <f t="shared" si="4"/>
        <v>170</v>
      </c>
      <c r="B173" s="1" t="s">
        <v>1086</v>
      </c>
      <c r="C173" s="1" t="s">
        <v>1087</v>
      </c>
      <c r="D173" s="1" t="s">
        <v>38</v>
      </c>
      <c r="E173" s="1" t="s">
        <v>54</v>
      </c>
      <c r="F173" s="1" t="s">
        <v>55</v>
      </c>
      <c r="G173" s="1" t="s">
        <v>1088</v>
      </c>
      <c r="H173" s="2">
        <v>45287</v>
      </c>
      <c r="I173" s="2">
        <v>35360</v>
      </c>
      <c r="J173" s="7">
        <f t="shared" ca="1" si="5"/>
        <v>27.035616438356165</v>
      </c>
      <c r="K173" s="1" t="s">
        <v>1089</v>
      </c>
      <c r="L173" s="1" t="s">
        <v>482</v>
      </c>
      <c r="M173" s="2">
        <v>44718</v>
      </c>
      <c r="N173" s="1">
        <v>2</v>
      </c>
      <c r="O173" s="2">
        <v>44718</v>
      </c>
      <c r="P173" s="1" t="s">
        <v>44</v>
      </c>
      <c r="Q173" s="1" t="s">
        <v>154</v>
      </c>
      <c r="R173" s="1" t="s">
        <v>1090</v>
      </c>
      <c r="S173" s="1" t="s">
        <v>47</v>
      </c>
      <c r="T173" s="1">
        <v>8</v>
      </c>
      <c r="U173" s="2" t="s">
        <v>42</v>
      </c>
      <c r="V173" s="2">
        <v>45082</v>
      </c>
      <c r="W173" s="2" t="s">
        <v>42</v>
      </c>
      <c r="X173" s="1" t="s">
        <v>42</v>
      </c>
      <c r="Y173" s="2" t="s">
        <v>42</v>
      </c>
      <c r="Z173" s="1" t="s">
        <v>1084</v>
      </c>
      <c r="AA173" s="1" t="s">
        <v>42</v>
      </c>
      <c r="AB173" s="1" t="s">
        <v>1091</v>
      </c>
      <c r="AC173" s="1" t="s">
        <v>522</v>
      </c>
      <c r="AD173" s="1">
        <v>7009073037</v>
      </c>
      <c r="AE173" s="1" t="s">
        <v>103</v>
      </c>
      <c r="AF173" s="1"/>
      <c r="AG173" s="2" t="s">
        <v>42</v>
      </c>
      <c r="AH173" s="1"/>
      <c r="AI173" s="1" t="s">
        <v>42</v>
      </c>
      <c r="AJ173" s="1"/>
      <c r="AK173" s="2" t="s">
        <v>42</v>
      </c>
      <c r="AL173" s="1" t="s">
        <v>3507</v>
      </c>
    </row>
    <row r="174" spans="1:38" ht="20.100000000000001" customHeight="1" x14ac:dyDescent="0.2">
      <c r="A174" s="3">
        <f t="shared" si="4"/>
        <v>171</v>
      </c>
      <c r="B174" s="1" t="s">
        <v>1092</v>
      </c>
      <c r="C174" s="1" t="s">
        <v>1093</v>
      </c>
      <c r="D174" s="1" t="s">
        <v>38</v>
      </c>
      <c r="E174" s="1" t="s">
        <v>54</v>
      </c>
      <c r="F174" s="1" t="s">
        <v>55</v>
      </c>
      <c r="G174" s="1" t="s">
        <v>1094</v>
      </c>
      <c r="H174" s="2">
        <v>45364</v>
      </c>
      <c r="I174" s="2">
        <v>35837</v>
      </c>
      <c r="J174" s="7">
        <f t="shared" ca="1" si="5"/>
        <v>25.728767123287671</v>
      </c>
      <c r="K174" s="1" t="s">
        <v>1089</v>
      </c>
      <c r="L174" s="1" t="s">
        <v>134</v>
      </c>
      <c r="M174" s="2">
        <v>44718</v>
      </c>
      <c r="N174" s="1">
        <v>2</v>
      </c>
      <c r="O174" s="2">
        <v>44718</v>
      </c>
      <c r="P174" s="1" t="s">
        <v>44</v>
      </c>
      <c r="Q174" s="1" t="s">
        <v>154</v>
      </c>
      <c r="R174" s="1" t="s">
        <v>1090</v>
      </c>
      <c r="S174" s="1" t="s">
        <v>47</v>
      </c>
      <c r="T174" s="1">
        <v>8</v>
      </c>
      <c r="U174" s="2" t="s">
        <v>42</v>
      </c>
      <c r="V174" s="2">
        <v>45082</v>
      </c>
      <c r="W174" s="2">
        <v>45142</v>
      </c>
      <c r="X174" s="1" t="s">
        <v>42</v>
      </c>
      <c r="Y174" s="2" t="s">
        <v>42</v>
      </c>
      <c r="Z174" s="1" t="s">
        <v>1084</v>
      </c>
      <c r="AA174" s="1" t="s">
        <v>42</v>
      </c>
      <c r="AB174" s="1" t="s">
        <v>1095</v>
      </c>
      <c r="AC174" s="1" t="s">
        <v>266</v>
      </c>
      <c r="AD174" s="1">
        <v>7009073037</v>
      </c>
      <c r="AE174" s="1" t="s">
        <v>103</v>
      </c>
      <c r="AF174" s="1"/>
      <c r="AG174" s="2" t="s">
        <v>42</v>
      </c>
      <c r="AH174" s="1"/>
      <c r="AI174" s="1" t="s">
        <v>42</v>
      </c>
      <c r="AJ174" s="1"/>
      <c r="AK174" s="2" t="s">
        <v>42</v>
      </c>
      <c r="AL174" s="1" t="s">
        <v>3507</v>
      </c>
    </row>
    <row r="175" spans="1:38" ht="20.100000000000001" customHeight="1" x14ac:dyDescent="0.2">
      <c r="A175" s="3">
        <f t="shared" si="4"/>
        <v>172</v>
      </c>
      <c r="B175" s="1" t="s">
        <v>1096</v>
      </c>
      <c r="C175" s="1" t="s">
        <v>1097</v>
      </c>
      <c r="D175" s="1" t="s">
        <v>38</v>
      </c>
      <c r="E175" s="1" t="s">
        <v>54</v>
      </c>
      <c r="F175" s="1" t="s">
        <v>55</v>
      </c>
      <c r="G175" s="1" t="s">
        <v>1098</v>
      </c>
      <c r="H175" s="2">
        <v>45377</v>
      </c>
      <c r="I175" s="2">
        <v>35443</v>
      </c>
      <c r="J175" s="7">
        <f t="shared" ca="1" si="5"/>
        <v>26.80821917808219</v>
      </c>
      <c r="K175" s="1" t="s">
        <v>1082</v>
      </c>
      <c r="L175" s="1" t="s">
        <v>1083</v>
      </c>
      <c r="M175" s="2">
        <v>44722</v>
      </c>
      <c r="N175" s="1">
        <v>2</v>
      </c>
      <c r="O175" s="2">
        <v>44722</v>
      </c>
      <c r="P175" s="1" t="s">
        <v>44</v>
      </c>
      <c r="Q175" s="1" t="s">
        <v>431</v>
      </c>
      <c r="R175" s="1" t="s">
        <v>606</v>
      </c>
      <c r="S175" s="1" t="s">
        <v>47</v>
      </c>
      <c r="T175" s="1">
        <v>8</v>
      </c>
      <c r="U175" s="2" t="s">
        <v>42</v>
      </c>
      <c r="V175" s="2">
        <v>45086</v>
      </c>
      <c r="W175" s="2">
        <v>45144</v>
      </c>
      <c r="X175" s="1" t="s">
        <v>42</v>
      </c>
      <c r="Y175" s="2" t="s">
        <v>42</v>
      </c>
      <c r="Z175" s="1" t="s">
        <v>1084</v>
      </c>
      <c r="AA175" s="1" t="s">
        <v>42</v>
      </c>
      <c r="AB175" s="1" t="s">
        <v>1099</v>
      </c>
      <c r="AC175" s="1" t="s">
        <v>129</v>
      </c>
      <c r="AD175" s="1">
        <v>7009073037</v>
      </c>
      <c r="AE175" s="1" t="s">
        <v>103</v>
      </c>
      <c r="AF175" s="1" t="s">
        <v>436</v>
      </c>
      <c r="AG175" s="2" t="s">
        <v>42</v>
      </c>
      <c r="AH175" s="1"/>
      <c r="AI175" s="1" t="s">
        <v>42</v>
      </c>
      <c r="AJ175" s="1"/>
      <c r="AK175" s="2" t="s">
        <v>42</v>
      </c>
      <c r="AL175" s="1" t="s">
        <v>3507</v>
      </c>
    </row>
    <row r="176" spans="1:38" ht="20.100000000000001" customHeight="1" x14ac:dyDescent="0.2">
      <c r="A176" s="3">
        <f t="shared" si="4"/>
        <v>173</v>
      </c>
      <c r="B176" s="1" t="s">
        <v>1100</v>
      </c>
      <c r="C176" s="1" t="s">
        <v>1101</v>
      </c>
      <c r="D176" s="1" t="s">
        <v>121</v>
      </c>
      <c r="E176" s="1" t="s">
        <v>39</v>
      </c>
      <c r="F176" s="1" t="s">
        <v>40</v>
      </c>
      <c r="G176" s="1" t="s">
        <v>1102</v>
      </c>
      <c r="H176" s="2" t="s">
        <v>42</v>
      </c>
      <c r="I176" s="2">
        <v>36242</v>
      </c>
      <c r="J176" s="7">
        <f t="shared" ca="1" si="5"/>
        <v>24.61917808219178</v>
      </c>
      <c r="K176" s="1" t="s">
        <v>211</v>
      </c>
      <c r="L176" s="1" t="s">
        <v>547</v>
      </c>
      <c r="M176" s="2">
        <v>44725</v>
      </c>
      <c r="N176" s="1">
        <v>2</v>
      </c>
      <c r="O176" s="2">
        <v>44983</v>
      </c>
      <c r="P176" s="1" t="s">
        <v>44</v>
      </c>
      <c r="Q176" s="1" t="s">
        <v>203</v>
      </c>
      <c r="R176" s="1" t="s">
        <v>60</v>
      </c>
      <c r="S176" s="1" t="s">
        <v>47</v>
      </c>
      <c r="T176" s="1">
        <v>8</v>
      </c>
      <c r="U176" s="2" t="s">
        <v>42</v>
      </c>
      <c r="V176" s="2">
        <v>45089</v>
      </c>
      <c r="W176" s="2">
        <v>45095</v>
      </c>
      <c r="X176" s="1" t="s">
        <v>42</v>
      </c>
      <c r="Y176" s="2" t="s">
        <v>42</v>
      </c>
      <c r="Z176" s="1" t="s">
        <v>1103</v>
      </c>
      <c r="AA176" s="1" t="s">
        <v>1104</v>
      </c>
      <c r="AB176" s="1" t="s">
        <v>1105</v>
      </c>
      <c r="AC176" s="1" t="s">
        <v>129</v>
      </c>
      <c r="AD176" s="1">
        <v>7014477116</v>
      </c>
      <c r="AE176" s="1" t="s">
        <v>65</v>
      </c>
      <c r="AF176" s="1" t="s">
        <v>66</v>
      </c>
      <c r="AG176" s="2" t="s">
        <v>42</v>
      </c>
      <c r="AH176" s="1"/>
      <c r="AI176" s="1" t="s">
        <v>42</v>
      </c>
      <c r="AJ176" s="1"/>
      <c r="AK176" s="2" t="s">
        <v>42</v>
      </c>
      <c r="AL176" s="1" t="s">
        <v>3507</v>
      </c>
    </row>
    <row r="177" spans="1:38" ht="20.100000000000001" customHeight="1" x14ac:dyDescent="0.2">
      <c r="A177" s="3">
        <f t="shared" si="4"/>
        <v>174</v>
      </c>
      <c r="B177" s="1" t="s">
        <v>1106</v>
      </c>
      <c r="C177" s="1" t="s">
        <v>1107</v>
      </c>
      <c r="D177" s="1" t="s">
        <v>38</v>
      </c>
      <c r="E177" s="1" t="s">
        <v>69</v>
      </c>
      <c r="F177" s="1" t="s">
        <v>70</v>
      </c>
      <c r="G177" s="1" t="s">
        <v>1108</v>
      </c>
      <c r="H177" s="2">
        <v>45361</v>
      </c>
      <c r="I177" s="2">
        <v>35796</v>
      </c>
      <c r="J177" s="7">
        <f t="shared" ca="1" si="5"/>
        <v>25.841095890410958</v>
      </c>
      <c r="K177" s="1" t="s">
        <v>89</v>
      </c>
      <c r="L177" s="1" t="s">
        <v>416</v>
      </c>
      <c r="M177" s="2">
        <v>44727</v>
      </c>
      <c r="N177" s="1">
        <v>2</v>
      </c>
      <c r="O177" s="2">
        <v>44727</v>
      </c>
      <c r="P177" s="1" t="s">
        <v>44</v>
      </c>
      <c r="Q177" s="1" t="s">
        <v>142</v>
      </c>
      <c r="R177" s="1" t="s">
        <v>60</v>
      </c>
      <c r="S177" s="1" t="s">
        <v>47</v>
      </c>
      <c r="T177" s="1">
        <v>8</v>
      </c>
      <c r="U177" s="2" t="s">
        <v>42</v>
      </c>
      <c r="V177" s="2">
        <v>45091</v>
      </c>
      <c r="W177" s="2" t="s">
        <v>42</v>
      </c>
      <c r="X177" s="1" t="s">
        <v>1109</v>
      </c>
      <c r="Y177" s="2">
        <v>45972</v>
      </c>
      <c r="Z177" s="1" t="s">
        <v>1110</v>
      </c>
      <c r="AA177" s="1" t="s">
        <v>1111</v>
      </c>
      <c r="AB177" s="1" t="s">
        <v>1112</v>
      </c>
      <c r="AC177" s="1" t="s">
        <v>50</v>
      </c>
      <c r="AD177" s="1">
        <v>7009073037</v>
      </c>
      <c r="AE177" s="1" t="s">
        <v>103</v>
      </c>
      <c r="AF177" s="1" t="s">
        <v>147</v>
      </c>
      <c r="AG177" s="2" t="s">
        <v>42</v>
      </c>
      <c r="AH177" s="1"/>
      <c r="AI177" s="1" t="s">
        <v>42</v>
      </c>
      <c r="AJ177" s="1"/>
      <c r="AK177" s="2" t="s">
        <v>42</v>
      </c>
      <c r="AL177" s="1" t="s">
        <v>3507</v>
      </c>
    </row>
    <row r="178" spans="1:38" ht="20.100000000000001" customHeight="1" x14ac:dyDescent="0.2">
      <c r="A178" s="3">
        <f t="shared" si="4"/>
        <v>175</v>
      </c>
      <c r="B178" s="1" t="s">
        <v>2959</v>
      </c>
      <c r="C178" s="1" t="s">
        <v>2960</v>
      </c>
      <c r="D178" s="1" t="s">
        <v>121</v>
      </c>
      <c r="E178" s="1" t="s">
        <v>39</v>
      </c>
      <c r="F178" s="1"/>
      <c r="G178" s="1" t="s">
        <v>2961</v>
      </c>
      <c r="H178" s="2" t="s">
        <v>42</v>
      </c>
      <c r="I178" s="2" t="s">
        <v>42</v>
      </c>
      <c r="J178" s="7"/>
      <c r="K178" s="1" t="s">
        <v>211</v>
      </c>
      <c r="L178" s="1" t="s">
        <v>547</v>
      </c>
      <c r="M178" s="2">
        <v>44727</v>
      </c>
      <c r="N178" s="1">
        <v>2</v>
      </c>
      <c r="O178" s="2">
        <v>44727</v>
      </c>
      <c r="P178" s="1" t="s">
        <v>165</v>
      </c>
      <c r="Q178" s="1" t="s">
        <v>166</v>
      </c>
      <c r="R178" s="1" t="s">
        <v>42</v>
      </c>
      <c r="S178" s="1" t="s">
        <v>47</v>
      </c>
      <c r="T178" s="1">
        <v>12</v>
      </c>
      <c r="U178" s="2" t="s">
        <v>42</v>
      </c>
      <c r="V178" s="2">
        <v>45091</v>
      </c>
      <c r="W178" s="2" t="s">
        <v>42</v>
      </c>
      <c r="X178" s="1" t="s">
        <v>42</v>
      </c>
      <c r="Y178" s="2" t="s">
        <v>42</v>
      </c>
      <c r="Z178" s="1" t="s">
        <v>42</v>
      </c>
      <c r="AA178" s="1" t="s">
        <v>42</v>
      </c>
      <c r="AB178" s="1" t="s">
        <v>2962</v>
      </c>
      <c r="AC178" s="1" t="s">
        <v>983</v>
      </c>
      <c r="AD178" s="1">
        <v>7014477116</v>
      </c>
      <c r="AE178" s="1" t="s">
        <v>65</v>
      </c>
      <c r="AF178" s="1"/>
      <c r="AG178" s="2">
        <v>44777</v>
      </c>
      <c r="AH178" s="1" t="s">
        <v>2812</v>
      </c>
      <c r="AI178" s="1" t="s">
        <v>42</v>
      </c>
      <c r="AJ178" s="1"/>
      <c r="AK178" s="2" t="s">
        <v>42</v>
      </c>
      <c r="AL178" s="1" t="s">
        <v>2806</v>
      </c>
    </row>
    <row r="179" spans="1:38" ht="20.100000000000001" customHeight="1" x14ac:dyDescent="0.2">
      <c r="A179" s="3">
        <f t="shared" si="4"/>
        <v>176</v>
      </c>
      <c r="B179" s="1" t="s">
        <v>2963</v>
      </c>
      <c r="C179" s="1" t="s">
        <v>2964</v>
      </c>
      <c r="D179" s="1" t="s">
        <v>38</v>
      </c>
      <c r="E179" s="1" t="s">
        <v>39</v>
      </c>
      <c r="F179" s="1"/>
      <c r="G179" s="1" t="s">
        <v>2965</v>
      </c>
      <c r="H179" s="2">
        <v>46218</v>
      </c>
      <c r="I179" s="2">
        <v>37237</v>
      </c>
      <c r="J179" s="7">
        <f t="shared" ca="1" si="5"/>
        <v>21.893150684931506</v>
      </c>
      <c r="K179" s="1" t="s">
        <v>211</v>
      </c>
      <c r="L179" s="1" t="s">
        <v>547</v>
      </c>
      <c r="M179" s="2">
        <v>44728</v>
      </c>
      <c r="N179" s="1">
        <v>2</v>
      </c>
      <c r="O179" s="2">
        <v>44728</v>
      </c>
      <c r="P179" s="1" t="s">
        <v>44</v>
      </c>
      <c r="Q179" s="1" t="s">
        <v>475</v>
      </c>
      <c r="R179" s="1" t="s">
        <v>42</v>
      </c>
      <c r="S179" s="1" t="s">
        <v>47</v>
      </c>
      <c r="T179" s="1">
        <v>12</v>
      </c>
      <c r="U179" s="2" t="s">
        <v>42</v>
      </c>
      <c r="V179" s="2">
        <v>45092</v>
      </c>
      <c r="W179" s="2" t="s">
        <v>42</v>
      </c>
      <c r="X179" s="1" t="s">
        <v>42</v>
      </c>
      <c r="Y179" s="2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>
        <v>7004853987</v>
      </c>
      <c r="AE179" s="1" t="s">
        <v>471</v>
      </c>
      <c r="AF179" s="1"/>
      <c r="AG179" s="2">
        <v>44786</v>
      </c>
      <c r="AH179" s="1" t="s">
        <v>2812</v>
      </c>
      <c r="AI179" s="1" t="s">
        <v>42</v>
      </c>
      <c r="AJ179" s="1"/>
      <c r="AK179" s="2" t="s">
        <v>42</v>
      </c>
      <c r="AL179" s="1" t="s">
        <v>2806</v>
      </c>
    </row>
    <row r="180" spans="1:38" ht="20.100000000000001" customHeight="1" x14ac:dyDescent="0.2">
      <c r="A180" s="3">
        <f t="shared" si="4"/>
        <v>177</v>
      </c>
      <c r="B180" s="1" t="s">
        <v>1113</v>
      </c>
      <c r="C180" s="1" t="s">
        <v>1114</v>
      </c>
      <c r="D180" s="1" t="s">
        <v>38</v>
      </c>
      <c r="E180" s="1" t="s">
        <v>54</v>
      </c>
      <c r="F180" s="1" t="s">
        <v>55</v>
      </c>
      <c r="G180" s="1" t="s">
        <v>1115</v>
      </c>
      <c r="H180" s="2">
        <v>45288</v>
      </c>
      <c r="I180" s="2">
        <v>34335</v>
      </c>
      <c r="J180" s="7">
        <f t="shared" ca="1" si="5"/>
        <v>29.843835616438355</v>
      </c>
      <c r="K180" s="1" t="s">
        <v>57</v>
      </c>
      <c r="L180" s="1" t="s">
        <v>57</v>
      </c>
      <c r="M180" s="2">
        <v>44733</v>
      </c>
      <c r="N180" s="1">
        <v>2</v>
      </c>
      <c r="O180" s="2" t="s">
        <v>42</v>
      </c>
      <c r="P180" s="1" t="s">
        <v>165</v>
      </c>
      <c r="Q180" s="1" t="s">
        <v>166</v>
      </c>
      <c r="R180" s="1" t="s">
        <v>60</v>
      </c>
      <c r="S180" s="1" t="s">
        <v>47</v>
      </c>
      <c r="T180" s="1" t="s">
        <v>42</v>
      </c>
      <c r="U180" s="2" t="s">
        <v>42</v>
      </c>
      <c r="V180" s="2">
        <v>45097</v>
      </c>
      <c r="W180" s="2" t="s">
        <v>42</v>
      </c>
      <c r="X180" s="1" t="s">
        <v>42</v>
      </c>
      <c r="Y180" s="2" t="s">
        <v>42</v>
      </c>
      <c r="Z180" s="1" t="s">
        <v>1116</v>
      </c>
      <c r="AA180" s="1" t="s">
        <v>42</v>
      </c>
      <c r="AB180" s="1" t="s">
        <v>1117</v>
      </c>
      <c r="AC180" s="1" t="s">
        <v>50</v>
      </c>
      <c r="AD180" s="1">
        <v>7014477116</v>
      </c>
      <c r="AE180" s="1" t="s">
        <v>65</v>
      </c>
      <c r="AF180" s="1" t="s">
        <v>66</v>
      </c>
      <c r="AG180" s="2" t="s">
        <v>42</v>
      </c>
      <c r="AH180" s="1"/>
      <c r="AI180" s="1" t="s">
        <v>42</v>
      </c>
      <c r="AJ180" s="1"/>
      <c r="AK180" s="2" t="s">
        <v>42</v>
      </c>
      <c r="AL180" s="1" t="s">
        <v>3507</v>
      </c>
    </row>
    <row r="181" spans="1:38" ht="20.100000000000001" customHeight="1" x14ac:dyDescent="0.2">
      <c r="A181" s="3">
        <f t="shared" si="4"/>
        <v>178</v>
      </c>
      <c r="B181" s="1" t="s">
        <v>1118</v>
      </c>
      <c r="C181" s="1" t="s">
        <v>1119</v>
      </c>
      <c r="D181" s="1" t="s">
        <v>38</v>
      </c>
      <c r="E181" s="1" t="s">
        <v>54</v>
      </c>
      <c r="F181" s="1" t="s">
        <v>55</v>
      </c>
      <c r="G181" s="1" t="s">
        <v>1120</v>
      </c>
      <c r="H181" s="2">
        <v>45270</v>
      </c>
      <c r="I181" s="2">
        <v>36345</v>
      </c>
      <c r="J181" s="7">
        <f t="shared" ca="1" si="5"/>
        <v>24.336986301369862</v>
      </c>
      <c r="K181" s="1" t="s">
        <v>1121</v>
      </c>
      <c r="L181" s="1" t="s">
        <v>1083</v>
      </c>
      <c r="M181" s="2">
        <v>44735</v>
      </c>
      <c r="N181" s="1">
        <v>2</v>
      </c>
      <c r="O181" s="2">
        <v>44735</v>
      </c>
      <c r="P181" s="1" t="s">
        <v>44</v>
      </c>
      <c r="Q181" s="1" t="s">
        <v>431</v>
      </c>
      <c r="R181" s="1" t="s">
        <v>1122</v>
      </c>
      <c r="S181" s="1" t="s">
        <v>47</v>
      </c>
      <c r="T181" s="1">
        <v>8</v>
      </c>
      <c r="U181" s="2" t="s">
        <v>42</v>
      </c>
      <c r="V181" s="2">
        <v>45099</v>
      </c>
      <c r="W181" s="2" t="s">
        <v>42</v>
      </c>
      <c r="X181" s="1" t="s">
        <v>42</v>
      </c>
      <c r="Y181" s="2" t="s">
        <v>42</v>
      </c>
      <c r="Z181" s="1" t="s">
        <v>1084</v>
      </c>
      <c r="AA181" s="1" t="s">
        <v>42</v>
      </c>
      <c r="AB181" s="1" t="s">
        <v>1123</v>
      </c>
      <c r="AC181" s="1" t="s">
        <v>522</v>
      </c>
      <c r="AD181" s="1">
        <v>7009073037</v>
      </c>
      <c r="AE181" s="1" t="s">
        <v>103</v>
      </c>
      <c r="AF181" s="1" t="s">
        <v>436</v>
      </c>
      <c r="AG181" s="2" t="s">
        <v>42</v>
      </c>
      <c r="AH181" s="1"/>
      <c r="AI181" s="1" t="s">
        <v>42</v>
      </c>
      <c r="AJ181" s="1"/>
      <c r="AK181" s="2" t="s">
        <v>42</v>
      </c>
      <c r="AL181" s="1" t="s">
        <v>3507</v>
      </c>
    </row>
    <row r="182" spans="1:38" ht="20.100000000000001" customHeight="1" x14ac:dyDescent="0.2">
      <c r="A182" s="3">
        <f t="shared" si="4"/>
        <v>179</v>
      </c>
      <c r="B182" s="1" t="s">
        <v>1124</v>
      </c>
      <c r="C182" s="1" t="s">
        <v>1125</v>
      </c>
      <c r="D182" s="1" t="s">
        <v>38</v>
      </c>
      <c r="E182" s="1" t="s">
        <v>69</v>
      </c>
      <c r="F182" s="1" t="s">
        <v>70</v>
      </c>
      <c r="G182" s="1" t="s">
        <v>1126</v>
      </c>
      <c r="H182" s="2">
        <v>45291</v>
      </c>
      <c r="I182" s="2">
        <v>35584</v>
      </c>
      <c r="J182" s="7">
        <f t="shared" ca="1" si="5"/>
        <v>26.421917808219177</v>
      </c>
      <c r="K182" s="1" t="s">
        <v>240</v>
      </c>
      <c r="L182" s="1" t="s">
        <v>1127</v>
      </c>
      <c r="M182" s="2">
        <v>44738</v>
      </c>
      <c r="N182" s="1">
        <v>2</v>
      </c>
      <c r="O182" s="2">
        <v>44738</v>
      </c>
      <c r="P182" s="1" t="s">
        <v>44</v>
      </c>
      <c r="Q182" s="1" t="s">
        <v>66</v>
      </c>
      <c r="R182" s="1" t="s">
        <v>60</v>
      </c>
      <c r="S182" s="1" t="s">
        <v>47</v>
      </c>
      <c r="T182" s="1">
        <v>8</v>
      </c>
      <c r="U182" s="2" t="s">
        <v>42</v>
      </c>
      <c r="V182" s="2">
        <v>45102</v>
      </c>
      <c r="W182" s="2" t="s">
        <v>42</v>
      </c>
      <c r="X182" s="1" t="s">
        <v>1128</v>
      </c>
      <c r="Y182" s="2">
        <v>46659</v>
      </c>
      <c r="Z182" s="1" t="s">
        <v>1129</v>
      </c>
      <c r="AA182" s="1" t="s">
        <v>42</v>
      </c>
      <c r="AB182" s="1" t="s">
        <v>1130</v>
      </c>
      <c r="AC182" s="1" t="s">
        <v>50</v>
      </c>
      <c r="AD182" s="1">
        <v>7014477116</v>
      </c>
      <c r="AE182" s="1" t="s">
        <v>65</v>
      </c>
      <c r="AF182" s="1" t="s">
        <v>66</v>
      </c>
      <c r="AG182" s="2" t="s">
        <v>42</v>
      </c>
      <c r="AH182" s="1"/>
      <c r="AI182" s="1" t="s">
        <v>42</v>
      </c>
      <c r="AJ182" s="1"/>
      <c r="AK182" s="2" t="s">
        <v>42</v>
      </c>
      <c r="AL182" s="1" t="s">
        <v>3507</v>
      </c>
    </row>
    <row r="183" spans="1:38" ht="20.100000000000001" customHeight="1" x14ac:dyDescent="0.2">
      <c r="A183" s="3">
        <f t="shared" si="4"/>
        <v>180</v>
      </c>
      <c r="B183" s="1" t="s">
        <v>2966</v>
      </c>
      <c r="C183" s="1" t="s">
        <v>2967</v>
      </c>
      <c r="D183" s="1" t="s">
        <v>38</v>
      </c>
      <c r="E183" s="1" t="s">
        <v>39</v>
      </c>
      <c r="F183" s="1"/>
      <c r="G183" s="1" t="s">
        <v>2968</v>
      </c>
      <c r="H183" s="2">
        <v>45439</v>
      </c>
      <c r="I183" s="2">
        <v>37726</v>
      </c>
      <c r="J183" s="7">
        <f t="shared" ca="1" si="5"/>
        <v>20.553424657534247</v>
      </c>
      <c r="K183" s="1" t="s">
        <v>211</v>
      </c>
      <c r="L183" s="1" t="s">
        <v>547</v>
      </c>
      <c r="M183" s="2">
        <v>44741</v>
      </c>
      <c r="N183" s="1">
        <v>2</v>
      </c>
      <c r="O183" s="2">
        <v>44741</v>
      </c>
      <c r="P183" s="1" t="s">
        <v>44</v>
      </c>
      <c r="Q183" s="1" t="s">
        <v>466</v>
      </c>
      <c r="R183" s="1" t="s">
        <v>42</v>
      </c>
      <c r="S183" s="1" t="s">
        <v>47</v>
      </c>
      <c r="T183" s="1">
        <v>12</v>
      </c>
      <c r="U183" s="2" t="s">
        <v>42</v>
      </c>
      <c r="V183" s="2">
        <v>45105</v>
      </c>
      <c r="W183" s="2" t="s">
        <v>42</v>
      </c>
      <c r="X183" s="1" t="s">
        <v>42</v>
      </c>
      <c r="Y183" s="2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>
        <v>7004853987</v>
      </c>
      <c r="AE183" s="1" t="s">
        <v>471</v>
      </c>
      <c r="AF183" s="1"/>
      <c r="AG183" s="2">
        <v>44786</v>
      </c>
      <c r="AH183" s="1" t="s">
        <v>2812</v>
      </c>
      <c r="AI183" s="1" t="s">
        <v>42</v>
      </c>
      <c r="AJ183" s="1"/>
      <c r="AK183" s="2" t="s">
        <v>42</v>
      </c>
      <c r="AL183" s="1" t="s">
        <v>2806</v>
      </c>
    </row>
    <row r="184" spans="1:38" ht="20.100000000000001" customHeight="1" x14ac:dyDescent="0.2">
      <c r="A184" s="3">
        <f t="shared" si="4"/>
        <v>181</v>
      </c>
      <c r="B184" s="1" t="s">
        <v>2969</v>
      </c>
      <c r="C184" s="1" t="s">
        <v>2970</v>
      </c>
      <c r="D184" s="1" t="s">
        <v>38</v>
      </c>
      <c r="E184" s="1" t="s">
        <v>39</v>
      </c>
      <c r="F184" s="1"/>
      <c r="G184" s="1" t="s">
        <v>2971</v>
      </c>
      <c r="H184" s="2" t="s">
        <v>42</v>
      </c>
      <c r="I184" s="2" t="s">
        <v>42</v>
      </c>
      <c r="J184" s="7"/>
      <c r="K184" s="1" t="s">
        <v>211</v>
      </c>
      <c r="L184" s="1" t="s">
        <v>547</v>
      </c>
      <c r="M184" s="2">
        <v>44755</v>
      </c>
      <c r="N184" s="1">
        <v>2</v>
      </c>
      <c r="O184" s="2">
        <v>44755</v>
      </c>
      <c r="P184" s="1" t="s">
        <v>44</v>
      </c>
      <c r="Q184" s="1" t="s">
        <v>59</v>
      </c>
      <c r="R184" s="1" t="s">
        <v>42</v>
      </c>
      <c r="S184" s="1" t="s">
        <v>47</v>
      </c>
      <c r="T184" s="1">
        <v>12</v>
      </c>
      <c r="U184" s="2" t="s">
        <v>42</v>
      </c>
      <c r="V184" s="2">
        <v>45119</v>
      </c>
      <c r="W184" s="2" t="s">
        <v>42</v>
      </c>
      <c r="X184" s="1" t="s">
        <v>42</v>
      </c>
      <c r="Y184" s="2" t="s">
        <v>42</v>
      </c>
      <c r="Z184" s="1" t="s">
        <v>2972</v>
      </c>
      <c r="AA184" s="1" t="s">
        <v>2973</v>
      </c>
      <c r="AB184" s="1" t="s">
        <v>2974</v>
      </c>
      <c r="AC184" s="1" t="s">
        <v>129</v>
      </c>
      <c r="AD184" s="1">
        <v>7014477116</v>
      </c>
      <c r="AE184" s="1" t="s">
        <v>65</v>
      </c>
      <c r="AF184" s="1"/>
      <c r="AG184" s="2">
        <v>44801</v>
      </c>
      <c r="AH184" s="1" t="s">
        <v>2812</v>
      </c>
      <c r="AI184" s="1" t="s">
        <v>42</v>
      </c>
      <c r="AJ184" s="1"/>
      <c r="AK184" s="2" t="s">
        <v>42</v>
      </c>
      <c r="AL184" s="1" t="s">
        <v>2806</v>
      </c>
    </row>
    <row r="185" spans="1:38" ht="20.100000000000001" customHeight="1" x14ac:dyDescent="0.2">
      <c r="A185" s="3">
        <f t="shared" si="4"/>
        <v>182</v>
      </c>
      <c r="B185" s="1" t="s">
        <v>1131</v>
      </c>
      <c r="C185" s="1" t="s">
        <v>1132</v>
      </c>
      <c r="D185" s="1" t="s">
        <v>38</v>
      </c>
      <c r="E185" s="1" t="s">
        <v>150</v>
      </c>
      <c r="F185" s="1" t="s">
        <v>70</v>
      </c>
      <c r="G185" s="1" t="s">
        <v>1133</v>
      </c>
      <c r="H185" s="2">
        <v>45523</v>
      </c>
      <c r="I185" s="2">
        <v>30964</v>
      </c>
      <c r="J185" s="7">
        <f t="shared" ca="1" si="5"/>
        <v>39.079452054794523</v>
      </c>
      <c r="K185" s="1" t="s">
        <v>1134</v>
      </c>
      <c r="L185" s="1" t="s">
        <v>1135</v>
      </c>
      <c r="M185" s="2">
        <v>44755</v>
      </c>
      <c r="N185" s="1">
        <v>2</v>
      </c>
      <c r="O185" s="2">
        <v>45170</v>
      </c>
      <c r="P185" s="1" t="s">
        <v>44</v>
      </c>
      <c r="Q185" s="1" t="s">
        <v>178</v>
      </c>
      <c r="R185" s="1" t="s">
        <v>42</v>
      </c>
      <c r="S185" s="1" t="s">
        <v>47</v>
      </c>
      <c r="T185" s="1">
        <v>8</v>
      </c>
      <c r="U185" s="2">
        <v>44755</v>
      </c>
      <c r="V185" s="2">
        <v>45119</v>
      </c>
      <c r="W185" s="2" t="s">
        <v>42</v>
      </c>
      <c r="X185" s="1" t="s">
        <v>1136</v>
      </c>
      <c r="Y185" s="2">
        <v>47119</v>
      </c>
      <c r="Z185" s="1" t="s">
        <v>1137</v>
      </c>
      <c r="AA185" s="1" t="s">
        <v>42</v>
      </c>
      <c r="AB185" s="1" t="s">
        <v>1138</v>
      </c>
      <c r="AC185" s="1" t="s">
        <v>522</v>
      </c>
      <c r="AD185" s="1">
        <v>7021202564</v>
      </c>
      <c r="AE185" s="1" t="s">
        <v>567</v>
      </c>
      <c r="AF185" s="1"/>
      <c r="AG185" s="2" t="s">
        <v>42</v>
      </c>
      <c r="AH185" s="1"/>
      <c r="AI185" s="1" t="s">
        <v>42</v>
      </c>
      <c r="AJ185" s="1"/>
      <c r="AK185" s="2" t="s">
        <v>42</v>
      </c>
      <c r="AL185" s="1" t="s">
        <v>514</v>
      </c>
    </row>
    <row r="186" spans="1:38" ht="20.100000000000001" customHeight="1" x14ac:dyDescent="0.2">
      <c r="A186" s="3">
        <f t="shared" si="4"/>
        <v>183</v>
      </c>
      <c r="B186" s="1" t="s">
        <v>1139</v>
      </c>
      <c r="C186" s="1" t="s">
        <v>1140</v>
      </c>
      <c r="D186" s="1" t="s">
        <v>38</v>
      </c>
      <c r="E186" s="1" t="s">
        <v>54</v>
      </c>
      <c r="F186" s="1" t="s">
        <v>55</v>
      </c>
      <c r="G186" s="1" t="s">
        <v>1141</v>
      </c>
      <c r="H186" s="2">
        <v>45271</v>
      </c>
      <c r="I186" s="2">
        <v>33069</v>
      </c>
      <c r="J186" s="7">
        <f t="shared" ca="1" si="5"/>
        <v>33.31232876712329</v>
      </c>
      <c r="K186" s="1" t="s">
        <v>1067</v>
      </c>
      <c r="L186" s="1" t="s">
        <v>134</v>
      </c>
      <c r="M186" s="2">
        <v>44755</v>
      </c>
      <c r="N186" s="1">
        <v>2</v>
      </c>
      <c r="O186" s="2" t="s">
        <v>42</v>
      </c>
      <c r="P186" s="1" t="s">
        <v>44</v>
      </c>
      <c r="Q186" s="1" t="s">
        <v>203</v>
      </c>
      <c r="R186" s="1" t="s">
        <v>60</v>
      </c>
      <c r="S186" s="1" t="s">
        <v>47</v>
      </c>
      <c r="T186" s="1" t="s">
        <v>42</v>
      </c>
      <c r="U186" s="2" t="s">
        <v>42</v>
      </c>
      <c r="V186" s="2">
        <v>45119</v>
      </c>
      <c r="W186" s="2">
        <v>45321</v>
      </c>
      <c r="X186" s="1" t="s">
        <v>42</v>
      </c>
      <c r="Y186" s="2" t="s">
        <v>42</v>
      </c>
      <c r="Z186" s="1" t="s">
        <v>1142</v>
      </c>
      <c r="AA186" s="1" t="s">
        <v>1143</v>
      </c>
      <c r="AB186" s="1" t="s">
        <v>1144</v>
      </c>
      <c r="AC186" s="1" t="s">
        <v>50</v>
      </c>
      <c r="AD186" s="1">
        <v>7014477116</v>
      </c>
      <c r="AE186" s="1" t="s">
        <v>65</v>
      </c>
      <c r="AF186" s="1" t="s">
        <v>66</v>
      </c>
      <c r="AG186" s="2" t="s">
        <v>42</v>
      </c>
      <c r="AH186" s="1"/>
      <c r="AI186" s="1" t="s">
        <v>42</v>
      </c>
      <c r="AJ186" s="1"/>
      <c r="AK186" s="2" t="s">
        <v>42</v>
      </c>
      <c r="AL186" s="1" t="s">
        <v>3507</v>
      </c>
    </row>
    <row r="187" spans="1:38" ht="20.100000000000001" customHeight="1" x14ac:dyDescent="0.2">
      <c r="A187" s="3">
        <f t="shared" si="4"/>
        <v>184</v>
      </c>
      <c r="B187" s="1" t="s">
        <v>1145</v>
      </c>
      <c r="C187" s="1" t="s">
        <v>1146</v>
      </c>
      <c r="D187" s="1" t="s">
        <v>38</v>
      </c>
      <c r="E187" s="1" t="s">
        <v>1147</v>
      </c>
      <c r="F187" s="1" t="s">
        <v>70</v>
      </c>
      <c r="G187" s="1" t="s">
        <v>1148</v>
      </c>
      <c r="H187" s="2">
        <v>45299</v>
      </c>
      <c r="I187" s="2">
        <v>35748</v>
      </c>
      <c r="J187" s="7">
        <f t="shared" ca="1" si="5"/>
        <v>25.972602739726028</v>
      </c>
      <c r="K187" s="1" t="s">
        <v>1149</v>
      </c>
      <c r="L187" s="1" t="s">
        <v>1150</v>
      </c>
      <c r="M187" s="2">
        <v>44758</v>
      </c>
      <c r="N187" s="1">
        <v>2</v>
      </c>
      <c r="O187" s="2">
        <v>44758</v>
      </c>
      <c r="P187" s="1" t="s">
        <v>44</v>
      </c>
      <c r="Q187" s="1" t="s">
        <v>154</v>
      </c>
      <c r="R187" s="1" t="s">
        <v>606</v>
      </c>
      <c r="S187" s="1" t="s">
        <v>47</v>
      </c>
      <c r="T187" s="1">
        <v>8</v>
      </c>
      <c r="U187" s="2" t="s">
        <v>42</v>
      </c>
      <c r="V187" s="2">
        <v>45122</v>
      </c>
      <c r="W187" s="2">
        <v>45142</v>
      </c>
      <c r="X187" s="1" t="s">
        <v>1151</v>
      </c>
      <c r="Y187" s="2">
        <v>45202</v>
      </c>
      <c r="Z187" s="1" t="s">
        <v>1152</v>
      </c>
      <c r="AA187" s="1" t="s">
        <v>1153</v>
      </c>
      <c r="AB187" s="1" t="s">
        <v>1154</v>
      </c>
      <c r="AC187" s="1" t="s">
        <v>50</v>
      </c>
      <c r="AD187" s="1">
        <v>7009073037</v>
      </c>
      <c r="AE187" s="1" t="s">
        <v>103</v>
      </c>
      <c r="AF187" s="1"/>
      <c r="AG187" s="2" t="s">
        <v>42</v>
      </c>
      <c r="AH187" s="1"/>
      <c r="AI187" s="1" t="s">
        <v>42</v>
      </c>
      <c r="AJ187" s="1"/>
      <c r="AK187" s="2" t="s">
        <v>42</v>
      </c>
      <c r="AL187" s="1" t="s">
        <v>3507</v>
      </c>
    </row>
    <row r="188" spans="1:38" ht="20.100000000000001" customHeight="1" x14ac:dyDescent="0.2">
      <c r="A188" s="3">
        <f t="shared" si="4"/>
        <v>185</v>
      </c>
      <c r="B188" s="1" t="s">
        <v>1155</v>
      </c>
      <c r="C188" s="1" t="s">
        <v>1156</v>
      </c>
      <c r="D188" s="1" t="s">
        <v>38</v>
      </c>
      <c r="E188" s="1" t="s">
        <v>69</v>
      </c>
      <c r="F188" s="1" t="s">
        <v>70</v>
      </c>
      <c r="G188" s="1" t="s">
        <v>1157</v>
      </c>
      <c r="H188" s="2">
        <v>45442</v>
      </c>
      <c r="I188" s="2">
        <v>35982</v>
      </c>
      <c r="J188" s="7">
        <f t="shared" ca="1" si="5"/>
        <v>25.331506849315069</v>
      </c>
      <c r="K188" s="1" t="s">
        <v>908</v>
      </c>
      <c r="L188" s="1" t="s">
        <v>1158</v>
      </c>
      <c r="M188" s="2">
        <v>44762</v>
      </c>
      <c r="N188" s="1">
        <v>2</v>
      </c>
      <c r="O188" s="2">
        <v>44762</v>
      </c>
      <c r="P188" s="1" t="s">
        <v>44</v>
      </c>
      <c r="Q188" s="1" t="s">
        <v>178</v>
      </c>
      <c r="R188" s="1" t="s">
        <v>179</v>
      </c>
      <c r="S188" s="1" t="s">
        <v>47</v>
      </c>
      <c r="T188" s="1">
        <v>8</v>
      </c>
      <c r="U188" s="2" t="s">
        <v>42</v>
      </c>
      <c r="V188" s="2">
        <v>45126</v>
      </c>
      <c r="W188" s="2" t="s">
        <v>42</v>
      </c>
      <c r="X188" s="1" t="s">
        <v>1159</v>
      </c>
      <c r="Y188" s="2">
        <v>46531</v>
      </c>
      <c r="Z188" s="1" t="s">
        <v>1160</v>
      </c>
      <c r="AA188" s="1" t="s">
        <v>1161</v>
      </c>
      <c r="AB188" s="1" t="s">
        <v>1162</v>
      </c>
      <c r="AC188" s="1" t="s">
        <v>129</v>
      </c>
      <c r="AD188" s="1">
        <v>7021202564</v>
      </c>
      <c r="AE188" s="1" t="s">
        <v>567</v>
      </c>
      <c r="AF188" s="1"/>
      <c r="AG188" s="2" t="s">
        <v>42</v>
      </c>
      <c r="AH188" s="1"/>
      <c r="AI188" s="1" t="s">
        <v>42</v>
      </c>
      <c r="AJ188" s="1"/>
      <c r="AK188" s="2" t="s">
        <v>42</v>
      </c>
      <c r="AL188" s="1" t="s">
        <v>3507</v>
      </c>
    </row>
    <row r="189" spans="1:38" ht="20.100000000000001" customHeight="1" x14ac:dyDescent="0.2">
      <c r="A189" s="3">
        <f t="shared" si="4"/>
        <v>186</v>
      </c>
      <c r="B189" s="1" t="s">
        <v>1163</v>
      </c>
      <c r="C189" s="1" t="s">
        <v>1164</v>
      </c>
      <c r="D189" s="1" t="s">
        <v>38</v>
      </c>
      <c r="E189" s="1" t="s">
        <v>150</v>
      </c>
      <c r="F189" s="1" t="s">
        <v>70</v>
      </c>
      <c r="G189" s="1" t="s">
        <v>1165</v>
      </c>
      <c r="H189" s="2">
        <v>45312</v>
      </c>
      <c r="I189" s="2">
        <v>34941</v>
      </c>
      <c r="J189" s="7">
        <f t="shared" ca="1" si="5"/>
        <v>28.183561643835617</v>
      </c>
      <c r="K189" s="1" t="s">
        <v>667</v>
      </c>
      <c r="L189" s="1" t="s">
        <v>1166</v>
      </c>
      <c r="M189" s="2">
        <v>44762</v>
      </c>
      <c r="N189" s="1">
        <v>2</v>
      </c>
      <c r="O189" s="2">
        <v>45069</v>
      </c>
      <c r="P189" s="1" t="s">
        <v>44</v>
      </c>
      <c r="Q189" s="1" t="s">
        <v>178</v>
      </c>
      <c r="R189" s="1" t="s">
        <v>179</v>
      </c>
      <c r="S189" s="1" t="s">
        <v>47</v>
      </c>
      <c r="T189" s="1">
        <v>8</v>
      </c>
      <c r="U189" s="2" t="s">
        <v>42</v>
      </c>
      <c r="V189" s="2">
        <v>45126</v>
      </c>
      <c r="W189" s="2" t="s">
        <v>42</v>
      </c>
      <c r="X189" s="1" t="s">
        <v>42</v>
      </c>
      <c r="Y189" s="2" t="s">
        <v>42</v>
      </c>
      <c r="Z189" s="1" t="s">
        <v>1167</v>
      </c>
      <c r="AA189" s="1" t="s">
        <v>1168</v>
      </c>
      <c r="AB189" s="1" t="s">
        <v>1169</v>
      </c>
      <c r="AC189" s="1" t="s">
        <v>129</v>
      </c>
      <c r="AD189" s="1">
        <v>7021202564</v>
      </c>
      <c r="AE189" s="1" t="s">
        <v>567</v>
      </c>
      <c r="AF189" s="1"/>
      <c r="AG189" s="2" t="s">
        <v>42</v>
      </c>
      <c r="AH189" s="1" t="s">
        <v>536</v>
      </c>
      <c r="AI189" s="1" t="s">
        <v>42</v>
      </c>
      <c r="AJ189" s="1"/>
      <c r="AK189" s="2" t="s">
        <v>42</v>
      </c>
      <c r="AL189" s="1" t="s">
        <v>3507</v>
      </c>
    </row>
    <row r="190" spans="1:38" ht="20.100000000000001" customHeight="1" x14ac:dyDescent="0.2">
      <c r="A190" s="3">
        <f t="shared" si="4"/>
        <v>187</v>
      </c>
      <c r="B190" s="1" t="s">
        <v>1170</v>
      </c>
      <c r="C190" s="1" t="s">
        <v>1171</v>
      </c>
      <c r="D190" s="1" t="s">
        <v>38</v>
      </c>
      <c r="E190" s="1" t="s">
        <v>54</v>
      </c>
      <c r="F190" s="1" t="s">
        <v>55</v>
      </c>
      <c r="G190" s="1" t="s">
        <v>1172</v>
      </c>
      <c r="H190" s="2">
        <v>45349</v>
      </c>
      <c r="I190" s="2">
        <v>32212</v>
      </c>
      <c r="J190" s="7">
        <f t="shared" ca="1" si="5"/>
        <v>35.660273972602738</v>
      </c>
      <c r="K190" s="1" t="s">
        <v>1089</v>
      </c>
      <c r="L190" s="1" t="s">
        <v>482</v>
      </c>
      <c r="M190" s="2">
        <v>44768</v>
      </c>
      <c r="N190" s="1">
        <v>2</v>
      </c>
      <c r="O190" s="2">
        <v>44768</v>
      </c>
      <c r="P190" s="1" t="s">
        <v>44</v>
      </c>
      <c r="Q190" s="1" t="s">
        <v>431</v>
      </c>
      <c r="R190" s="1" t="s">
        <v>606</v>
      </c>
      <c r="S190" s="1" t="s">
        <v>47</v>
      </c>
      <c r="T190" s="1">
        <v>8</v>
      </c>
      <c r="U190" s="2" t="s">
        <v>42</v>
      </c>
      <c r="V190" s="2">
        <v>45132</v>
      </c>
      <c r="W190" s="2">
        <v>45142</v>
      </c>
      <c r="X190" s="1" t="s">
        <v>42</v>
      </c>
      <c r="Y190" s="2" t="s">
        <v>42</v>
      </c>
      <c r="Z190" s="1" t="s">
        <v>1084</v>
      </c>
      <c r="AA190" s="1" t="s">
        <v>42</v>
      </c>
      <c r="AB190" s="1" t="s">
        <v>1173</v>
      </c>
      <c r="AC190" s="1" t="s">
        <v>522</v>
      </c>
      <c r="AD190" s="1">
        <v>7009073037</v>
      </c>
      <c r="AE190" s="1" t="s">
        <v>103</v>
      </c>
      <c r="AF190" s="1" t="s">
        <v>436</v>
      </c>
      <c r="AG190" s="2" t="s">
        <v>42</v>
      </c>
      <c r="AH190" s="1"/>
      <c r="AI190" s="1" t="s">
        <v>42</v>
      </c>
      <c r="AJ190" s="1"/>
      <c r="AK190" s="2" t="s">
        <v>42</v>
      </c>
      <c r="AL190" s="1" t="s">
        <v>3507</v>
      </c>
    </row>
    <row r="191" spans="1:38" ht="20.100000000000001" customHeight="1" x14ac:dyDescent="0.2">
      <c r="A191" s="3">
        <f t="shared" si="4"/>
        <v>188</v>
      </c>
      <c r="B191" s="1" t="s">
        <v>1174</v>
      </c>
      <c r="C191" s="1" t="s">
        <v>1175</v>
      </c>
      <c r="D191" s="1" t="s">
        <v>38</v>
      </c>
      <c r="E191" s="1" t="s">
        <v>54</v>
      </c>
      <c r="F191" s="1" t="s">
        <v>55</v>
      </c>
      <c r="G191" s="1" t="s">
        <v>1176</v>
      </c>
      <c r="H191" s="2">
        <v>45360</v>
      </c>
      <c r="I191" s="2" t="s">
        <v>42</v>
      </c>
      <c r="J191" s="7"/>
      <c r="K191" s="1" t="s">
        <v>482</v>
      </c>
      <c r="L191" s="1" t="s">
        <v>482</v>
      </c>
      <c r="M191" s="2">
        <v>44768</v>
      </c>
      <c r="N191" s="1">
        <v>2</v>
      </c>
      <c r="O191" s="2">
        <v>44768</v>
      </c>
      <c r="P191" s="1" t="s">
        <v>44</v>
      </c>
      <c r="Q191" s="1" t="s">
        <v>431</v>
      </c>
      <c r="R191" s="1" t="s">
        <v>606</v>
      </c>
      <c r="S191" s="1" t="s">
        <v>47</v>
      </c>
      <c r="T191" s="1">
        <v>8</v>
      </c>
      <c r="U191" s="2" t="s">
        <v>42</v>
      </c>
      <c r="V191" s="2">
        <v>45132</v>
      </c>
      <c r="W191" s="2">
        <v>45142</v>
      </c>
      <c r="X191" s="1" t="s">
        <v>42</v>
      </c>
      <c r="Y191" s="2" t="s">
        <v>42</v>
      </c>
      <c r="Z191" s="1" t="s">
        <v>1177</v>
      </c>
      <c r="AA191" s="1" t="s">
        <v>1178</v>
      </c>
      <c r="AB191" s="1" t="s">
        <v>1179</v>
      </c>
      <c r="AC191" s="1" t="s">
        <v>266</v>
      </c>
      <c r="AD191" s="1">
        <v>7009073037</v>
      </c>
      <c r="AE191" s="1" t="s">
        <v>103</v>
      </c>
      <c r="AF191" s="1" t="s">
        <v>436</v>
      </c>
      <c r="AG191" s="2" t="s">
        <v>42</v>
      </c>
      <c r="AH191" s="1"/>
      <c r="AI191" s="1" t="s">
        <v>42</v>
      </c>
      <c r="AJ191" s="1"/>
      <c r="AK191" s="2" t="s">
        <v>42</v>
      </c>
      <c r="AL191" s="1" t="s">
        <v>3507</v>
      </c>
    </row>
    <row r="192" spans="1:38" ht="20.100000000000001" customHeight="1" x14ac:dyDescent="0.2">
      <c r="A192" s="3">
        <f t="shared" si="4"/>
        <v>189</v>
      </c>
      <c r="B192" s="1" t="s">
        <v>1180</v>
      </c>
      <c r="C192" s="1" t="s">
        <v>1181</v>
      </c>
      <c r="D192" s="1" t="s">
        <v>38</v>
      </c>
      <c r="E192" s="1" t="s">
        <v>54</v>
      </c>
      <c r="F192" s="1" t="s">
        <v>55</v>
      </c>
      <c r="G192" s="1" t="s">
        <v>1182</v>
      </c>
      <c r="H192" s="2">
        <v>45251</v>
      </c>
      <c r="I192" s="2">
        <v>35540</v>
      </c>
      <c r="J192" s="7">
        <f t="shared" ca="1" si="5"/>
        <v>26.542465753424658</v>
      </c>
      <c r="K192" s="1" t="s">
        <v>1089</v>
      </c>
      <c r="L192" s="1" t="s">
        <v>482</v>
      </c>
      <c r="M192" s="2">
        <v>44768</v>
      </c>
      <c r="N192" s="1">
        <v>2</v>
      </c>
      <c r="O192" s="2" t="s">
        <v>42</v>
      </c>
      <c r="P192" s="1" t="s">
        <v>44</v>
      </c>
      <c r="Q192" s="1" t="s">
        <v>466</v>
      </c>
      <c r="R192" s="1" t="s">
        <v>60</v>
      </c>
      <c r="S192" s="1" t="s">
        <v>47</v>
      </c>
      <c r="T192" s="1">
        <v>8</v>
      </c>
      <c r="U192" s="2" t="s">
        <v>42</v>
      </c>
      <c r="V192" s="2">
        <v>45132</v>
      </c>
      <c r="W192" s="2">
        <v>45142</v>
      </c>
      <c r="X192" s="1" t="s">
        <v>42</v>
      </c>
      <c r="Y192" s="2" t="s">
        <v>42</v>
      </c>
      <c r="Z192" s="1" t="s">
        <v>1183</v>
      </c>
      <c r="AA192" s="1" t="s">
        <v>1184</v>
      </c>
      <c r="AB192" s="1" t="s">
        <v>1185</v>
      </c>
      <c r="AC192" s="1" t="s">
        <v>50</v>
      </c>
      <c r="AD192" s="1">
        <v>7009073037</v>
      </c>
      <c r="AE192" s="1" t="s">
        <v>103</v>
      </c>
      <c r="AF192" s="1" t="s">
        <v>66</v>
      </c>
      <c r="AG192" s="2" t="s">
        <v>42</v>
      </c>
      <c r="AH192" s="1"/>
      <c r="AI192" s="1" t="s">
        <v>42</v>
      </c>
      <c r="AJ192" s="1"/>
      <c r="AK192" s="2" t="s">
        <v>42</v>
      </c>
      <c r="AL192" s="1" t="s">
        <v>3507</v>
      </c>
    </row>
    <row r="193" spans="1:38" ht="20.100000000000001" customHeight="1" x14ac:dyDescent="0.2">
      <c r="A193" s="3">
        <f t="shared" si="4"/>
        <v>190</v>
      </c>
      <c r="B193" s="1" t="s">
        <v>1186</v>
      </c>
      <c r="C193" s="1" t="s">
        <v>1187</v>
      </c>
      <c r="D193" s="1" t="s">
        <v>38</v>
      </c>
      <c r="E193" s="1" t="s">
        <v>39</v>
      </c>
      <c r="F193" s="1" t="s">
        <v>40</v>
      </c>
      <c r="G193" s="1" t="s">
        <v>1188</v>
      </c>
      <c r="H193" s="2" t="s">
        <v>42</v>
      </c>
      <c r="I193" s="2" t="s">
        <v>42</v>
      </c>
      <c r="J193" s="7"/>
      <c r="K193" s="1" t="s">
        <v>42</v>
      </c>
      <c r="L193" s="1" t="s">
        <v>962</v>
      </c>
      <c r="M193" s="2" t="s">
        <v>42</v>
      </c>
      <c r="N193" s="1">
        <v>2</v>
      </c>
      <c r="O193" s="2" t="s">
        <v>42</v>
      </c>
      <c r="P193" s="1" t="s">
        <v>44</v>
      </c>
      <c r="Q193" s="1" t="s">
        <v>958</v>
      </c>
      <c r="R193" s="1" t="s">
        <v>196</v>
      </c>
      <c r="S193" s="1" t="s">
        <v>125</v>
      </c>
      <c r="T193" s="1" t="s">
        <v>42</v>
      </c>
      <c r="U193" s="2" t="s">
        <v>42</v>
      </c>
      <c r="V193" s="2" t="s">
        <v>42</v>
      </c>
      <c r="W193" s="2" t="s">
        <v>42</v>
      </c>
      <c r="X193" s="1" t="s">
        <v>42</v>
      </c>
      <c r="Y193" s="2" t="s">
        <v>42</v>
      </c>
      <c r="Z193" s="1" t="s">
        <v>1189</v>
      </c>
      <c r="AA193" s="1" t="s">
        <v>42</v>
      </c>
      <c r="AB193" s="1" t="s">
        <v>1190</v>
      </c>
      <c r="AC193" s="1" t="s">
        <v>42</v>
      </c>
      <c r="AD193" s="1"/>
      <c r="AE193" s="1" t="s">
        <v>788</v>
      </c>
      <c r="AF193" s="1"/>
      <c r="AG193" s="2" t="s">
        <v>42</v>
      </c>
      <c r="AH193" s="1"/>
      <c r="AI193" s="1" t="s">
        <v>42</v>
      </c>
      <c r="AJ193" s="1"/>
      <c r="AK193" s="2" t="s">
        <v>42</v>
      </c>
      <c r="AL193" s="1" t="s">
        <v>3507</v>
      </c>
    </row>
    <row r="194" spans="1:38" ht="20.100000000000001" customHeight="1" x14ac:dyDescent="0.2">
      <c r="A194" s="3">
        <f t="shared" si="4"/>
        <v>191</v>
      </c>
      <c r="B194" s="1" t="s">
        <v>1191</v>
      </c>
      <c r="C194" s="1" t="s">
        <v>1192</v>
      </c>
      <c r="D194" s="1" t="s">
        <v>38</v>
      </c>
      <c r="E194" s="1" t="s">
        <v>1147</v>
      </c>
      <c r="F194" s="1" t="s">
        <v>70</v>
      </c>
      <c r="G194" s="1" t="s">
        <v>1193</v>
      </c>
      <c r="H194" s="2">
        <v>45389</v>
      </c>
      <c r="I194" s="2">
        <v>35987</v>
      </c>
      <c r="J194" s="7">
        <f t="shared" ca="1" si="5"/>
        <v>25.317808219178083</v>
      </c>
      <c r="K194" s="1" t="s">
        <v>1194</v>
      </c>
      <c r="L194" s="1" t="s">
        <v>1194</v>
      </c>
      <c r="M194" s="2">
        <v>45030</v>
      </c>
      <c r="N194" s="1">
        <v>2</v>
      </c>
      <c r="O194" s="2" t="s">
        <v>42</v>
      </c>
      <c r="P194" s="1" t="s">
        <v>44</v>
      </c>
      <c r="Q194" s="1" t="s">
        <v>66</v>
      </c>
      <c r="R194" s="1" t="s">
        <v>606</v>
      </c>
      <c r="S194" s="1" t="s">
        <v>47</v>
      </c>
      <c r="T194" s="1" t="s">
        <v>42</v>
      </c>
      <c r="U194" s="2" t="s">
        <v>42</v>
      </c>
      <c r="V194" s="2" t="s">
        <v>42</v>
      </c>
      <c r="W194" s="2" t="s">
        <v>42</v>
      </c>
      <c r="X194" s="1" t="s">
        <v>42</v>
      </c>
      <c r="Y194" s="2" t="s">
        <v>42</v>
      </c>
      <c r="Z194" s="1" t="s">
        <v>1195</v>
      </c>
      <c r="AA194" s="1" t="s">
        <v>1196</v>
      </c>
      <c r="AB194" s="1" t="s">
        <v>1197</v>
      </c>
      <c r="AC194" s="1" t="s">
        <v>50</v>
      </c>
      <c r="AD194" s="1">
        <v>7009073037</v>
      </c>
      <c r="AE194" s="1" t="s">
        <v>103</v>
      </c>
      <c r="AF194" s="1" t="s">
        <v>66</v>
      </c>
      <c r="AG194" s="2" t="s">
        <v>42</v>
      </c>
      <c r="AH194" s="1" t="s">
        <v>42</v>
      </c>
      <c r="AI194" s="1" t="s">
        <v>42</v>
      </c>
      <c r="AJ194" s="1"/>
      <c r="AK194" s="2" t="s">
        <v>42</v>
      </c>
      <c r="AL194" s="1" t="s">
        <v>3507</v>
      </c>
    </row>
    <row r="195" spans="1:38" ht="20.100000000000001" customHeight="1" x14ac:dyDescent="0.2">
      <c r="A195" s="3">
        <f t="shared" si="4"/>
        <v>192</v>
      </c>
      <c r="B195" s="1" t="s">
        <v>1198</v>
      </c>
      <c r="C195" s="1" t="s">
        <v>1199</v>
      </c>
      <c r="D195" s="1" t="s">
        <v>38</v>
      </c>
      <c r="E195" s="1" t="s">
        <v>54</v>
      </c>
      <c r="F195" s="1" t="s">
        <v>55</v>
      </c>
      <c r="G195" s="1" t="s">
        <v>1200</v>
      </c>
      <c r="H195" s="2">
        <v>45347</v>
      </c>
      <c r="I195" s="2">
        <v>28656</v>
      </c>
      <c r="J195" s="7">
        <f t="shared" ca="1" si="5"/>
        <v>45.402739726027399</v>
      </c>
      <c r="K195" s="1" t="s">
        <v>42</v>
      </c>
      <c r="L195" s="1" t="s">
        <v>195</v>
      </c>
      <c r="M195" s="2" t="s">
        <v>42</v>
      </c>
      <c r="N195" s="1">
        <v>2</v>
      </c>
      <c r="O195" s="2">
        <v>44544</v>
      </c>
      <c r="P195" s="1" t="s">
        <v>44</v>
      </c>
      <c r="Q195" s="1" t="s">
        <v>958</v>
      </c>
      <c r="R195" s="1" t="s">
        <v>196</v>
      </c>
      <c r="S195" s="1" t="s">
        <v>47</v>
      </c>
      <c r="T195" s="1" t="s">
        <v>42</v>
      </c>
      <c r="U195" s="2" t="s">
        <v>42</v>
      </c>
      <c r="V195" s="2" t="s">
        <v>42</v>
      </c>
      <c r="W195" s="2" t="s">
        <v>42</v>
      </c>
      <c r="X195" s="1" t="s">
        <v>1201</v>
      </c>
      <c r="Y195" s="2">
        <v>45591</v>
      </c>
      <c r="Z195" s="1" t="s">
        <v>1202</v>
      </c>
      <c r="AA195" s="1" t="s">
        <v>42</v>
      </c>
      <c r="AB195" s="1" t="s">
        <v>1203</v>
      </c>
      <c r="AC195" s="1" t="s">
        <v>50</v>
      </c>
      <c r="AD195" s="1">
        <v>1023619636</v>
      </c>
      <c r="AE195" s="1" t="s">
        <v>37</v>
      </c>
      <c r="AF195" s="1"/>
      <c r="AG195" s="2" t="s">
        <v>42</v>
      </c>
      <c r="AH195" s="1"/>
      <c r="AI195" s="1" t="s">
        <v>962</v>
      </c>
      <c r="AJ195" s="1"/>
      <c r="AK195" s="2" t="s">
        <v>42</v>
      </c>
      <c r="AL195" s="1" t="s">
        <v>3507</v>
      </c>
    </row>
    <row r="196" spans="1:38" ht="20.100000000000001" customHeight="1" x14ac:dyDescent="0.2">
      <c r="A196" s="3">
        <f t="shared" ref="A196:A259" si="6">ROW()-3</f>
        <v>193</v>
      </c>
      <c r="B196" s="1" t="s">
        <v>2975</v>
      </c>
      <c r="C196" s="1" t="s">
        <v>2976</v>
      </c>
      <c r="D196" s="1" t="s">
        <v>121</v>
      </c>
      <c r="E196" s="1" t="s">
        <v>2355</v>
      </c>
      <c r="F196" s="1" t="s">
        <v>55</v>
      </c>
      <c r="G196" s="1" t="s">
        <v>2977</v>
      </c>
      <c r="H196" s="2">
        <v>45247</v>
      </c>
      <c r="I196" s="2">
        <v>33740</v>
      </c>
      <c r="J196" s="7">
        <f t="shared" ca="1" si="5"/>
        <v>31.473972602739725</v>
      </c>
      <c r="K196" s="1" t="s">
        <v>42</v>
      </c>
      <c r="L196" s="1" t="s">
        <v>2978</v>
      </c>
      <c r="M196" s="2" t="s">
        <v>42</v>
      </c>
      <c r="N196" s="1">
        <v>2</v>
      </c>
      <c r="O196" s="2" t="s">
        <v>42</v>
      </c>
      <c r="P196" s="1" t="s">
        <v>44</v>
      </c>
      <c r="Q196" s="1" t="s">
        <v>1497</v>
      </c>
      <c r="R196" s="1" t="s">
        <v>196</v>
      </c>
      <c r="S196" s="1" t="s">
        <v>47</v>
      </c>
      <c r="T196" s="1" t="s">
        <v>42</v>
      </c>
      <c r="U196" s="2" t="s">
        <v>42</v>
      </c>
      <c r="V196" s="2" t="s">
        <v>42</v>
      </c>
      <c r="W196" s="2" t="s">
        <v>42</v>
      </c>
      <c r="X196" s="1" t="s">
        <v>2979</v>
      </c>
      <c r="Y196" s="2">
        <v>47422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>
        <v>1023619636</v>
      </c>
      <c r="AE196" s="1" t="s">
        <v>37</v>
      </c>
      <c r="AF196" s="1"/>
      <c r="AG196" s="2" t="s">
        <v>42</v>
      </c>
      <c r="AH196" s="1"/>
      <c r="AI196" s="1" t="s">
        <v>962</v>
      </c>
      <c r="AJ196" s="1"/>
      <c r="AK196" s="2" t="s">
        <v>42</v>
      </c>
      <c r="AL196" s="1" t="s">
        <v>2806</v>
      </c>
    </row>
    <row r="197" spans="1:38" ht="20.100000000000001" customHeight="1" x14ac:dyDescent="0.2">
      <c r="A197" s="3">
        <f t="shared" si="6"/>
        <v>194</v>
      </c>
      <c r="B197" s="1" t="s">
        <v>1204</v>
      </c>
      <c r="C197" s="1" t="s">
        <v>1205</v>
      </c>
      <c r="D197" s="1" t="s">
        <v>38</v>
      </c>
      <c r="E197" s="1" t="s">
        <v>69</v>
      </c>
      <c r="F197" s="1" t="s">
        <v>70</v>
      </c>
      <c r="G197" s="1" t="s">
        <v>1206</v>
      </c>
      <c r="H197" s="2">
        <v>45589</v>
      </c>
      <c r="I197" s="2" t="s">
        <v>42</v>
      </c>
      <c r="J197" s="7"/>
      <c r="K197" s="1" t="s">
        <v>42</v>
      </c>
      <c r="L197" s="1" t="s">
        <v>798</v>
      </c>
      <c r="M197" s="2">
        <v>44741</v>
      </c>
      <c r="N197" s="1">
        <v>2</v>
      </c>
      <c r="O197" s="2" t="s">
        <v>42</v>
      </c>
      <c r="P197" s="1" t="s">
        <v>44</v>
      </c>
      <c r="Q197" s="1" t="s">
        <v>899</v>
      </c>
      <c r="R197" s="1" t="s">
        <v>900</v>
      </c>
      <c r="S197" s="1" t="s">
        <v>47</v>
      </c>
      <c r="T197" s="1" t="s">
        <v>42</v>
      </c>
      <c r="U197" s="2" t="s">
        <v>42</v>
      </c>
      <c r="V197" s="2">
        <v>45135</v>
      </c>
      <c r="W197" s="2" t="s">
        <v>42</v>
      </c>
      <c r="X197" s="1" t="s">
        <v>42</v>
      </c>
      <c r="Y197" s="2" t="s">
        <v>42</v>
      </c>
      <c r="Z197" s="1" t="s">
        <v>1207</v>
      </c>
      <c r="AA197" s="1" t="s">
        <v>1208</v>
      </c>
      <c r="AB197" s="1" t="s">
        <v>1209</v>
      </c>
      <c r="AC197" s="1" t="s">
        <v>50</v>
      </c>
      <c r="AD197" s="1">
        <v>7026482336</v>
      </c>
      <c r="AE197" s="1" t="s">
        <v>903</v>
      </c>
      <c r="AF197" s="1" t="s">
        <v>904</v>
      </c>
      <c r="AG197" s="2" t="s">
        <v>42</v>
      </c>
      <c r="AH197" s="1"/>
      <c r="AI197" s="1" t="s">
        <v>42</v>
      </c>
      <c r="AJ197" s="1"/>
      <c r="AK197" s="2" t="s">
        <v>42</v>
      </c>
      <c r="AL197" s="1" t="s">
        <v>3507</v>
      </c>
    </row>
    <row r="198" spans="1:38" ht="20.100000000000001" customHeight="1" x14ac:dyDescent="0.2">
      <c r="A198" s="3">
        <f t="shared" si="6"/>
        <v>195</v>
      </c>
      <c r="B198" s="1" t="s">
        <v>2980</v>
      </c>
      <c r="C198" s="1" t="s">
        <v>2981</v>
      </c>
      <c r="D198" s="1" t="s">
        <v>38</v>
      </c>
      <c r="E198" s="1" t="s">
        <v>39</v>
      </c>
      <c r="F198" s="1"/>
      <c r="G198" s="1" t="s">
        <v>2982</v>
      </c>
      <c r="H198" s="2" t="s">
        <v>42</v>
      </c>
      <c r="I198" s="2" t="s">
        <v>42</v>
      </c>
      <c r="J198" s="7"/>
      <c r="K198" s="1" t="s">
        <v>42</v>
      </c>
      <c r="L198" s="1" t="s">
        <v>1213</v>
      </c>
      <c r="M198" s="2">
        <v>44774</v>
      </c>
      <c r="N198" s="1">
        <v>2</v>
      </c>
      <c r="O198" s="2" t="s">
        <v>42</v>
      </c>
      <c r="P198" s="1" t="s">
        <v>44</v>
      </c>
      <c r="Q198" s="1" t="s">
        <v>431</v>
      </c>
      <c r="R198" s="1" t="s">
        <v>42</v>
      </c>
      <c r="S198" s="1" t="s">
        <v>47</v>
      </c>
      <c r="T198" s="1" t="s">
        <v>42</v>
      </c>
      <c r="U198" s="2" t="s">
        <v>42</v>
      </c>
      <c r="V198" s="2">
        <v>45138</v>
      </c>
      <c r="W198" s="2" t="s">
        <v>42</v>
      </c>
      <c r="X198" s="1" t="s">
        <v>42</v>
      </c>
      <c r="Y198" s="2" t="s">
        <v>42</v>
      </c>
      <c r="Z198" s="1" t="s">
        <v>2983</v>
      </c>
      <c r="AA198" s="1" t="s">
        <v>42</v>
      </c>
      <c r="AB198" s="1" t="s">
        <v>2984</v>
      </c>
      <c r="AC198" s="1" t="s">
        <v>129</v>
      </c>
      <c r="AD198" s="1">
        <v>7009073037</v>
      </c>
      <c r="AE198" s="1" t="s">
        <v>103</v>
      </c>
      <c r="AF198" s="1"/>
      <c r="AG198" s="2">
        <v>44857</v>
      </c>
      <c r="AH198" s="1" t="s">
        <v>2985</v>
      </c>
      <c r="AI198" s="1" t="s">
        <v>42</v>
      </c>
      <c r="AJ198" s="1"/>
      <c r="AK198" s="2" t="s">
        <v>42</v>
      </c>
      <c r="AL198" s="1" t="s">
        <v>2806</v>
      </c>
    </row>
    <row r="199" spans="1:38" ht="20.100000000000001" customHeight="1" x14ac:dyDescent="0.2">
      <c r="A199" s="3">
        <f t="shared" si="6"/>
        <v>196</v>
      </c>
      <c r="B199" s="1" t="s">
        <v>1210</v>
      </c>
      <c r="C199" s="1" t="s">
        <v>1211</v>
      </c>
      <c r="D199" s="1" t="s">
        <v>38</v>
      </c>
      <c r="E199" s="1" t="s">
        <v>39</v>
      </c>
      <c r="F199" s="1" t="s">
        <v>40</v>
      </c>
      <c r="G199" s="1" t="s">
        <v>1212</v>
      </c>
      <c r="H199" s="2" t="s">
        <v>42</v>
      </c>
      <c r="I199" s="2" t="s">
        <v>42</v>
      </c>
      <c r="J199" s="7"/>
      <c r="K199" s="1" t="s">
        <v>42</v>
      </c>
      <c r="L199" s="1" t="s">
        <v>1213</v>
      </c>
      <c r="M199" s="2">
        <v>44774</v>
      </c>
      <c r="N199" s="1">
        <v>2</v>
      </c>
      <c r="O199" s="2" t="s">
        <v>42</v>
      </c>
      <c r="P199" s="1" t="s">
        <v>44</v>
      </c>
      <c r="Q199" s="1" t="s">
        <v>431</v>
      </c>
      <c r="R199" s="1" t="s">
        <v>1214</v>
      </c>
      <c r="S199" s="1" t="s">
        <v>47</v>
      </c>
      <c r="T199" s="1" t="s">
        <v>42</v>
      </c>
      <c r="U199" s="2" t="s">
        <v>42</v>
      </c>
      <c r="V199" s="2">
        <v>45138</v>
      </c>
      <c r="W199" s="2" t="s">
        <v>42</v>
      </c>
      <c r="X199" s="1" t="s">
        <v>42</v>
      </c>
      <c r="Y199" s="2" t="s">
        <v>42</v>
      </c>
      <c r="Z199" s="1" t="s">
        <v>1215</v>
      </c>
      <c r="AA199" s="1" t="s">
        <v>1216</v>
      </c>
      <c r="AB199" s="1" t="s">
        <v>1217</v>
      </c>
      <c r="AC199" s="1" t="s">
        <v>129</v>
      </c>
      <c r="AD199" s="1">
        <v>7009073037</v>
      </c>
      <c r="AE199" s="1" t="s">
        <v>103</v>
      </c>
      <c r="AF199" s="1" t="s">
        <v>436</v>
      </c>
      <c r="AG199" s="2" t="s">
        <v>42</v>
      </c>
      <c r="AH199" s="1"/>
      <c r="AI199" s="1" t="s">
        <v>42</v>
      </c>
      <c r="AJ199" s="1"/>
      <c r="AK199" s="2" t="s">
        <v>42</v>
      </c>
      <c r="AL199" s="1" t="s">
        <v>3507</v>
      </c>
    </row>
    <row r="200" spans="1:38" ht="20.100000000000001" customHeight="1" x14ac:dyDescent="0.2">
      <c r="A200" s="3">
        <f t="shared" si="6"/>
        <v>197</v>
      </c>
      <c r="B200" s="1" t="s">
        <v>2986</v>
      </c>
      <c r="C200" s="1" t="s">
        <v>2987</v>
      </c>
      <c r="D200" s="1" t="s">
        <v>38</v>
      </c>
      <c r="E200" s="1" t="s">
        <v>39</v>
      </c>
      <c r="F200" s="1"/>
      <c r="G200" s="1" t="s">
        <v>2988</v>
      </c>
      <c r="H200" s="2" t="s">
        <v>42</v>
      </c>
      <c r="I200" s="2" t="s">
        <v>42</v>
      </c>
      <c r="J200" s="7"/>
      <c r="K200" s="1" t="s">
        <v>42</v>
      </c>
      <c r="L200" s="1" t="s">
        <v>1213</v>
      </c>
      <c r="M200" s="2">
        <v>44774</v>
      </c>
      <c r="N200" s="1">
        <v>2</v>
      </c>
      <c r="O200" s="2" t="s">
        <v>42</v>
      </c>
      <c r="P200" s="1" t="s">
        <v>44</v>
      </c>
      <c r="Q200" s="1" t="s">
        <v>431</v>
      </c>
      <c r="R200" s="1" t="s">
        <v>1214</v>
      </c>
      <c r="S200" s="1" t="s">
        <v>47</v>
      </c>
      <c r="T200" s="1" t="s">
        <v>42</v>
      </c>
      <c r="U200" s="2" t="s">
        <v>42</v>
      </c>
      <c r="V200" s="2">
        <v>45138</v>
      </c>
      <c r="W200" s="2" t="s">
        <v>42</v>
      </c>
      <c r="X200" s="1" t="s">
        <v>42</v>
      </c>
      <c r="Y200" s="2" t="s">
        <v>42</v>
      </c>
      <c r="Z200" s="1" t="s">
        <v>2989</v>
      </c>
      <c r="AA200" s="1" t="s">
        <v>2990</v>
      </c>
      <c r="AB200" s="1" t="s">
        <v>2991</v>
      </c>
      <c r="AC200" s="1" t="s">
        <v>50</v>
      </c>
      <c r="AD200" s="1">
        <v>7009073037</v>
      </c>
      <c r="AE200" s="1" t="s">
        <v>103</v>
      </c>
      <c r="AF200" s="1"/>
      <c r="AG200" s="2" t="s">
        <v>42</v>
      </c>
      <c r="AH200" s="1"/>
      <c r="AI200" s="1" t="s">
        <v>42</v>
      </c>
      <c r="AJ200" s="1"/>
      <c r="AK200" s="2" t="s">
        <v>42</v>
      </c>
      <c r="AL200" s="1" t="s">
        <v>2806</v>
      </c>
    </row>
    <row r="201" spans="1:38" ht="20.100000000000001" customHeight="1" x14ac:dyDescent="0.2">
      <c r="A201" s="3">
        <f t="shared" si="6"/>
        <v>198</v>
      </c>
      <c r="B201" s="1" t="s">
        <v>1218</v>
      </c>
      <c r="C201" s="1" t="s">
        <v>1219</v>
      </c>
      <c r="D201" s="1" t="s">
        <v>38</v>
      </c>
      <c r="E201" s="1" t="s">
        <v>39</v>
      </c>
      <c r="F201" s="1" t="s">
        <v>40</v>
      </c>
      <c r="G201" s="1" t="s">
        <v>1220</v>
      </c>
      <c r="H201" s="2" t="s">
        <v>42</v>
      </c>
      <c r="I201" s="2" t="s">
        <v>42</v>
      </c>
      <c r="J201" s="7"/>
      <c r="K201" s="1" t="s">
        <v>42</v>
      </c>
      <c r="L201" s="1" t="s">
        <v>1213</v>
      </c>
      <c r="M201" s="2">
        <v>44774</v>
      </c>
      <c r="N201" s="1">
        <v>2</v>
      </c>
      <c r="O201" s="2" t="s">
        <v>42</v>
      </c>
      <c r="P201" s="1" t="s">
        <v>44</v>
      </c>
      <c r="Q201" s="1" t="s">
        <v>431</v>
      </c>
      <c r="R201" s="1" t="s">
        <v>1214</v>
      </c>
      <c r="S201" s="1" t="s">
        <v>47</v>
      </c>
      <c r="T201" s="1" t="s">
        <v>42</v>
      </c>
      <c r="U201" s="2" t="s">
        <v>42</v>
      </c>
      <c r="V201" s="2">
        <v>45138</v>
      </c>
      <c r="W201" s="2" t="s">
        <v>42</v>
      </c>
      <c r="X201" s="1" t="s">
        <v>42</v>
      </c>
      <c r="Y201" s="2" t="s">
        <v>42</v>
      </c>
      <c r="Z201" s="1" t="s">
        <v>1221</v>
      </c>
      <c r="AA201" s="1" t="s">
        <v>1222</v>
      </c>
      <c r="AB201" s="1" t="s">
        <v>1223</v>
      </c>
      <c r="AC201" s="1" t="s">
        <v>129</v>
      </c>
      <c r="AD201" s="1">
        <v>7009073037</v>
      </c>
      <c r="AE201" s="1" t="s">
        <v>103</v>
      </c>
      <c r="AF201" s="1" t="s">
        <v>436</v>
      </c>
      <c r="AG201" s="2" t="s">
        <v>42</v>
      </c>
      <c r="AH201" s="1"/>
      <c r="AI201" s="1" t="s">
        <v>42</v>
      </c>
      <c r="AJ201" s="1"/>
      <c r="AK201" s="2" t="s">
        <v>42</v>
      </c>
      <c r="AL201" s="1" t="s">
        <v>3507</v>
      </c>
    </row>
    <row r="202" spans="1:38" ht="20.100000000000001" customHeight="1" x14ac:dyDescent="0.2">
      <c r="A202" s="3">
        <f t="shared" si="6"/>
        <v>199</v>
      </c>
      <c r="B202" s="1" t="s">
        <v>2992</v>
      </c>
      <c r="C202" s="1" t="s">
        <v>2993</v>
      </c>
      <c r="D202" s="1" t="s">
        <v>38</v>
      </c>
      <c r="E202" s="1" t="s">
        <v>39</v>
      </c>
      <c r="F202" s="1"/>
      <c r="G202" s="1" t="s">
        <v>2994</v>
      </c>
      <c r="H202" s="2" t="s">
        <v>42</v>
      </c>
      <c r="I202" s="2" t="s">
        <v>42</v>
      </c>
      <c r="J202" s="7"/>
      <c r="K202" s="1" t="s">
        <v>42</v>
      </c>
      <c r="L202" s="1" t="s">
        <v>1213</v>
      </c>
      <c r="M202" s="2">
        <v>44774</v>
      </c>
      <c r="N202" s="1">
        <v>2</v>
      </c>
      <c r="O202" s="2" t="s">
        <v>42</v>
      </c>
      <c r="P202" s="1" t="s">
        <v>44</v>
      </c>
      <c r="Q202" s="1" t="s">
        <v>431</v>
      </c>
      <c r="R202" s="1" t="s">
        <v>42</v>
      </c>
      <c r="S202" s="1" t="s">
        <v>47</v>
      </c>
      <c r="T202" s="1" t="s">
        <v>42</v>
      </c>
      <c r="U202" s="2" t="s">
        <v>42</v>
      </c>
      <c r="V202" s="2">
        <v>45138</v>
      </c>
      <c r="W202" s="2">
        <v>45128</v>
      </c>
      <c r="X202" s="1" t="s">
        <v>42</v>
      </c>
      <c r="Y202" s="2" t="s">
        <v>42</v>
      </c>
      <c r="Z202" s="1" t="s">
        <v>2995</v>
      </c>
      <c r="AA202" s="1" t="s">
        <v>2996</v>
      </c>
      <c r="AB202" s="1" t="s">
        <v>2997</v>
      </c>
      <c r="AC202" s="1" t="s">
        <v>129</v>
      </c>
      <c r="AD202" s="1">
        <v>7009073037</v>
      </c>
      <c r="AE202" s="1" t="s">
        <v>103</v>
      </c>
      <c r="AF202" s="1"/>
      <c r="AG202" s="2">
        <v>44916</v>
      </c>
      <c r="AH202" s="1" t="s">
        <v>2812</v>
      </c>
      <c r="AI202" s="1" t="s">
        <v>42</v>
      </c>
      <c r="AJ202" s="1"/>
      <c r="AK202" s="2" t="s">
        <v>42</v>
      </c>
      <c r="AL202" s="1" t="s">
        <v>2806</v>
      </c>
    </row>
    <row r="203" spans="1:38" ht="20.100000000000001" customHeight="1" x14ac:dyDescent="0.2">
      <c r="A203" s="3">
        <f t="shared" si="6"/>
        <v>200</v>
      </c>
      <c r="B203" s="1" t="s">
        <v>2998</v>
      </c>
      <c r="C203" s="1" t="s">
        <v>2999</v>
      </c>
      <c r="D203" s="1" t="s">
        <v>38</v>
      </c>
      <c r="E203" s="1" t="s">
        <v>39</v>
      </c>
      <c r="F203" s="1"/>
      <c r="G203" s="1" t="s">
        <v>3000</v>
      </c>
      <c r="H203" s="2" t="s">
        <v>42</v>
      </c>
      <c r="I203" s="2" t="s">
        <v>42</v>
      </c>
      <c r="J203" s="7"/>
      <c r="K203" s="1" t="s">
        <v>42</v>
      </c>
      <c r="L203" s="1" t="s">
        <v>1596</v>
      </c>
      <c r="M203" s="2">
        <v>44774</v>
      </c>
      <c r="N203" s="1">
        <v>2</v>
      </c>
      <c r="O203" s="2" t="s">
        <v>42</v>
      </c>
      <c r="P203" s="1" t="s">
        <v>44</v>
      </c>
      <c r="Q203" s="1" t="s">
        <v>431</v>
      </c>
      <c r="R203" s="1" t="s">
        <v>42</v>
      </c>
      <c r="S203" s="1" t="s">
        <v>156</v>
      </c>
      <c r="T203" s="1" t="s">
        <v>42</v>
      </c>
      <c r="U203" s="2" t="s">
        <v>42</v>
      </c>
      <c r="V203" s="2">
        <v>45138</v>
      </c>
      <c r="W203" s="2">
        <v>45141</v>
      </c>
      <c r="X203" s="1" t="s">
        <v>42</v>
      </c>
      <c r="Y203" s="2" t="s">
        <v>42</v>
      </c>
      <c r="Z203" s="1" t="s">
        <v>3001</v>
      </c>
      <c r="AA203" s="1" t="s">
        <v>3002</v>
      </c>
      <c r="AB203" s="1" t="s">
        <v>42</v>
      </c>
      <c r="AC203" s="1" t="s">
        <v>42</v>
      </c>
      <c r="AD203" s="1"/>
      <c r="AE203" s="1" t="s">
        <v>42</v>
      </c>
      <c r="AF203" s="1"/>
      <c r="AG203" s="2">
        <v>44804</v>
      </c>
      <c r="AH203" s="1" t="s">
        <v>2805</v>
      </c>
      <c r="AI203" s="1" t="s">
        <v>42</v>
      </c>
      <c r="AJ203" s="1"/>
      <c r="AK203" s="2" t="s">
        <v>42</v>
      </c>
      <c r="AL203" s="1" t="s">
        <v>2806</v>
      </c>
    </row>
    <row r="204" spans="1:38" ht="20.100000000000001" customHeight="1" x14ac:dyDescent="0.2">
      <c r="A204" s="3">
        <f t="shared" si="6"/>
        <v>201</v>
      </c>
      <c r="B204" s="1" t="s">
        <v>3003</v>
      </c>
      <c r="C204" s="1" t="s">
        <v>3004</v>
      </c>
      <c r="D204" s="1" t="s">
        <v>38</v>
      </c>
      <c r="E204" s="1" t="s">
        <v>39</v>
      </c>
      <c r="F204" s="1"/>
      <c r="G204" s="1" t="s">
        <v>3005</v>
      </c>
      <c r="H204" s="2" t="s">
        <v>42</v>
      </c>
      <c r="I204" s="2" t="s">
        <v>42</v>
      </c>
      <c r="J204" s="7"/>
      <c r="K204" s="1" t="s">
        <v>42</v>
      </c>
      <c r="L204" s="1" t="s">
        <v>1213</v>
      </c>
      <c r="M204" s="2">
        <v>44774</v>
      </c>
      <c r="N204" s="1">
        <v>2</v>
      </c>
      <c r="O204" s="2" t="s">
        <v>42</v>
      </c>
      <c r="P204" s="1" t="s">
        <v>44</v>
      </c>
      <c r="Q204" s="1" t="s">
        <v>431</v>
      </c>
      <c r="R204" s="1" t="s">
        <v>42</v>
      </c>
      <c r="S204" s="1" t="s">
        <v>47</v>
      </c>
      <c r="T204" s="1" t="s">
        <v>42</v>
      </c>
      <c r="U204" s="2" t="s">
        <v>42</v>
      </c>
      <c r="V204" s="2">
        <v>45138</v>
      </c>
      <c r="W204" s="2" t="s">
        <v>42</v>
      </c>
      <c r="X204" s="1" t="s">
        <v>42</v>
      </c>
      <c r="Y204" s="2" t="s">
        <v>42</v>
      </c>
      <c r="Z204" s="1" t="s">
        <v>3006</v>
      </c>
      <c r="AA204" s="1" t="s">
        <v>3007</v>
      </c>
      <c r="AB204" s="1" t="s">
        <v>3008</v>
      </c>
      <c r="AC204" s="1" t="s">
        <v>617</v>
      </c>
      <c r="AD204" s="1">
        <v>7009073037</v>
      </c>
      <c r="AE204" s="1" t="s">
        <v>103</v>
      </c>
      <c r="AF204" s="1"/>
      <c r="AG204" s="2">
        <v>44842</v>
      </c>
      <c r="AH204" s="1" t="s">
        <v>2985</v>
      </c>
      <c r="AI204" s="1" t="s">
        <v>42</v>
      </c>
      <c r="AJ204" s="1"/>
      <c r="AK204" s="2" t="s">
        <v>42</v>
      </c>
      <c r="AL204" s="1" t="s">
        <v>2806</v>
      </c>
    </row>
    <row r="205" spans="1:38" ht="20.100000000000001" customHeight="1" x14ac:dyDescent="0.2">
      <c r="A205" s="3">
        <f t="shared" si="6"/>
        <v>202</v>
      </c>
      <c r="B205" s="1" t="s">
        <v>1224</v>
      </c>
      <c r="C205" s="1" t="s">
        <v>1225</v>
      </c>
      <c r="D205" s="1" t="s">
        <v>38</v>
      </c>
      <c r="E205" s="1" t="s">
        <v>39</v>
      </c>
      <c r="F205" s="1" t="s">
        <v>40</v>
      </c>
      <c r="G205" s="1" t="s">
        <v>1226</v>
      </c>
      <c r="H205" s="2" t="s">
        <v>42</v>
      </c>
      <c r="I205" s="2" t="s">
        <v>42</v>
      </c>
      <c r="J205" s="7"/>
      <c r="K205" s="1" t="s">
        <v>42</v>
      </c>
      <c r="L205" s="1" t="s">
        <v>1213</v>
      </c>
      <c r="M205" s="2">
        <v>44774</v>
      </c>
      <c r="N205" s="1">
        <v>2</v>
      </c>
      <c r="O205" s="2" t="s">
        <v>42</v>
      </c>
      <c r="P205" s="1" t="s">
        <v>44</v>
      </c>
      <c r="Q205" s="1" t="s">
        <v>431</v>
      </c>
      <c r="R205" s="1" t="s">
        <v>1214</v>
      </c>
      <c r="S205" s="1" t="s">
        <v>47</v>
      </c>
      <c r="T205" s="1" t="s">
        <v>42</v>
      </c>
      <c r="U205" s="2" t="s">
        <v>42</v>
      </c>
      <c r="V205" s="2">
        <v>45138</v>
      </c>
      <c r="W205" s="2" t="s">
        <v>42</v>
      </c>
      <c r="X205" s="1" t="s">
        <v>42</v>
      </c>
      <c r="Y205" s="2" t="s">
        <v>42</v>
      </c>
      <c r="Z205" s="1" t="s">
        <v>1227</v>
      </c>
      <c r="AA205" s="1" t="s">
        <v>1228</v>
      </c>
      <c r="AB205" s="1" t="s">
        <v>1229</v>
      </c>
      <c r="AC205" s="1" t="s">
        <v>129</v>
      </c>
      <c r="AD205" s="1">
        <v>7009073037</v>
      </c>
      <c r="AE205" s="1" t="s">
        <v>103</v>
      </c>
      <c r="AF205" s="1" t="s">
        <v>436</v>
      </c>
      <c r="AG205" s="2" t="s">
        <v>42</v>
      </c>
      <c r="AH205" s="1"/>
      <c r="AI205" s="1" t="s">
        <v>42</v>
      </c>
      <c r="AJ205" s="1"/>
      <c r="AK205" s="2" t="s">
        <v>42</v>
      </c>
      <c r="AL205" s="1" t="s">
        <v>3507</v>
      </c>
    </row>
    <row r="206" spans="1:38" ht="20.100000000000001" customHeight="1" x14ac:dyDescent="0.2">
      <c r="A206" s="3">
        <f t="shared" si="6"/>
        <v>203</v>
      </c>
      <c r="B206" s="1" t="s">
        <v>3009</v>
      </c>
      <c r="C206" s="1" t="s">
        <v>3010</v>
      </c>
      <c r="D206" s="1" t="s">
        <v>121</v>
      </c>
      <c r="E206" s="1" t="s">
        <v>39</v>
      </c>
      <c r="F206" s="1"/>
      <c r="G206" s="1" t="s">
        <v>3011</v>
      </c>
      <c r="H206" s="2" t="s">
        <v>42</v>
      </c>
      <c r="I206" s="2" t="s">
        <v>42</v>
      </c>
      <c r="J206" s="7"/>
      <c r="K206" s="1" t="s">
        <v>42</v>
      </c>
      <c r="L206" s="1" t="s">
        <v>1415</v>
      </c>
      <c r="M206" s="2">
        <v>44783</v>
      </c>
      <c r="N206" s="1">
        <v>2</v>
      </c>
      <c r="O206" s="2" t="s">
        <v>42</v>
      </c>
      <c r="P206" s="1" t="s">
        <v>44</v>
      </c>
      <c r="Q206" s="1" t="s">
        <v>408</v>
      </c>
      <c r="R206" s="1" t="s">
        <v>124</v>
      </c>
      <c r="S206" s="1" t="s">
        <v>125</v>
      </c>
      <c r="T206" s="1" t="s">
        <v>42</v>
      </c>
      <c r="U206" s="2" t="s">
        <v>42</v>
      </c>
      <c r="V206" s="2">
        <v>45147</v>
      </c>
      <c r="W206" s="2" t="s">
        <v>42</v>
      </c>
      <c r="X206" s="1" t="s">
        <v>42</v>
      </c>
      <c r="Y206" s="2" t="s">
        <v>42</v>
      </c>
      <c r="Z206" s="1" t="s">
        <v>3012</v>
      </c>
      <c r="AA206" s="1" t="s">
        <v>3013</v>
      </c>
      <c r="AB206" s="1" t="s">
        <v>3014</v>
      </c>
      <c r="AC206" s="1" t="s">
        <v>50</v>
      </c>
      <c r="AD206" s="1">
        <v>7021202564</v>
      </c>
      <c r="AE206" s="1" t="s">
        <v>567</v>
      </c>
      <c r="AF206" s="1"/>
      <c r="AG206" s="2">
        <v>45066</v>
      </c>
      <c r="AH206" s="1" t="s">
        <v>2812</v>
      </c>
      <c r="AI206" s="1" t="s">
        <v>42</v>
      </c>
      <c r="AJ206" s="1"/>
      <c r="AK206" s="2" t="s">
        <v>42</v>
      </c>
      <c r="AL206" s="1" t="s">
        <v>2806</v>
      </c>
    </row>
    <row r="207" spans="1:38" ht="20.100000000000001" customHeight="1" x14ac:dyDescent="0.2">
      <c r="A207" s="3">
        <f t="shared" si="6"/>
        <v>204</v>
      </c>
      <c r="B207" s="1" t="s">
        <v>3015</v>
      </c>
      <c r="C207" s="1" t="s">
        <v>3016</v>
      </c>
      <c r="D207" s="1" t="s">
        <v>121</v>
      </c>
      <c r="E207" s="1" t="s">
        <v>39</v>
      </c>
      <c r="F207" s="1" t="s">
        <v>40</v>
      </c>
      <c r="G207" s="1" t="s">
        <v>3017</v>
      </c>
      <c r="H207" s="2" t="s">
        <v>42</v>
      </c>
      <c r="I207" s="2" t="s">
        <v>42</v>
      </c>
      <c r="J207" s="7"/>
      <c r="K207" s="1" t="s">
        <v>42</v>
      </c>
      <c r="L207" s="1" t="s">
        <v>1415</v>
      </c>
      <c r="M207" s="2">
        <v>44783</v>
      </c>
      <c r="N207" s="1">
        <v>2</v>
      </c>
      <c r="O207" s="2" t="s">
        <v>42</v>
      </c>
      <c r="P207" s="1" t="s">
        <v>44</v>
      </c>
      <c r="Q207" s="1" t="s">
        <v>408</v>
      </c>
      <c r="R207" s="1" t="s">
        <v>124</v>
      </c>
      <c r="S207" s="1" t="s">
        <v>125</v>
      </c>
      <c r="T207" s="1" t="s">
        <v>42</v>
      </c>
      <c r="U207" s="2" t="s">
        <v>42</v>
      </c>
      <c r="V207" s="2">
        <v>45147</v>
      </c>
      <c r="W207" s="2" t="s">
        <v>42</v>
      </c>
      <c r="X207" s="1" t="s">
        <v>42</v>
      </c>
      <c r="Y207" s="2" t="s">
        <v>42</v>
      </c>
      <c r="Z207" s="1" t="s">
        <v>3018</v>
      </c>
      <c r="AA207" s="1" t="s">
        <v>3019</v>
      </c>
      <c r="AB207" s="1" t="s">
        <v>3020</v>
      </c>
      <c r="AC207" s="1" t="s">
        <v>129</v>
      </c>
      <c r="AD207" s="1">
        <v>7021202564</v>
      </c>
      <c r="AE207" s="1" t="s">
        <v>567</v>
      </c>
      <c r="AF207" s="1"/>
      <c r="AG207" s="2">
        <v>45147</v>
      </c>
      <c r="AH207" s="1" t="s">
        <v>2805</v>
      </c>
      <c r="AI207" s="1" t="s">
        <v>42</v>
      </c>
      <c r="AJ207" s="1"/>
      <c r="AK207" s="2" t="s">
        <v>42</v>
      </c>
      <c r="AL207" s="1" t="s">
        <v>2806</v>
      </c>
    </row>
    <row r="208" spans="1:38" ht="20.100000000000001" customHeight="1" x14ac:dyDescent="0.2">
      <c r="A208" s="3">
        <f t="shared" si="6"/>
        <v>205</v>
      </c>
      <c r="B208" s="1" t="s">
        <v>1230</v>
      </c>
      <c r="C208" s="1" t="s">
        <v>1231</v>
      </c>
      <c r="D208" s="1" t="s">
        <v>38</v>
      </c>
      <c r="E208" s="1" t="s">
        <v>69</v>
      </c>
      <c r="F208" s="1" t="s">
        <v>70</v>
      </c>
      <c r="G208" s="1" t="s">
        <v>1232</v>
      </c>
      <c r="H208" s="2">
        <v>45643</v>
      </c>
      <c r="I208" s="2">
        <v>34133</v>
      </c>
      <c r="J208" s="7">
        <f t="shared" ref="J208:J260" ca="1" si="7">($H$1-I208)/365</f>
        <v>30.397260273972602</v>
      </c>
      <c r="K208" s="1" t="s">
        <v>1233</v>
      </c>
      <c r="L208" s="1" t="s">
        <v>1234</v>
      </c>
      <c r="M208" s="2">
        <v>45170</v>
      </c>
      <c r="N208" s="1">
        <v>2</v>
      </c>
      <c r="O208" s="2" t="s">
        <v>42</v>
      </c>
      <c r="P208" s="1" t="s">
        <v>44</v>
      </c>
      <c r="Q208" s="1" t="s">
        <v>899</v>
      </c>
      <c r="R208" s="1" t="s">
        <v>900</v>
      </c>
      <c r="S208" s="1" t="s">
        <v>47</v>
      </c>
      <c r="T208" s="1" t="s">
        <v>42</v>
      </c>
      <c r="U208" s="2" t="s">
        <v>42</v>
      </c>
      <c r="V208" s="2">
        <v>45120</v>
      </c>
      <c r="W208" s="2" t="s">
        <v>42</v>
      </c>
      <c r="X208" s="1" t="s">
        <v>42</v>
      </c>
      <c r="Y208" s="2" t="s">
        <v>42</v>
      </c>
      <c r="Z208" s="1" t="s">
        <v>1235</v>
      </c>
      <c r="AA208" s="1" t="s">
        <v>1236</v>
      </c>
      <c r="AB208" s="1" t="s">
        <v>42</v>
      </c>
      <c r="AC208" s="1" t="s">
        <v>42</v>
      </c>
      <c r="AD208" s="1">
        <v>7026482336</v>
      </c>
      <c r="AE208" s="1" t="s">
        <v>903</v>
      </c>
      <c r="AF208" s="1" t="s">
        <v>904</v>
      </c>
      <c r="AG208" s="2" t="s">
        <v>42</v>
      </c>
      <c r="AH208" s="1" t="s">
        <v>42</v>
      </c>
      <c r="AI208" s="1" t="s">
        <v>42</v>
      </c>
      <c r="AJ208" s="1"/>
      <c r="AK208" s="2" t="s">
        <v>42</v>
      </c>
      <c r="AL208" s="1" t="s">
        <v>42</v>
      </c>
    </row>
    <row r="209" spans="1:38" ht="20.100000000000001" customHeight="1" x14ac:dyDescent="0.2">
      <c r="A209" s="3">
        <f t="shared" si="6"/>
        <v>206</v>
      </c>
      <c r="B209" s="1" t="s">
        <v>3021</v>
      </c>
      <c r="C209" s="1" t="s">
        <v>3022</v>
      </c>
      <c r="D209" s="1" t="s">
        <v>38</v>
      </c>
      <c r="E209" s="1" t="s">
        <v>69</v>
      </c>
      <c r="F209" s="1" t="s">
        <v>70</v>
      </c>
      <c r="G209" s="1" t="s">
        <v>3023</v>
      </c>
      <c r="H209" s="2">
        <v>45132</v>
      </c>
      <c r="I209" s="2" t="s">
        <v>42</v>
      </c>
      <c r="J209" s="7"/>
      <c r="K209" s="1" t="s">
        <v>42</v>
      </c>
      <c r="L209" s="1" t="s">
        <v>134</v>
      </c>
      <c r="M209" s="2">
        <v>44625</v>
      </c>
      <c r="N209" s="1">
        <v>2</v>
      </c>
      <c r="O209" s="2" t="s">
        <v>42</v>
      </c>
      <c r="P209" s="1" t="s">
        <v>44</v>
      </c>
      <c r="Q209" s="1" t="s">
        <v>899</v>
      </c>
      <c r="R209" s="1" t="s">
        <v>900</v>
      </c>
      <c r="S209" s="1" t="s">
        <v>156</v>
      </c>
      <c r="T209" s="1" t="s">
        <v>42</v>
      </c>
      <c r="U209" s="2" t="s">
        <v>42</v>
      </c>
      <c r="V209" s="2">
        <v>44989</v>
      </c>
      <c r="W209" s="2" t="s">
        <v>42</v>
      </c>
      <c r="X209" s="1" t="s">
        <v>42</v>
      </c>
      <c r="Y209" s="2" t="s">
        <v>42</v>
      </c>
      <c r="Z209" s="1" t="s">
        <v>3024</v>
      </c>
      <c r="AA209" s="1" t="s">
        <v>42</v>
      </c>
      <c r="AB209" s="1" t="s">
        <v>42</v>
      </c>
      <c r="AC209" s="1" t="s">
        <v>42</v>
      </c>
      <c r="AD209" s="1"/>
      <c r="AE209" s="1" t="s">
        <v>788</v>
      </c>
      <c r="AF209" s="1"/>
      <c r="AG209" s="2">
        <v>45132</v>
      </c>
      <c r="AH209" s="1" t="s">
        <v>2812</v>
      </c>
      <c r="AI209" s="1" t="s">
        <v>42</v>
      </c>
      <c r="AJ209" s="1"/>
      <c r="AK209" s="2" t="s">
        <v>42</v>
      </c>
      <c r="AL209" s="1" t="s">
        <v>2806</v>
      </c>
    </row>
    <row r="210" spans="1:38" ht="20.100000000000001" customHeight="1" x14ac:dyDescent="0.2">
      <c r="A210" s="3">
        <f t="shared" si="6"/>
        <v>207</v>
      </c>
      <c r="B210" s="1" t="s">
        <v>1237</v>
      </c>
      <c r="C210" s="1" t="s">
        <v>1238</v>
      </c>
      <c r="D210" s="1" t="s">
        <v>38</v>
      </c>
      <c r="E210" s="1" t="s">
        <v>69</v>
      </c>
      <c r="F210" s="1" t="s">
        <v>70</v>
      </c>
      <c r="G210" s="1" t="s">
        <v>1239</v>
      </c>
      <c r="H210" s="2">
        <v>45558</v>
      </c>
      <c r="I210" s="2" t="s">
        <v>42</v>
      </c>
      <c r="J210" s="7"/>
      <c r="K210" s="1" t="s">
        <v>42</v>
      </c>
      <c r="L210" s="1" t="s">
        <v>134</v>
      </c>
      <c r="M210" s="2">
        <v>44621</v>
      </c>
      <c r="N210" s="1">
        <v>2</v>
      </c>
      <c r="O210" s="2" t="s">
        <v>42</v>
      </c>
      <c r="P210" s="1" t="s">
        <v>44</v>
      </c>
      <c r="Q210" s="1" t="s">
        <v>899</v>
      </c>
      <c r="R210" s="1" t="s">
        <v>900</v>
      </c>
      <c r="S210" s="1" t="s">
        <v>47</v>
      </c>
      <c r="T210" s="1" t="s">
        <v>42</v>
      </c>
      <c r="U210" s="2" t="s">
        <v>42</v>
      </c>
      <c r="V210" s="2">
        <v>44985</v>
      </c>
      <c r="W210" s="2" t="s">
        <v>42</v>
      </c>
      <c r="X210" s="1" t="s">
        <v>42</v>
      </c>
      <c r="Y210" s="2" t="s">
        <v>42</v>
      </c>
      <c r="Z210" s="1" t="s">
        <v>1240</v>
      </c>
      <c r="AA210" s="1" t="s">
        <v>1241</v>
      </c>
      <c r="AB210" s="1" t="s">
        <v>1242</v>
      </c>
      <c r="AC210" s="1" t="s">
        <v>50</v>
      </c>
      <c r="AD210" s="1">
        <v>7026482336</v>
      </c>
      <c r="AE210" s="1" t="s">
        <v>903</v>
      </c>
      <c r="AF210" s="1" t="s">
        <v>904</v>
      </c>
      <c r="AG210" s="2" t="s">
        <v>42</v>
      </c>
      <c r="AH210" s="1"/>
      <c r="AI210" s="1" t="s">
        <v>42</v>
      </c>
      <c r="AJ210" s="1"/>
      <c r="AK210" s="2" t="s">
        <v>42</v>
      </c>
      <c r="AL210" s="1" t="s">
        <v>3507</v>
      </c>
    </row>
    <row r="211" spans="1:38" ht="20.100000000000001" customHeight="1" x14ac:dyDescent="0.2">
      <c r="A211" s="3">
        <f t="shared" si="6"/>
        <v>208</v>
      </c>
      <c r="B211" s="1" t="s">
        <v>3025</v>
      </c>
      <c r="C211" s="1" t="s">
        <v>3026</v>
      </c>
      <c r="D211" s="1" t="s">
        <v>38</v>
      </c>
      <c r="E211" s="1" t="s">
        <v>69</v>
      </c>
      <c r="F211" s="1"/>
      <c r="G211" s="1" t="s">
        <v>3027</v>
      </c>
      <c r="H211" s="2" t="s">
        <v>42</v>
      </c>
      <c r="I211" s="2" t="s">
        <v>42</v>
      </c>
      <c r="J211" s="7"/>
      <c r="K211" s="1" t="s">
        <v>42</v>
      </c>
      <c r="L211" s="1" t="s">
        <v>1251</v>
      </c>
      <c r="M211" s="2">
        <v>44722</v>
      </c>
      <c r="N211" s="1">
        <v>2</v>
      </c>
      <c r="O211" s="2" t="s">
        <v>42</v>
      </c>
      <c r="P211" s="1" t="s">
        <v>44</v>
      </c>
      <c r="Q211" s="1" t="s">
        <v>899</v>
      </c>
      <c r="R211" s="1" t="s">
        <v>42</v>
      </c>
      <c r="S211" s="1" t="s">
        <v>156</v>
      </c>
      <c r="T211" s="1" t="s">
        <v>42</v>
      </c>
      <c r="U211" s="2" t="s">
        <v>42</v>
      </c>
      <c r="V211" s="2">
        <v>45087</v>
      </c>
      <c r="W211" s="2" t="s">
        <v>42</v>
      </c>
      <c r="X211" s="1" t="s">
        <v>42</v>
      </c>
      <c r="Y211" s="2" t="s">
        <v>42</v>
      </c>
      <c r="Z211" s="1" t="s">
        <v>3028</v>
      </c>
      <c r="AA211" s="1" t="s">
        <v>42</v>
      </c>
      <c r="AB211" s="1" t="s">
        <v>42</v>
      </c>
      <c r="AC211" s="1" t="s">
        <v>42</v>
      </c>
      <c r="AD211" s="1"/>
      <c r="AE211" s="1" t="s">
        <v>42</v>
      </c>
      <c r="AF211" s="1"/>
      <c r="AG211" s="2">
        <v>44815</v>
      </c>
      <c r="AH211" s="1" t="s">
        <v>2985</v>
      </c>
      <c r="AI211" s="1" t="s">
        <v>42</v>
      </c>
      <c r="AJ211" s="1"/>
      <c r="AK211" s="2" t="s">
        <v>42</v>
      </c>
      <c r="AL211" s="1" t="s">
        <v>2806</v>
      </c>
    </row>
    <row r="212" spans="1:38" ht="20.100000000000001" customHeight="1" x14ac:dyDescent="0.2">
      <c r="A212" s="3">
        <f t="shared" si="6"/>
        <v>209</v>
      </c>
      <c r="B212" s="1" t="s">
        <v>1243</v>
      </c>
      <c r="C212" s="1" t="s">
        <v>1244</v>
      </c>
      <c r="D212" s="1" t="s">
        <v>38</v>
      </c>
      <c r="E212" s="1" t="s">
        <v>69</v>
      </c>
      <c r="F212" s="1" t="s">
        <v>70</v>
      </c>
      <c r="G212" s="1" t="s">
        <v>1245</v>
      </c>
      <c r="H212" s="2">
        <v>45436</v>
      </c>
      <c r="I212" s="2" t="s">
        <v>42</v>
      </c>
      <c r="J212" s="7"/>
      <c r="K212" s="1" t="s">
        <v>42</v>
      </c>
      <c r="L212" s="1" t="s">
        <v>134</v>
      </c>
      <c r="M212" s="2">
        <v>44777</v>
      </c>
      <c r="N212" s="1">
        <v>2</v>
      </c>
      <c r="O212" s="2" t="s">
        <v>42</v>
      </c>
      <c r="P212" s="1" t="s">
        <v>44</v>
      </c>
      <c r="Q212" s="1" t="s">
        <v>899</v>
      </c>
      <c r="R212" s="1" t="s">
        <v>900</v>
      </c>
      <c r="S212" s="1" t="s">
        <v>47</v>
      </c>
      <c r="T212" s="1" t="s">
        <v>42</v>
      </c>
      <c r="U212" s="2" t="s">
        <v>42</v>
      </c>
      <c r="V212" s="2">
        <v>45141</v>
      </c>
      <c r="W212" s="2" t="s">
        <v>42</v>
      </c>
      <c r="X212" s="1" t="s">
        <v>42</v>
      </c>
      <c r="Y212" s="2" t="s">
        <v>42</v>
      </c>
      <c r="Z212" s="1" t="s">
        <v>1246</v>
      </c>
      <c r="AA212" s="1" t="s">
        <v>42</v>
      </c>
      <c r="AB212" s="1" t="s">
        <v>1247</v>
      </c>
      <c r="AC212" s="1" t="s">
        <v>50</v>
      </c>
      <c r="AD212" s="1">
        <v>7026482336</v>
      </c>
      <c r="AE212" s="1" t="s">
        <v>903</v>
      </c>
      <c r="AF212" s="1" t="s">
        <v>904</v>
      </c>
      <c r="AG212" s="2" t="s">
        <v>42</v>
      </c>
      <c r="AH212" s="1"/>
      <c r="AI212" s="1" t="s">
        <v>42</v>
      </c>
      <c r="AJ212" s="1"/>
      <c r="AK212" s="2" t="s">
        <v>42</v>
      </c>
      <c r="AL212" s="1" t="s">
        <v>3507</v>
      </c>
    </row>
    <row r="213" spans="1:38" ht="20.100000000000001" customHeight="1" x14ac:dyDescent="0.2">
      <c r="A213" s="3">
        <f t="shared" si="6"/>
        <v>210</v>
      </c>
      <c r="B213" s="1" t="s">
        <v>3029</v>
      </c>
      <c r="C213" s="1" t="s">
        <v>3030</v>
      </c>
      <c r="D213" s="1" t="s">
        <v>38</v>
      </c>
      <c r="E213" s="1" t="s">
        <v>69</v>
      </c>
      <c r="F213" s="1"/>
      <c r="G213" s="1" t="s">
        <v>3031</v>
      </c>
      <c r="H213" s="2" t="s">
        <v>42</v>
      </c>
      <c r="I213" s="2" t="s">
        <v>42</v>
      </c>
      <c r="J213" s="7"/>
      <c r="K213" s="1" t="s">
        <v>42</v>
      </c>
      <c r="L213" s="1" t="s">
        <v>2915</v>
      </c>
      <c r="M213" s="2">
        <v>44606</v>
      </c>
      <c r="N213" s="1">
        <v>2</v>
      </c>
      <c r="O213" s="2" t="s">
        <v>42</v>
      </c>
      <c r="P213" s="1" t="s">
        <v>44</v>
      </c>
      <c r="Q213" s="1" t="s">
        <v>899</v>
      </c>
      <c r="R213" s="1" t="s">
        <v>42</v>
      </c>
      <c r="S213" s="1" t="s">
        <v>156</v>
      </c>
      <c r="T213" s="1" t="s">
        <v>42</v>
      </c>
      <c r="U213" s="2" t="s">
        <v>42</v>
      </c>
      <c r="V213" s="2">
        <v>44970</v>
      </c>
      <c r="W213" s="2" t="s">
        <v>42</v>
      </c>
      <c r="X213" s="1" t="s">
        <v>42</v>
      </c>
      <c r="Y213" s="2" t="s">
        <v>42</v>
      </c>
      <c r="Z213" s="1" t="s">
        <v>3032</v>
      </c>
      <c r="AA213" s="1" t="s">
        <v>42</v>
      </c>
      <c r="AB213" s="1" t="s">
        <v>42</v>
      </c>
      <c r="AC213" s="1" t="s">
        <v>42</v>
      </c>
      <c r="AD213" s="1"/>
      <c r="AE213" s="1" t="s">
        <v>42</v>
      </c>
      <c r="AF213" s="1"/>
      <c r="AG213" s="2">
        <v>44828</v>
      </c>
      <c r="AH213" s="1" t="s">
        <v>2985</v>
      </c>
      <c r="AI213" s="1" t="s">
        <v>42</v>
      </c>
      <c r="AJ213" s="1"/>
      <c r="AK213" s="2" t="s">
        <v>42</v>
      </c>
      <c r="AL213" s="1" t="s">
        <v>2806</v>
      </c>
    </row>
    <row r="214" spans="1:38" ht="20.100000000000001" customHeight="1" x14ac:dyDescent="0.2">
      <c r="A214" s="3">
        <f t="shared" si="6"/>
        <v>211</v>
      </c>
      <c r="B214" s="1" t="s">
        <v>1248</v>
      </c>
      <c r="C214" s="1" t="s">
        <v>1249</v>
      </c>
      <c r="D214" s="1" t="s">
        <v>38</v>
      </c>
      <c r="E214" s="1" t="s">
        <v>69</v>
      </c>
      <c r="F214" s="1" t="s">
        <v>70</v>
      </c>
      <c r="G214" s="1" t="s">
        <v>1250</v>
      </c>
      <c r="H214" s="2">
        <v>45201</v>
      </c>
      <c r="I214" s="2" t="s">
        <v>42</v>
      </c>
      <c r="J214" s="7"/>
      <c r="K214" s="1" t="s">
        <v>42</v>
      </c>
      <c r="L214" s="1" t="s">
        <v>1251</v>
      </c>
      <c r="M214" s="2">
        <v>44671</v>
      </c>
      <c r="N214" s="1">
        <v>2</v>
      </c>
      <c r="O214" s="2" t="s">
        <v>42</v>
      </c>
      <c r="P214" s="1" t="s">
        <v>44</v>
      </c>
      <c r="Q214" s="1" t="s">
        <v>899</v>
      </c>
      <c r="R214" s="1" t="s">
        <v>900</v>
      </c>
      <c r="S214" s="1" t="s">
        <v>156</v>
      </c>
      <c r="T214" s="1" t="s">
        <v>42</v>
      </c>
      <c r="U214" s="2" t="s">
        <v>42</v>
      </c>
      <c r="V214" s="2">
        <v>45035</v>
      </c>
      <c r="W214" s="2" t="s">
        <v>42</v>
      </c>
      <c r="X214" s="1" t="s">
        <v>42</v>
      </c>
      <c r="Y214" s="2" t="s">
        <v>42</v>
      </c>
      <c r="Z214" s="1" t="s">
        <v>1252</v>
      </c>
      <c r="AA214" s="1" t="s">
        <v>42</v>
      </c>
      <c r="AB214" s="1" t="s">
        <v>42</v>
      </c>
      <c r="AC214" s="1" t="s">
        <v>42</v>
      </c>
      <c r="AD214" s="1"/>
      <c r="AE214" s="1" t="s">
        <v>788</v>
      </c>
      <c r="AF214" s="1" t="s">
        <v>904</v>
      </c>
      <c r="AG214" s="2" t="s">
        <v>42</v>
      </c>
      <c r="AH214" s="1"/>
      <c r="AI214" s="1" t="s">
        <v>42</v>
      </c>
      <c r="AJ214" s="1"/>
      <c r="AK214" s="2" t="s">
        <v>42</v>
      </c>
      <c r="AL214" s="1" t="s">
        <v>3507</v>
      </c>
    </row>
    <row r="215" spans="1:38" ht="20.100000000000001" customHeight="1" x14ac:dyDescent="0.2">
      <c r="A215" s="3">
        <f t="shared" si="6"/>
        <v>212</v>
      </c>
      <c r="B215" s="1" t="s">
        <v>3033</v>
      </c>
      <c r="C215" s="1" t="s">
        <v>3034</v>
      </c>
      <c r="D215" s="1" t="s">
        <v>38</v>
      </c>
      <c r="E215" s="1" t="s">
        <v>54</v>
      </c>
      <c r="F215" s="1"/>
      <c r="G215" s="1" t="s">
        <v>3035</v>
      </c>
      <c r="H215" s="2" t="s">
        <v>42</v>
      </c>
      <c r="I215" s="2" t="s">
        <v>42</v>
      </c>
      <c r="J215" s="7"/>
      <c r="K215" s="1" t="s">
        <v>42</v>
      </c>
      <c r="L215" s="1" t="s">
        <v>916</v>
      </c>
      <c r="M215" s="2">
        <v>44581</v>
      </c>
      <c r="N215" s="1">
        <v>2</v>
      </c>
      <c r="O215" s="2" t="s">
        <v>42</v>
      </c>
      <c r="P215" s="1" t="s">
        <v>44</v>
      </c>
      <c r="Q215" s="1" t="s">
        <v>899</v>
      </c>
      <c r="R215" s="1" t="s">
        <v>42</v>
      </c>
      <c r="S215" s="1" t="s">
        <v>156</v>
      </c>
      <c r="T215" s="1" t="s">
        <v>42</v>
      </c>
      <c r="U215" s="2" t="s">
        <v>42</v>
      </c>
      <c r="V215" s="2">
        <v>45096</v>
      </c>
      <c r="W215" s="2" t="s">
        <v>42</v>
      </c>
      <c r="X215" s="1" t="s">
        <v>42</v>
      </c>
      <c r="Y215" s="2" t="s">
        <v>42</v>
      </c>
      <c r="Z215" s="1" t="s">
        <v>3036</v>
      </c>
      <c r="AA215" s="1" t="s">
        <v>42</v>
      </c>
      <c r="AB215" s="1" t="s">
        <v>42</v>
      </c>
      <c r="AC215" s="1" t="s">
        <v>42</v>
      </c>
      <c r="AD215" s="1"/>
      <c r="AE215" s="1" t="s">
        <v>42</v>
      </c>
      <c r="AF215" s="1"/>
      <c r="AG215" s="2" t="s">
        <v>42</v>
      </c>
      <c r="AH215" s="1" t="s">
        <v>2805</v>
      </c>
      <c r="AI215" s="1" t="s">
        <v>42</v>
      </c>
      <c r="AJ215" s="1"/>
      <c r="AK215" s="2" t="s">
        <v>42</v>
      </c>
      <c r="AL215" s="1" t="s">
        <v>2806</v>
      </c>
    </row>
    <row r="216" spans="1:38" ht="20.100000000000001" customHeight="1" x14ac:dyDescent="0.2">
      <c r="A216" s="3">
        <f t="shared" si="6"/>
        <v>213</v>
      </c>
      <c r="B216" s="1" t="s">
        <v>1253</v>
      </c>
      <c r="C216" s="1" t="s">
        <v>1254</v>
      </c>
      <c r="D216" s="1" t="s">
        <v>38</v>
      </c>
      <c r="E216" s="1" t="s">
        <v>69</v>
      </c>
      <c r="F216" s="1" t="s">
        <v>70</v>
      </c>
      <c r="G216" s="1" t="s">
        <v>1255</v>
      </c>
      <c r="H216" s="2">
        <v>45342</v>
      </c>
      <c r="I216" s="2" t="s">
        <v>42</v>
      </c>
      <c r="J216" s="7"/>
      <c r="K216" s="1" t="s">
        <v>42</v>
      </c>
      <c r="L216" s="1" t="s">
        <v>1256</v>
      </c>
      <c r="M216" s="2">
        <v>44576</v>
      </c>
      <c r="N216" s="1">
        <v>2</v>
      </c>
      <c r="O216" s="2" t="s">
        <v>42</v>
      </c>
      <c r="P216" s="1" t="s">
        <v>44</v>
      </c>
      <c r="Q216" s="1" t="s">
        <v>899</v>
      </c>
      <c r="R216" s="1" t="s">
        <v>900</v>
      </c>
      <c r="S216" s="1" t="s">
        <v>156</v>
      </c>
      <c r="T216" s="1" t="s">
        <v>42</v>
      </c>
      <c r="U216" s="2" t="s">
        <v>42</v>
      </c>
      <c r="V216" s="2">
        <v>45091</v>
      </c>
      <c r="W216" s="2" t="s">
        <v>42</v>
      </c>
      <c r="X216" s="1" t="s">
        <v>42</v>
      </c>
      <c r="Y216" s="2" t="s">
        <v>42</v>
      </c>
      <c r="Z216" s="1" t="s">
        <v>1257</v>
      </c>
      <c r="AA216" s="1" t="s">
        <v>42</v>
      </c>
      <c r="AB216" s="1" t="s">
        <v>1258</v>
      </c>
      <c r="AC216" s="1" t="s">
        <v>129</v>
      </c>
      <c r="AD216" s="1"/>
      <c r="AE216" s="1" t="s">
        <v>788</v>
      </c>
      <c r="AF216" s="1" t="s">
        <v>904</v>
      </c>
      <c r="AG216" s="2" t="s">
        <v>42</v>
      </c>
      <c r="AH216" s="1"/>
      <c r="AI216" s="1" t="s">
        <v>42</v>
      </c>
      <c r="AJ216" s="1"/>
      <c r="AK216" s="2" t="s">
        <v>42</v>
      </c>
      <c r="AL216" s="1" t="s">
        <v>3507</v>
      </c>
    </row>
    <row r="217" spans="1:38" ht="20.100000000000001" customHeight="1" x14ac:dyDescent="0.2">
      <c r="A217" s="3">
        <f t="shared" si="6"/>
        <v>214</v>
      </c>
      <c r="B217" s="1" t="s">
        <v>1259</v>
      </c>
      <c r="C217" s="1" t="s">
        <v>1260</v>
      </c>
      <c r="D217" s="1" t="s">
        <v>38</v>
      </c>
      <c r="E217" s="1" t="s">
        <v>69</v>
      </c>
      <c r="F217" s="1" t="s">
        <v>70</v>
      </c>
      <c r="G217" s="1" t="s">
        <v>1261</v>
      </c>
      <c r="H217" s="2">
        <v>45372</v>
      </c>
      <c r="I217" s="2" t="s">
        <v>42</v>
      </c>
      <c r="J217" s="7"/>
      <c r="K217" s="1" t="s">
        <v>42</v>
      </c>
      <c r="L217" s="1" t="s">
        <v>1262</v>
      </c>
      <c r="M217" s="2">
        <v>44484</v>
      </c>
      <c r="N217" s="1">
        <v>2</v>
      </c>
      <c r="O217" s="2" t="s">
        <v>42</v>
      </c>
      <c r="P217" s="1" t="s">
        <v>44</v>
      </c>
      <c r="Q217" s="1" t="s">
        <v>899</v>
      </c>
      <c r="R217" s="1" t="s">
        <v>900</v>
      </c>
      <c r="S217" s="1" t="s">
        <v>1263</v>
      </c>
      <c r="T217" s="1" t="s">
        <v>42</v>
      </c>
      <c r="U217" s="2" t="s">
        <v>42</v>
      </c>
      <c r="V217" s="2">
        <v>44848</v>
      </c>
      <c r="W217" s="2" t="s">
        <v>42</v>
      </c>
      <c r="X217" s="1" t="s">
        <v>42</v>
      </c>
      <c r="Y217" s="2" t="s">
        <v>42</v>
      </c>
      <c r="Z217" s="1" t="s">
        <v>1264</v>
      </c>
      <c r="AA217" s="1" t="s">
        <v>42</v>
      </c>
      <c r="AB217" s="1" t="s">
        <v>1265</v>
      </c>
      <c r="AC217" s="1" t="s">
        <v>50</v>
      </c>
      <c r="AD217" s="1" t="s">
        <v>42</v>
      </c>
      <c r="AE217" s="1" t="s">
        <v>1266</v>
      </c>
      <c r="AF217" s="1" t="s">
        <v>904</v>
      </c>
      <c r="AG217" s="2" t="s">
        <v>42</v>
      </c>
      <c r="AH217" s="1"/>
      <c r="AI217" s="1" t="s">
        <v>1267</v>
      </c>
      <c r="AJ217" s="1"/>
      <c r="AK217" s="2" t="s">
        <v>42</v>
      </c>
      <c r="AL217" s="1" t="s">
        <v>3507</v>
      </c>
    </row>
    <row r="218" spans="1:38" ht="20.100000000000001" customHeight="1" x14ac:dyDescent="0.2">
      <c r="A218" s="3">
        <f t="shared" si="6"/>
        <v>215</v>
      </c>
      <c r="B218" s="1" t="s">
        <v>1268</v>
      </c>
      <c r="C218" s="1" t="s">
        <v>1269</v>
      </c>
      <c r="D218" s="1" t="s">
        <v>38</v>
      </c>
      <c r="E218" s="1" t="s">
        <v>69</v>
      </c>
      <c r="F218" s="1" t="s">
        <v>70</v>
      </c>
      <c r="G218" s="1" t="s">
        <v>1270</v>
      </c>
      <c r="H218" s="2">
        <v>45593</v>
      </c>
      <c r="I218" s="2" t="s">
        <v>42</v>
      </c>
      <c r="J218" s="7"/>
      <c r="K218" s="1" t="s">
        <v>42</v>
      </c>
      <c r="L218" s="1" t="s">
        <v>72</v>
      </c>
      <c r="M218" s="2">
        <v>44576</v>
      </c>
      <c r="N218" s="1">
        <v>2</v>
      </c>
      <c r="O218" s="2" t="s">
        <v>42</v>
      </c>
      <c r="P218" s="1" t="s">
        <v>44</v>
      </c>
      <c r="Q218" s="1" t="s">
        <v>899</v>
      </c>
      <c r="R218" s="1" t="s">
        <v>900</v>
      </c>
      <c r="S218" s="1" t="s">
        <v>47</v>
      </c>
      <c r="T218" s="1" t="s">
        <v>42</v>
      </c>
      <c r="U218" s="2" t="s">
        <v>42</v>
      </c>
      <c r="V218" s="2">
        <v>45091</v>
      </c>
      <c r="W218" s="2" t="s">
        <v>42</v>
      </c>
      <c r="X218" s="1" t="s">
        <v>42</v>
      </c>
      <c r="Y218" s="2" t="s">
        <v>42</v>
      </c>
      <c r="Z218" s="1" t="s">
        <v>1271</v>
      </c>
      <c r="AA218" s="1" t="s">
        <v>1272</v>
      </c>
      <c r="AB218" s="1" t="s">
        <v>1273</v>
      </c>
      <c r="AC218" s="1" t="s">
        <v>50</v>
      </c>
      <c r="AD218" s="1">
        <v>7026482336</v>
      </c>
      <c r="AE218" s="1" t="s">
        <v>903</v>
      </c>
      <c r="AF218" s="1" t="s">
        <v>904</v>
      </c>
      <c r="AG218" s="2" t="s">
        <v>42</v>
      </c>
      <c r="AH218" s="1"/>
      <c r="AI218" s="1" t="s">
        <v>42</v>
      </c>
      <c r="AJ218" s="1"/>
      <c r="AK218" s="2" t="s">
        <v>42</v>
      </c>
      <c r="AL218" s="1" t="s">
        <v>3507</v>
      </c>
    </row>
    <row r="219" spans="1:38" ht="20.100000000000001" customHeight="1" x14ac:dyDescent="0.2">
      <c r="A219" s="3">
        <f t="shared" si="6"/>
        <v>216</v>
      </c>
      <c r="B219" s="1" t="s">
        <v>1274</v>
      </c>
      <c r="C219" s="1" t="s">
        <v>1275</v>
      </c>
      <c r="D219" s="1" t="s">
        <v>121</v>
      </c>
      <c r="E219" s="1" t="s">
        <v>39</v>
      </c>
      <c r="F219" s="1" t="s">
        <v>40</v>
      </c>
      <c r="G219" s="1" t="s">
        <v>1276</v>
      </c>
      <c r="H219" s="2">
        <v>47702</v>
      </c>
      <c r="I219" s="2">
        <v>31039</v>
      </c>
      <c r="J219" s="7">
        <f t="shared" ca="1" si="7"/>
        <v>38.873972602739727</v>
      </c>
      <c r="K219" s="1" t="s">
        <v>42</v>
      </c>
      <c r="L219" s="1" t="s">
        <v>211</v>
      </c>
      <c r="M219" s="2">
        <v>44790</v>
      </c>
      <c r="N219" s="1">
        <v>2</v>
      </c>
      <c r="O219" s="2">
        <v>45130</v>
      </c>
      <c r="P219" s="1" t="s">
        <v>165</v>
      </c>
      <c r="Q219" s="1" t="s">
        <v>166</v>
      </c>
      <c r="R219" s="1" t="s">
        <v>60</v>
      </c>
      <c r="S219" s="1" t="s">
        <v>47</v>
      </c>
      <c r="T219" s="1">
        <v>8</v>
      </c>
      <c r="U219" s="2" t="s">
        <v>42</v>
      </c>
      <c r="V219" s="2">
        <v>45154</v>
      </c>
      <c r="W219" s="2" t="s">
        <v>42</v>
      </c>
      <c r="X219" s="1" t="s">
        <v>42</v>
      </c>
      <c r="Y219" s="2" t="s">
        <v>42</v>
      </c>
      <c r="Z219" s="1" t="s">
        <v>1277</v>
      </c>
      <c r="AA219" s="1" t="s">
        <v>1278</v>
      </c>
      <c r="AB219" s="1" t="s">
        <v>1279</v>
      </c>
      <c r="AC219" s="1" t="s">
        <v>50</v>
      </c>
      <c r="AD219" s="1">
        <v>7014477116</v>
      </c>
      <c r="AE219" s="1" t="s">
        <v>65</v>
      </c>
      <c r="AF219" s="1" t="s">
        <v>66</v>
      </c>
      <c r="AG219" s="2" t="s">
        <v>42</v>
      </c>
      <c r="AH219" s="1"/>
      <c r="AI219" s="1" t="s">
        <v>42</v>
      </c>
      <c r="AJ219" s="1"/>
      <c r="AK219" s="2" t="s">
        <v>42</v>
      </c>
      <c r="AL219" s="1" t="s">
        <v>3507</v>
      </c>
    </row>
    <row r="220" spans="1:38" ht="20.100000000000001" customHeight="1" x14ac:dyDescent="0.2">
      <c r="A220" s="3">
        <f t="shared" si="6"/>
        <v>217</v>
      </c>
      <c r="B220" s="1" t="s">
        <v>3037</v>
      </c>
      <c r="C220" s="1" t="s">
        <v>3038</v>
      </c>
      <c r="D220" s="1" t="s">
        <v>121</v>
      </c>
      <c r="E220" s="1" t="s">
        <v>39</v>
      </c>
      <c r="F220" s="1" t="s">
        <v>40</v>
      </c>
      <c r="G220" s="1" t="s">
        <v>3039</v>
      </c>
      <c r="H220" s="2">
        <v>45619</v>
      </c>
      <c r="I220" s="2">
        <v>36287</v>
      </c>
      <c r="J220" s="7">
        <f t="shared" ca="1" si="7"/>
        <v>24.495890410958904</v>
      </c>
      <c r="K220" s="1" t="s">
        <v>211</v>
      </c>
      <c r="L220" s="1" t="s">
        <v>42</v>
      </c>
      <c r="M220" s="2">
        <v>44778</v>
      </c>
      <c r="N220" s="1">
        <v>2</v>
      </c>
      <c r="O220" s="2" t="s">
        <v>42</v>
      </c>
      <c r="P220" s="1" t="s">
        <v>44</v>
      </c>
      <c r="Q220" s="1" t="s">
        <v>306</v>
      </c>
      <c r="R220" s="1" t="s">
        <v>60</v>
      </c>
      <c r="S220" s="1" t="s">
        <v>47</v>
      </c>
      <c r="T220" s="1" t="s">
        <v>42</v>
      </c>
      <c r="U220" s="2" t="s">
        <v>42</v>
      </c>
      <c r="V220" s="2" t="s">
        <v>42</v>
      </c>
      <c r="W220" s="2" t="s">
        <v>42</v>
      </c>
      <c r="X220" s="1" t="s">
        <v>42</v>
      </c>
      <c r="Y220" s="2" t="s">
        <v>42</v>
      </c>
      <c r="Z220" s="1" t="s">
        <v>42</v>
      </c>
      <c r="AA220" s="1" t="s">
        <v>3040</v>
      </c>
      <c r="AB220" s="1" t="s">
        <v>3041</v>
      </c>
      <c r="AC220" s="1" t="s">
        <v>129</v>
      </c>
      <c r="AD220" s="1">
        <v>7015572543</v>
      </c>
      <c r="AE220" s="1" t="s">
        <v>3506</v>
      </c>
      <c r="AF220" s="1"/>
      <c r="AG220" s="2">
        <v>45077</v>
      </c>
      <c r="AH220" s="1" t="s">
        <v>2812</v>
      </c>
      <c r="AI220" s="1" t="s">
        <v>42</v>
      </c>
      <c r="AJ220" s="1"/>
      <c r="AK220" s="2" t="s">
        <v>42</v>
      </c>
      <c r="AL220" s="1" t="s">
        <v>2806</v>
      </c>
    </row>
    <row r="221" spans="1:38" ht="20.100000000000001" customHeight="1" x14ac:dyDescent="0.2">
      <c r="A221" s="3">
        <f t="shared" si="6"/>
        <v>218</v>
      </c>
      <c r="B221" s="1" t="s">
        <v>3042</v>
      </c>
      <c r="C221" s="1" t="s">
        <v>3043</v>
      </c>
      <c r="D221" s="1" t="s">
        <v>121</v>
      </c>
      <c r="E221" s="1" t="s">
        <v>39</v>
      </c>
      <c r="F221" s="1" t="s">
        <v>40</v>
      </c>
      <c r="G221" s="1" t="s">
        <v>3044</v>
      </c>
      <c r="H221" s="2">
        <v>46185</v>
      </c>
      <c r="I221" s="2">
        <v>35555</v>
      </c>
      <c r="J221" s="7">
        <f t="shared" ca="1" si="7"/>
        <v>26.5013698630137</v>
      </c>
      <c r="K221" s="1" t="s">
        <v>42</v>
      </c>
      <c r="L221" s="1" t="s">
        <v>211</v>
      </c>
      <c r="M221" s="2">
        <v>44791</v>
      </c>
      <c r="N221" s="1">
        <v>2</v>
      </c>
      <c r="O221" s="2" t="s">
        <v>42</v>
      </c>
      <c r="P221" s="1" t="s">
        <v>44</v>
      </c>
      <c r="Q221" s="1" t="s">
        <v>306</v>
      </c>
      <c r="R221" s="1" t="s">
        <v>42</v>
      </c>
      <c r="S221" s="1" t="s">
        <v>47</v>
      </c>
      <c r="T221" s="1" t="s">
        <v>42</v>
      </c>
      <c r="U221" s="2" t="s">
        <v>42</v>
      </c>
      <c r="V221" s="2" t="s">
        <v>42</v>
      </c>
      <c r="W221" s="2" t="s">
        <v>42</v>
      </c>
      <c r="X221" s="1" t="s">
        <v>42</v>
      </c>
      <c r="Y221" s="2" t="s">
        <v>42</v>
      </c>
      <c r="Z221" s="1" t="s">
        <v>42</v>
      </c>
      <c r="AA221" s="1" t="s">
        <v>42</v>
      </c>
      <c r="AB221" s="1" t="s">
        <v>3045</v>
      </c>
      <c r="AC221" s="1" t="s">
        <v>129</v>
      </c>
      <c r="AD221" s="1">
        <v>7015572543</v>
      </c>
      <c r="AE221" s="1" t="s">
        <v>3506</v>
      </c>
      <c r="AF221" s="1"/>
      <c r="AG221" s="2">
        <v>44905</v>
      </c>
      <c r="AH221" s="1" t="s">
        <v>2812</v>
      </c>
      <c r="AI221" s="1" t="s">
        <v>42</v>
      </c>
      <c r="AJ221" s="1"/>
      <c r="AK221" s="2" t="s">
        <v>42</v>
      </c>
      <c r="AL221" s="1" t="s">
        <v>2806</v>
      </c>
    </row>
    <row r="222" spans="1:38" ht="20.100000000000001" customHeight="1" x14ac:dyDescent="0.2">
      <c r="A222" s="3">
        <f t="shared" si="6"/>
        <v>219</v>
      </c>
      <c r="B222" s="1" t="s">
        <v>1280</v>
      </c>
      <c r="C222" s="1" t="s">
        <v>1281</v>
      </c>
      <c r="D222" s="1" t="s">
        <v>38</v>
      </c>
      <c r="E222" s="1" t="s">
        <v>54</v>
      </c>
      <c r="F222" s="1" t="s">
        <v>55</v>
      </c>
      <c r="G222" s="1" t="s">
        <v>1282</v>
      </c>
      <c r="H222" s="2">
        <v>45426</v>
      </c>
      <c r="I222" s="2">
        <v>35409</v>
      </c>
      <c r="J222" s="7">
        <f t="shared" ca="1" si="7"/>
        <v>26.901369863013699</v>
      </c>
      <c r="K222" s="1" t="s">
        <v>1089</v>
      </c>
      <c r="L222" s="1" t="s">
        <v>1083</v>
      </c>
      <c r="M222" s="2">
        <v>44784</v>
      </c>
      <c r="N222" s="1">
        <v>2</v>
      </c>
      <c r="O222" s="2" t="s">
        <v>42</v>
      </c>
      <c r="P222" s="1" t="s">
        <v>44</v>
      </c>
      <c r="Q222" s="1" t="s">
        <v>431</v>
      </c>
      <c r="R222" s="1" t="s">
        <v>606</v>
      </c>
      <c r="S222" s="1" t="s">
        <v>47</v>
      </c>
      <c r="T222" s="1" t="s">
        <v>42</v>
      </c>
      <c r="U222" s="2" t="s">
        <v>42</v>
      </c>
      <c r="V222" s="2">
        <v>45148</v>
      </c>
      <c r="W222" s="2">
        <v>45144</v>
      </c>
      <c r="X222" s="1" t="s">
        <v>42</v>
      </c>
      <c r="Y222" s="2" t="s">
        <v>42</v>
      </c>
      <c r="Z222" s="1" t="s">
        <v>1084</v>
      </c>
      <c r="AA222" s="1" t="s">
        <v>42</v>
      </c>
      <c r="AB222" s="1" t="s">
        <v>1283</v>
      </c>
      <c r="AC222" s="1" t="s">
        <v>617</v>
      </c>
      <c r="AD222" s="1">
        <v>7009073037</v>
      </c>
      <c r="AE222" s="1" t="s">
        <v>103</v>
      </c>
      <c r="AF222" s="1" t="s">
        <v>436</v>
      </c>
      <c r="AG222" s="2" t="s">
        <v>42</v>
      </c>
      <c r="AH222" s="1"/>
      <c r="AI222" s="1" t="s">
        <v>42</v>
      </c>
      <c r="AJ222" s="1"/>
      <c r="AK222" s="2" t="s">
        <v>42</v>
      </c>
      <c r="AL222" s="1" t="s">
        <v>3507</v>
      </c>
    </row>
    <row r="223" spans="1:38" ht="20.100000000000001" customHeight="1" x14ac:dyDescent="0.2">
      <c r="A223" s="3">
        <f t="shared" si="6"/>
        <v>220</v>
      </c>
      <c r="B223" s="1" t="s">
        <v>1284</v>
      </c>
      <c r="C223" s="1" t="s">
        <v>1285</v>
      </c>
      <c r="D223" s="1" t="s">
        <v>38</v>
      </c>
      <c r="E223" s="1" t="s">
        <v>54</v>
      </c>
      <c r="F223" s="1" t="s">
        <v>55</v>
      </c>
      <c r="G223" s="1" t="s">
        <v>1286</v>
      </c>
      <c r="H223" s="2">
        <v>45288</v>
      </c>
      <c r="I223" s="2">
        <v>36322</v>
      </c>
      <c r="J223" s="7">
        <f t="shared" ca="1" si="7"/>
        <v>24.4</v>
      </c>
      <c r="K223" s="1" t="s">
        <v>1082</v>
      </c>
      <c r="L223" s="1" t="s">
        <v>1083</v>
      </c>
      <c r="M223" s="2">
        <v>44792</v>
      </c>
      <c r="N223" s="1">
        <v>2</v>
      </c>
      <c r="O223" s="2" t="s">
        <v>42</v>
      </c>
      <c r="P223" s="1" t="s">
        <v>44</v>
      </c>
      <c r="Q223" s="1" t="s">
        <v>431</v>
      </c>
      <c r="R223" s="1" t="s">
        <v>1122</v>
      </c>
      <c r="S223" s="1" t="s">
        <v>47</v>
      </c>
      <c r="T223" s="1">
        <v>8</v>
      </c>
      <c r="U223" s="2" t="s">
        <v>42</v>
      </c>
      <c r="V223" s="2">
        <v>45156</v>
      </c>
      <c r="W223" s="2">
        <v>45150</v>
      </c>
      <c r="X223" s="1" t="s">
        <v>1287</v>
      </c>
      <c r="Y223" s="2">
        <v>48137</v>
      </c>
      <c r="Z223" s="1" t="s">
        <v>1288</v>
      </c>
      <c r="AA223" s="1" t="s">
        <v>1289</v>
      </c>
      <c r="AB223" s="1" t="s">
        <v>1290</v>
      </c>
      <c r="AC223" s="1" t="s">
        <v>522</v>
      </c>
      <c r="AD223" s="1">
        <v>7009073037</v>
      </c>
      <c r="AE223" s="1" t="s">
        <v>103</v>
      </c>
      <c r="AF223" s="1" t="s">
        <v>436</v>
      </c>
      <c r="AG223" s="2" t="s">
        <v>42</v>
      </c>
      <c r="AH223" s="1"/>
      <c r="AI223" s="1" t="s">
        <v>42</v>
      </c>
      <c r="AJ223" s="1"/>
      <c r="AK223" s="2" t="s">
        <v>42</v>
      </c>
      <c r="AL223" s="1" t="s">
        <v>3507</v>
      </c>
    </row>
    <row r="224" spans="1:38" ht="20.100000000000001" customHeight="1" x14ac:dyDescent="0.2">
      <c r="A224" s="3">
        <f t="shared" si="6"/>
        <v>221</v>
      </c>
      <c r="B224" s="1" t="s">
        <v>1291</v>
      </c>
      <c r="C224" s="1" t="s">
        <v>1292</v>
      </c>
      <c r="D224" s="1" t="s">
        <v>38</v>
      </c>
      <c r="E224" s="1" t="s">
        <v>54</v>
      </c>
      <c r="F224" s="1" t="s">
        <v>55</v>
      </c>
      <c r="G224" s="1" t="s">
        <v>1293</v>
      </c>
      <c r="H224" s="2">
        <v>45360</v>
      </c>
      <c r="I224" s="2">
        <v>36557</v>
      </c>
      <c r="J224" s="7">
        <f t="shared" ca="1" si="7"/>
        <v>23.756164383561643</v>
      </c>
      <c r="K224" s="1" t="s">
        <v>1294</v>
      </c>
      <c r="L224" s="1" t="s">
        <v>1083</v>
      </c>
      <c r="M224" s="2">
        <v>44790</v>
      </c>
      <c r="N224" s="1">
        <v>2</v>
      </c>
      <c r="O224" s="2" t="s">
        <v>42</v>
      </c>
      <c r="P224" s="1" t="s">
        <v>44</v>
      </c>
      <c r="Q224" s="1" t="s">
        <v>431</v>
      </c>
      <c r="R224" s="1" t="s">
        <v>432</v>
      </c>
      <c r="S224" s="1" t="s">
        <v>47</v>
      </c>
      <c r="T224" s="1" t="s">
        <v>42</v>
      </c>
      <c r="U224" s="2" t="s">
        <v>42</v>
      </c>
      <c r="V224" s="2">
        <v>45154</v>
      </c>
      <c r="W224" s="2" t="s">
        <v>42</v>
      </c>
      <c r="X224" s="1" t="s">
        <v>1295</v>
      </c>
      <c r="Y224" s="2">
        <v>48200</v>
      </c>
      <c r="Z224" s="1" t="s">
        <v>1296</v>
      </c>
      <c r="AA224" s="1" t="s">
        <v>1297</v>
      </c>
      <c r="AB224" s="1" t="s">
        <v>1298</v>
      </c>
      <c r="AC224" s="1" t="s">
        <v>266</v>
      </c>
      <c r="AD224" s="1">
        <v>7009073037</v>
      </c>
      <c r="AE224" s="1" t="s">
        <v>103</v>
      </c>
      <c r="AF224" s="1" t="s">
        <v>436</v>
      </c>
      <c r="AG224" s="2" t="s">
        <v>42</v>
      </c>
      <c r="AH224" s="1"/>
      <c r="AI224" s="1" t="s">
        <v>42</v>
      </c>
      <c r="AJ224" s="1"/>
      <c r="AK224" s="2" t="s">
        <v>42</v>
      </c>
      <c r="AL224" s="1" t="s">
        <v>3507</v>
      </c>
    </row>
    <row r="225" spans="1:38" ht="20.100000000000001" customHeight="1" x14ac:dyDescent="0.2">
      <c r="A225" s="3">
        <f t="shared" si="6"/>
        <v>222</v>
      </c>
      <c r="B225" s="1" t="s">
        <v>1299</v>
      </c>
      <c r="C225" s="1" t="s">
        <v>1300</v>
      </c>
      <c r="D225" s="1" t="s">
        <v>38</v>
      </c>
      <c r="E225" s="1" t="s">
        <v>54</v>
      </c>
      <c r="F225" s="1" t="s">
        <v>55</v>
      </c>
      <c r="G225" s="1" t="s">
        <v>1301</v>
      </c>
      <c r="H225" s="2">
        <v>45361</v>
      </c>
      <c r="I225" s="2">
        <v>35807</v>
      </c>
      <c r="J225" s="7">
        <f t="shared" ca="1" si="7"/>
        <v>25.81095890410959</v>
      </c>
      <c r="K225" s="1" t="s">
        <v>429</v>
      </c>
      <c r="L225" s="1" t="s">
        <v>1083</v>
      </c>
      <c r="M225" s="2">
        <v>44792</v>
      </c>
      <c r="N225" s="1">
        <v>2</v>
      </c>
      <c r="O225" s="2" t="s">
        <v>42</v>
      </c>
      <c r="P225" s="1" t="s">
        <v>44</v>
      </c>
      <c r="Q225" s="1" t="s">
        <v>431</v>
      </c>
      <c r="R225" s="1" t="s">
        <v>432</v>
      </c>
      <c r="S225" s="1" t="s">
        <v>47</v>
      </c>
      <c r="T225" s="1" t="s">
        <v>42</v>
      </c>
      <c r="U225" s="2" t="s">
        <v>42</v>
      </c>
      <c r="V225" s="2">
        <v>45156</v>
      </c>
      <c r="W225" s="2">
        <v>45150</v>
      </c>
      <c r="X225" s="1" t="s">
        <v>1302</v>
      </c>
      <c r="Y225" s="2">
        <v>46210</v>
      </c>
      <c r="Z225" s="1" t="s">
        <v>1303</v>
      </c>
      <c r="AA225" s="1" t="s">
        <v>1304</v>
      </c>
      <c r="AB225" s="1" t="s">
        <v>1305</v>
      </c>
      <c r="AC225" s="1" t="s">
        <v>266</v>
      </c>
      <c r="AD225" s="1">
        <v>7009073037</v>
      </c>
      <c r="AE225" s="1" t="s">
        <v>103</v>
      </c>
      <c r="AF225" s="1" t="s">
        <v>436</v>
      </c>
      <c r="AG225" s="2" t="s">
        <v>42</v>
      </c>
      <c r="AH225" s="1"/>
      <c r="AI225" s="1" t="s">
        <v>42</v>
      </c>
      <c r="AJ225" s="1"/>
      <c r="AK225" s="2" t="s">
        <v>42</v>
      </c>
      <c r="AL225" s="1" t="s">
        <v>3507</v>
      </c>
    </row>
    <row r="226" spans="1:38" ht="20.100000000000001" customHeight="1" x14ac:dyDescent="0.2">
      <c r="A226" s="3">
        <f t="shared" si="6"/>
        <v>223</v>
      </c>
      <c r="B226" s="1" t="s">
        <v>1306</v>
      </c>
      <c r="C226" s="1" t="s">
        <v>1307</v>
      </c>
      <c r="D226" s="1" t="s">
        <v>38</v>
      </c>
      <c r="E226" s="1" t="s">
        <v>54</v>
      </c>
      <c r="F226" s="1" t="s">
        <v>55</v>
      </c>
      <c r="G226" s="1" t="s">
        <v>1308</v>
      </c>
      <c r="H226" s="2">
        <v>45344</v>
      </c>
      <c r="I226" s="2">
        <v>36283</v>
      </c>
      <c r="J226" s="7">
        <f t="shared" ca="1" si="7"/>
        <v>24.506849315068493</v>
      </c>
      <c r="K226" s="1" t="s">
        <v>1089</v>
      </c>
      <c r="L226" s="1" t="s">
        <v>1089</v>
      </c>
      <c r="M226" s="2">
        <v>44785</v>
      </c>
      <c r="N226" s="1">
        <v>2</v>
      </c>
      <c r="O226" s="2" t="s">
        <v>42</v>
      </c>
      <c r="P226" s="1" t="s">
        <v>44</v>
      </c>
      <c r="Q226" s="1" t="s">
        <v>1309</v>
      </c>
      <c r="R226" s="1" t="s">
        <v>432</v>
      </c>
      <c r="S226" s="1" t="s">
        <v>47</v>
      </c>
      <c r="T226" s="1" t="s">
        <v>42</v>
      </c>
      <c r="U226" s="2" t="s">
        <v>42</v>
      </c>
      <c r="V226" s="2">
        <v>45149</v>
      </c>
      <c r="W226" s="2" t="s">
        <v>42</v>
      </c>
      <c r="X226" s="1" t="s">
        <v>42</v>
      </c>
      <c r="Y226" s="2" t="s">
        <v>42</v>
      </c>
      <c r="Z226" s="1" t="s">
        <v>1084</v>
      </c>
      <c r="AA226" s="1" t="s">
        <v>42</v>
      </c>
      <c r="AB226" s="1" t="s">
        <v>1310</v>
      </c>
      <c r="AC226" s="1" t="s">
        <v>266</v>
      </c>
      <c r="AD226" s="1">
        <v>7009073037</v>
      </c>
      <c r="AE226" s="1" t="s">
        <v>103</v>
      </c>
      <c r="AF226" s="1" t="s">
        <v>436</v>
      </c>
      <c r="AG226" s="2" t="s">
        <v>42</v>
      </c>
      <c r="AH226" s="1"/>
      <c r="AI226" s="1" t="s">
        <v>42</v>
      </c>
      <c r="AJ226" s="1"/>
      <c r="AK226" s="2" t="s">
        <v>42</v>
      </c>
      <c r="AL226" s="1" t="s">
        <v>3507</v>
      </c>
    </row>
    <row r="227" spans="1:38" ht="20.100000000000001" customHeight="1" x14ac:dyDescent="0.2">
      <c r="A227" s="3">
        <f t="shared" si="6"/>
        <v>224</v>
      </c>
      <c r="B227" s="1" t="s">
        <v>1311</v>
      </c>
      <c r="C227" s="1" t="s">
        <v>1312</v>
      </c>
      <c r="D227" s="1" t="s">
        <v>38</v>
      </c>
      <c r="E227" s="1" t="s">
        <v>69</v>
      </c>
      <c r="F227" s="1" t="s">
        <v>70</v>
      </c>
      <c r="G227" s="1" t="s">
        <v>1313</v>
      </c>
      <c r="H227" s="2">
        <v>45299</v>
      </c>
      <c r="I227" s="2">
        <v>28341</v>
      </c>
      <c r="J227" s="7">
        <f t="shared" ca="1" si="7"/>
        <v>46.265753424657532</v>
      </c>
      <c r="K227" s="1" t="s">
        <v>195</v>
      </c>
      <c r="L227" s="1" t="s">
        <v>1127</v>
      </c>
      <c r="M227" s="2">
        <v>44791</v>
      </c>
      <c r="N227" s="1">
        <v>2</v>
      </c>
      <c r="O227" s="2" t="s">
        <v>42</v>
      </c>
      <c r="P227" s="1" t="s">
        <v>44</v>
      </c>
      <c r="Q227" s="1" t="s">
        <v>431</v>
      </c>
      <c r="R227" s="1" t="s">
        <v>1314</v>
      </c>
      <c r="S227" s="1" t="s">
        <v>47</v>
      </c>
      <c r="T227" s="1" t="s">
        <v>42</v>
      </c>
      <c r="U227" s="2" t="s">
        <v>42</v>
      </c>
      <c r="V227" s="2">
        <v>45155</v>
      </c>
      <c r="W227" s="2" t="s">
        <v>42</v>
      </c>
      <c r="X227" s="1" t="s">
        <v>42</v>
      </c>
      <c r="Y227" s="2" t="s">
        <v>42</v>
      </c>
      <c r="Z227" s="1" t="s">
        <v>1315</v>
      </c>
      <c r="AA227" s="1" t="s">
        <v>42</v>
      </c>
      <c r="AB227" s="1" t="s">
        <v>1316</v>
      </c>
      <c r="AC227" s="1" t="s">
        <v>50</v>
      </c>
      <c r="AD227" s="1">
        <v>1098629221</v>
      </c>
      <c r="AE227" s="1" t="s">
        <v>1317</v>
      </c>
      <c r="AF227" s="1" t="s">
        <v>436</v>
      </c>
      <c r="AG227" s="2" t="s">
        <v>42</v>
      </c>
      <c r="AH227" s="1"/>
      <c r="AI227" s="1" t="s">
        <v>962</v>
      </c>
      <c r="AJ227" s="1"/>
      <c r="AK227" s="2" t="s">
        <v>42</v>
      </c>
      <c r="AL227" s="1" t="s">
        <v>3507</v>
      </c>
    </row>
    <row r="228" spans="1:38" ht="20.100000000000001" customHeight="1" x14ac:dyDescent="0.2">
      <c r="A228" s="3">
        <f t="shared" si="6"/>
        <v>225</v>
      </c>
      <c r="B228" s="1" t="s">
        <v>3046</v>
      </c>
      <c r="C228" s="1" t="s">
        <v>3047</v>
      </c>
      <c r="D228" s="1" t="s">
        <v>121</v>
      </c>
      <c r="E228" s="1" t="s">
        <v>39</v>
      </c>
      <c r="F228" s="1"/>
      <c r="G228" s="1" t="s">
        <v>42</v>
      </c>
      <c r="H228" s="2" t="s">
        <v>42</v>
      </c>
      <c r="I228" s="2" t="s">
        <v>42</v>
      </c>
      <c r="J228" s="7"/>
      <c r="K228" s="1" t="s">
        <v>42</v>
      </c>
      <c r="L228" s="1" t="s">
        <v>211</v>
      </c>
      <c r="M228" s="2">
        <v>44778</v>
      </c>
      <c r="N228" s="1">
        <v>2</v>
      </c>
      <c r="O228" s="2" t="s">
        <v>42</v>
      </c>
      <c r="P228" s="1" t="s">
        <v>44</v>
      </c>
      <c r="Q228" s="1" t="s">
        <v>306</v>
      </c>
      <c r="R228" s="1" t="s">
        <v>42</v>
      </c>
      <c r="S228" s="1" t="s">
        <v>47</v>
      </c>
      <c r="T228" s="1">
        <v>8</v>
      </c>
      <c r="U228" s="2" t="s">
        <v>42</v>
      </c>
      <c r="V228" s="2">
        <v>44782</v>
      </c>
      <c r="W228" s="2" t="s">
        <v>42</v>
      </c>
      <c r="X228" s="1" t="s">
        <v>42</v>
      </c>
      <c r="Y228" s="2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>
        <v>7015572543</v>
      </c>
      <c r="AE228" s="1" t="s">
        <v>3506</v>
      </c>
      <c r="AF228" s="1"/>
      <c r="AG228" s="2">
        <v>44782</v>
      </c>
      <c r="AH228" s="1" t="s">
        <v>2812</v>
      </c>
      <c r="AI228" s="1" t="s">
        <v>42</v>
      </c>
      <c r="AJ228" s="1"/>
      <c r="AK228" s="2" t="s">
        <v>42</v>
      </c>
      <c r="AL228" s="1" t="s">
        <v>2806</v>
      </c>
    </row>
    <row r="229" spans="1:38" ht="20.100000000000001" customHeight="1" x14ac:dyDescent="0.2">
      <c r="A229" s="3">
        <f t="shared" si="6"/>
        <v>226</v>
      </c>
      <c r="B229" s="1" t="s">
        <v>1318</v>
      </c>
      <c r="C229" s="1" t="s">
        <v>1319</v>
      </c>
      <c r="D229" s="1" t="s">
        <v>121</v>
      </c>
      <c r="E229" s="1" t="s">
        <v>39</v>
      </c>
      <c r="F229" s="1" t="s">
        <v>40</v>
      </c>
      <c r="G229" s="1" t="s">
        <v>1320</v>
      </c>
      <c r="H229" s="2" t="s">
        <v>42</v>
      </c>
      <c r="I229" s="2" t="s">
        <v>42</v>
      </c>
      <c r="J229" s="7"/>
      <c r="K229" s="1" t="s">
        <v>42</v>
      </c>
      <c r="L229" s="1" t="s">
        <v>42</v>
      </c>
      <c r="M229" s="2" t="s">
        <v>42</v>
      </c>
      <c r="N229" s="1">
        <v>2</v>
      </c>
      <c r="O229" s="2" t="s">
        <v>42</v>
      </c>
      <c r="P229" s="1" t="s">
        <v>44</v>
      </c>
      <c r="Q229" s="1" t="s">
        <v>178</v>
      </c>
      <c r="R229" s="1" t="s">
        <v>179</v>
      </c>
      <c r="S229" s="1" t="s">
        <v>754</v>
      </c>
      <c r="T229" s="1" t="s">
        <v>42</v>
      </c>
      <c r="U229" s="2" t="s">
        <v>42</v>
      </c>
      <c r="V229" s="2" t="s">
        <v>42</v>
      </c>
      <c r="W229" s="2" t="s">
        <v>42</v>
      </c>
      <c r="X229" s="1" t="s">
        <v>42</v>
      </c>
      <c r="Y229" s="2" t="s">
        <v>42</v>
      </c>
      <c r="Z229" s="1" t="s">
        <v>42</v>
      </c>
      <c r="AA229" s="1" t="s">
        <v>42</v>
      </c>
      <c r="AB229" s="1" t="s">
        <v>1321</v>
      </c>
      <c r="AC229" s="1" t="s">
        <v>129</v>
      </c>
      <c r="AD229" s="1"/>
      <c r="AE229" s="1" t="s">
        <v>788</v>
      </c>
      <c r="AF229" s="1"/>
      <c r="AG229" s="2" t="s">
        <v>42</v>
      </c>
      <c r="AH229" s="1"/>
      <c r="AI229" s="1" t="s">
        <v>42</v>
      </c>
      <c r="AJ229" s="1"/>
      <c r="AK229" s="2" t="s">
        <v>42</v>
      </c>
      <c r="AL229" s="1" t="s">
        <v>3507</v>
      </c>
    </row>
    <row r="230" spans="1:38" ht="20.100000000000001" customHeight="1" x14ac:dyDescent="0.2">
      <c r="A230" s="3">
        <f t="shared" si="6"/>
        <v>227</v>
      </c>
      <c r="B230" s="1" t="s">
        <v>1322</v>
      </c>
      <c r="C230" s="1" t="s">
        <v>1323</v>
      </c>
      <c r="D230" s="1" t="s">
        <v>38</v>
      </c>
      <c r="E230" s="1" t="s">
        <v>39</v>
      </c>
      <c r="F230" s="1" t="s">
        <v>40</v>
      </c>
      <c r="G230" s="1" t="s">
        <v>42</v>
      </c>
      <c r="H230" s="2" t="s">
        <v>42</v>
      </c>
      <c r="I230" s="2" t="s">
        <v>42</v>
      </c>
      <c r="J230" s="7"/>
      <c r="K230" s="1" t="s">
        <v>42</v>
      </c>
      <c r="L230" s="1" t="s">
        <v>58</v>
      </c>
      <c r="M230" s="2" t="s">
        <v>42</v>
      </c>
      <c r="N230" s="1">
        <v>2</v>
      </c>
      <c r="O230" s="2" t="s">
        <v>42</v>
      </c>
      <c r="P230" s="1" t="s">
        <v>44</v>
      </c>
      <c r="Q230" s="1" t="s">
        <v>306</v>
      </c>
      <c r="R230" s="1" t="s">
        <v>60</v>
      </c>
      <c r="S230" s="1" t="s">
        <v>440</v>
      </c>
      <c r="T230" s="1" t="s">
        <v>42</v>
      </c>
      <c r="U230" s="2" t="s">
        <v>42</v>
      </c>
      <c r="V230" s="2" t="s">
        <v>42</v>
      </c>
      <c r="W230" s="2" t="s">
        <v>42</v>
      </c>
      <c r="X230" s="1" t="s">
        <v>42</v>
      </c>
      <c r="Y230" s="2" t="s">
        <v>42</v>
      </c>
      <c r="Z230" s="1" t="s">
        <v>42</v>
      </c>
      <c r="AA230" s="1" t="s">
        <v>42</v>
      </c>
      <c r="AB230" s="1" t="s">
        <v>1324</v>
      </c>
      <c r="AC230" s="1" t="s">
        <v>50</v>
      </c>
      <c r="AD230" s="1"/>
      <c r="AE230" s="1" t="s">
        <v>788</v>
      </c>
      <c r="AF230" s="1" t="s">
        <v>66</v>
      </c>
      <c r="AG230" s="2" t="s">
        <v>42</v>
      </c>
      <c r="AH230" s="1"/>
      <c r="AI230" s="1" t="s">
        <v>42</v>
      </c>
      <c r="AJ230" s="1"/>
      <c r="AK230" s="2" t="s">
        <v>42</v>
      </c>
      <c r="AL230" s="1" t="s">
        <v>3507</v>
      </c>
    </row>
    <row r="231" spans="1:38" ht="20.100000000000001" customHeight="1" x14ac:dyDescent="0.2">
      <c r="A231" s="3">
        <f t="shared" si="6"/>
        <v>228</v>
      </c>
      <c r="B231" s="1" t="s">
        <v>1325</v>
      </c>
      <c r="C231" s="1" t="s">
        <v>1326</v>
      </c>
      <c r="D231" s="1" t="s">
        <v>38</v>
      </c>
      <c r="E231" s="1" t="s">
        <v>54</v>
      </c>
      <c r="F231" s="1" t="s">
        <v>55</v>
      </c>
      <c r="G231" s="1" t="s">
        <v>1327</v>
      </c>
      <c r="H231" s="2">
        <v>45260</v>
      </c>
      <c r="I231" s="2">
        <v>34525</v>
      </c>
      <c r="J231" s="7">
        <f t="shared" ca="1" si="7"/>
        <v>29.323287671232876</v>
      </c>
      <c r="K231" s="1" t="s">
        <v>1328</v>
      </c>
      <c r="L231" s="1" t="s">
        <v>1089</v>
      </c>
      <c r="M231" s="2">
        <v>44796</v>
      </c>
      <c r="N231" s="1">
        <v>2</v>
      </c>
      <c r="O231" s="2" t="s">
        <v>42</v>
      </c>
      <c r="P231" s="1" t="s">
        <v>44</v>
      </c>
      <c r="Q231" s="1" t="s">
        <v>107</v>
      </c>
      <c r="R231" s="1" t="s">
        <v>1122</v>
      </c>
      <c r="S231" s="1" t="s">
        <v>47</v>
      </c>
      <c r="T231" s="1" t="s">
        <v>42</v>
      </c>
      <c r="U231" s="2" t="s">
        <v>42</v>
      </c>
      <c r="V231" s="2" t="s">
        <v>42</v>
      </c>
      <c r="W231" s="2" t="s">
        <v>42</v>
      </c>
      <c r="X231" s="1" t="s">
        <v>42</v>
      </c>
      <c r="Y231" s="2" t="s">
        <v>42</v>
      </c>
      <c r="Z231" s="1" t="s">
        <v>1084</v>
      </c>
      <c r="AA231" s="1" t="s">
        <v>42</v>
      </c>
      <c r="AB231" s="1" t="s">
        <v>1329</v>
      </c>
      <c r="AC231" s="1" t="s">
        <v>266</v>
      </c>
      <c r="AD231" s="1">
        <v>7009073037</v>
      </c>
      <c r="AE231" s="1" t="s">
        <v>103</v>
      </c>
      <c r="AF231" s="1" t="s">
        <v>66</v>
      </c>
      <c r="AG231" s="2" t="s">
        <v>42</v>
      </c>
      <c r="AH231" s="1"/>
      <c r="AI231" s="1" t="s">
        <v>42</v>
      </c>
      <c r="AJ231" s="1"/>
      <c r="AK231" s="2" t="s">
        <v>42</v>
      </c>
      <c r="AL231" s="1" t="s">
        <v>3507</v>
      </c>
    </row>
    <row r="232" spans="1:38" ht="20.100000000000001" customHeight="1" x14ac:dyDescent="0.2">
      <c r="A232" s="3">
        <f t="shared" si="6"/>
        <v>229</v>
      </c>
      <c r="B232" s="1" t="s">
        <v>1330</v>
      </c>
      <c r="C232" s="1" t="s">
        <v>1331</v>
      </c>
      <c r="D232" s="1" t="s">
        <v>38</v>
      </c>
      <c r="E232" s="1" t="s">
        <v>54</v>
      </c>
      <c r="F232" s="1" t="s">
        <v>55</v>
      </c>
      <c r="G232" s="1" t="s">
        <v>1332</v>
      </c>
      <c r="H232" s="2">
        <v>45323</v>
      </c>
      <c r="I232" s="2">
        <v>36119</v>
      </c>
      <c r="J232" s="7">
        <f t="shared" ca="1" si="7"/>
        <v>24.956164383561642</v>
      </c>
      <c r="K232" s="1" t="s">
        <v>429</v>
      </c>
      <c r="L232" s="1" t="s">
        <v>1089</v>
      </c>
      <c r="M232" s="2">
        <v>44796</v>
      </c>
      <c r="N232" s="1">
        <v>2</v>
      </c>
      <c r="O232" s="2" t="s">
        <v>42</v>
      </c>
      <c r="P232" s="1" t="s">
        <v>44</v>
      </c>
      <c r="Q232" s="1" t="s">
        <v>1333</v>
      </c>
      <c r="R232" s="1" t="s">
        <v>1122</v>
      </c>
      <c r="S232" s="1" t="s">
        <v>47</v>
      </c>
      <c r="T232" s="1" t="s">
        <v>42</v>
      </c>
      <c r="U232" s="2" t="s">
        <v>42</v>
      </c>
      <c r="V232" s="2" t="s">
        <v>42</v>
      </c>
      <c r="W232" s="2">
        <v>45150</v>
      </c>
      <c r="X232" s="1" t="s">
        <v>42</v>
      </c>
      <c r="Y232" s="2" t="s">
        <v>42</v>
      </c>
      <c r="Z232" s="1" t="s">
        <v>1084</v>
      </c>
      <c r="AA232" s="1" t="s">
        <v>42</v>
      </c>
      <c r="AB232" s="1" t="s">
        <v>1334</v>
      </c>
      <c r="AC232" s="1" t="s">
        <v>50</v>
      </c>
      <c r="AD232" s="1">
        <v>7009073037</v>
      </c>
      <c r="AE232" s="1" t="s">
        <v>103</v>
      </c>
      <c r="AF232" s="1" t="s">
        <v>436</v>
      </c>
      <c r="AG232" s="2" t="s">
        <v>42</v>
      </c>
      <c r="AH232" s="1"/>
      <c r="AI232" s="1" t="s">
        <v>42</v>
      </c>
      <c r="AJ232" s="1"/>
      <c r="AK232" s="2" t="s">
        <v>42</v>
      </c>
      <c r="AL232" s="1" t="s">
        <v>3507</v>
      </c>
    </row>
    <row r="233" spans="1:38" ht="20.100000000000001" customHeight="1" x14ac:dyDescent="0.2">
      <c r="A233" s="3">
        <f t="shared" si="6"/>
        <v>230</v>
      </c>
      <c r="B233" s="1" t="s">
        <v>1335</v>
      </c>
      <c r="C233" s="1" t="s">
        <v>1336</v>
      </c>
      <c r="D233" s="1" t="s">
        <v>38</v>
      </c>
      <c r="E233" s="1" t="s">
        <v>54</v>
      </c>
      <c r="F233" s="1" t="s">
        <v>55</v>
      </c>
      <c r="G233" s="1" t="s">
        <v>1337</v>
      </c>
      <c r="H233" s="2">
        <v>45373</v>
      </c>
      <c r="I233" s="2">
        <v>35796</v>
      </c>
      <c r="J233" s="7">
        <f t="shared" ca="1" si="7"/>
        <v>25.841095890410958</v>
      </c>
      <c r="K233" s="1" t="s">
        <v>1328</v>
      </c>
      <c r="L233" s="1" t="s">
        <v>1089</v>
      </c>
      <c r="M233" s="2">
        <v>44795</v>
      </c>
      <c r="N233" s="1">
        <v>2</v>
      </c>
      <c r="O233" s="2" t="s">
        <v>42</v>
      </c>
      <c r="P233" s="1" t="s">
        <v>44</v>
      </c>
      <c r="Q233" s="1" t="s">
        <v>431</v>
      </c>
      <c r="R233" s="1" t="s">
        <v>1122</v>
      </c>
      <c r="S233" s="1" t="s">
        <v>47</v>
      </c>
      <c r="T233" s="1" t="s">
        <v>42</v>
      </c>
      <c r="U233" s="2" t="s">
        <v>42</v>
      </c>
      <c r="V233" s="2" t="s">
        <v>42</v>
      </c>
      <c r="W233" s="2" t="s">
        <v>42</v>
      </c>
      <c r="X233" s="1" t="s">
        <v>42</v>
      </c>
      <c r="Y233" s="2" t="s">
        <v>42</v>
      </c>
      <c r="Z233" s="1" t="s">
        <v>1084</v>
      </c>
      <c r="AA233" s="1" t="s">
        <v>42</v>
      </c>
      <c r="AB233" s="1" t="s">
        <v>1338</v>
      </c>
      <c r="AC233" s="1" t="s">
        <v>266</v>
      </c>
      <c r="AD233" s="1">
        <v>7009073037</v>
      </c>
      <c r="AE233" s="1" t="s">
        <v>103</v>
      </c>
      <c r="AF233" s="1" t="s">
        <v>436</v>
      </c>
      <c r="AG233" s="2" t="s">
        <v>42</v>
      </c>
      <c r="AH233" s="1"/>
      <c r="AI233" s="1" t="s">
        <v>42</v>
      </c>
      <c r="AJ233" s="1"/>
      <c r="AK233" s="2" t="s">
        <v>42</v>
      </c>
      <c r="AL233" s="1" t="s">
        <v>3507</v>
      </c>
    </row>
    <row r="234" spans="1:38" ht="20.100000000000001" customHeight="1" x14ac:dyDescent="0.2">
      <c r="A234" s="3">
        <f t="shared" si="6"/>
        <v>231</v>
      </c>
      <c r="B234" s="1" t="s">
        <v>1339</v>
      </c>
      <c r="C234" s="1" t="s">
        <v>1340</v>
      </c>
      <c r="D234" s="1" t="s">
        <v>38</v>
      </c>
      <c r="E234" s="1" t="s">
        <v>54</v>
      </c>
      <c r="F234" s="1" t="s">
        <v>55</v>
      </c>
      <c r="G234" s="1" t="s">
        <v>1341</v>
      </c>
      <c r="H234" s="2">
        <v>45394</v>
      </c>
      <c r="I234" s="2">
        <v>36526</v>
      </c>
      <c r="J234" s="7">
        <f t="shared" ca="1" si="7"/>
        <v>23.841095890410958</v>
      </c>
      <c r="K234" s="1" t="s">
        <v>429</v>
      </c>
      <c r="L234" s="1" t="s">
        <v>429</v>
      </c>
      <c r="M234" s="2">
        <v>44796</v>
      </c>
      <c r="N234" s="1">
        <v>2</v>
      </c>
      <c r="O234" s="2" t="s">
        <v>42</v>
      </c>
      <c r="P234" s="1" t="s">
        <v>44</v>
      </c>
      <c r="Q234" s="1" t="s">
        <v>431</v>
      </c>
      <c r="R234" s="1" t="s">
        <v>1122</v>
      </c>
      <c r="S234" s="1" t="s">
        <v>47</v>
      </c>
      <c r="T234" s="1" t="s">
        <v>42</v>
      </c>
      <c r="U234" s="2" t="s">
        <v>42</v>
      </c>
      <c r="V234" s="2" t="s">
        <v>42</v>
      </c>
      <c r="W234" s="2">
        <v>45150</v>
      </c>
      <c r="X234" s="1" t="s">
        <v>42</v>
      </c>
      <c r="Y234" s="2" t="s">
        <v>42</v>
      </c>
      <c r="Z234" s="1" t="s">
        <v>1342</v>
      </c>
      <c r="AA234" s="1" t="s">
        <v>1343</v>
      </c>
      <c r="AB234" s="1" t="s">
        <v>1344</v>
      </c>
      <c r="AC234" s="1" t="s">
        <v>617</v>
      </c>
      <c r="AD234" s="1">
        <v>7009073037</v>
      </c>
      <c r="AE234" s="1" t="s">
        <v>103</v>
      </c>
      <c r="AF234" s="1" t="s">
        <v>436</v>
      </c>
      <c r="AG234" s="2" t="s">
        <v>42</v>
      </c>
      <c r="AH234" s="1"/>
      <c r="AI234" s="1" t="s">
        <v>42</v>
      </c>
      <c r="AJ234" s="1"/>
      <c r="AK234" s="2" t="s">
        <v>42</v>
      </c>
      <c r="AL234" s="1" t="s">
        <v>3507</v>
      </c>
    </row>
    <row r="235" spans="1:38" ht="20.100000000000001" customHeight="1" x14ac:dyDescent="0.2">
      <c r="A235" s="3">
        <f t="shared" si="6"/>
        <v>232</v>
      </c>
      <c r="B235" s="1" t="s">
        <v>1345</v>
      </c>
      <c r="C235" s="1" t="s">
        <v>1346</v>
      </c>
      <c r="D235" s="1" t="s">
        <v>38</v>
      </c>
      <c r="E235" s="1" t="s">
        <v>54</v>
      </c>
      <c r="F235" s="1" t="s">
        <v>55</v>
      </c>
      <c r="G235" s="1" t="s">
        <v>1347</v>
      </c>
      <c r="H235" s="2">
        <v>45414</v>
      </c>
      <c r="I235" s="2">
        <v>34714</v>
      </c>
      <c r="J235" s="7">
        <f t="shared" ca="1" si="7"/>
        <v>28.805479452054794</v>
      </c>
      <c r="K235" s="1" t="s">
        <v>429</v>
      </c>
      <c r="L235" s="1" t="s">
        <v>432</v>
      </c>
      <c r="M235" s="2">
        <v>44796</v>
      </c>
      <c r="N235" s="1">
        <v>2</v>
      </c>
      <c r="O235" s="2" t="s">
        <v>42</v>
      </c>
      <c r="P235" s="1" t="s">
        <v>44</v>
      </c>
      <c r="Q235" s="1" t="s">
        <v>431</v>
      </c>
      <c r="R235" s="1" t="s">
        <v>1122</v>
      </c>
      <c r="S235" s="1" t="s">
        <v>47</v>
      </c>
      <c r="T235" s="1" t="s">
        <v>42</v>
      </c>
      <c r="U235" s="2" t="s">
        <v>42</v>
      </c>
      <c r="V235" s="2" t="s">
        <v>42</v>
      </c>
      <c r="W235" s="2">
        <v>45150</v>
      </c>
      <c r="X235" s="1" t="s">
        <v>42</v>
      </c>
      <c r="Y235" s="2" t="s">
        <v>42</v>
      </c>
      <c r="Z235" s="1" t="s">
        <v>1084</v>
      </c>
      <c r="AA235" s="1" t="s">
        <v>1348</v>
      </c>
      <c r="AB235" s="1" t="s">
        <v>1349</v>
      </c>
      <c r="AC235" s="1" t="s">
        <v>522</v>
      </c>
      <c r="AD235" s="1">
        <v>7009073037</v>
      </c>
      <c r="AE235" s="1" t="s">
        <v>103</v>
      </c>
      <c r="AF235" s="1" t="s">
        <v>436</v>
      </c>
      <c r="AG235" s="2" t="s">
        <v>42</v>
      </c>
      <c r="AH235" s="1"/>
      <c r="AI235" s="1" t="s">
        <v>42</v>
      </c>
      <c r="AJ235" s="1"/>
      <c r="AK235" s="2" t="s">
        <v>42</v>
      </c>
      <c r="AL235" s="1" t="s">
        <v>3507</v>
      </c>
    </row>
    <row r="236" spans="1:38" ht="20.100000000000001" customHeight="1" x14ac:dyDescent="0.2">
      <c r="A236" s="3">
        <f t="shared" si="6"/>
        <v>233</v>
      </c>
      <c r="B236" s="1" t="s">
        <v>1350</v>
      </c>
      <c r="C236" s="1" t="s">
        <v>1351</v>
      </c>
      <c r="D236" s="1" t="s">
        <v>38</v>
      </c>
      <c r="E236" s="1" t="s">
        <v>54</v>
      </c>
      <c r="F236" s="1" t="s">
        <v>55</v>
      </c>
      <c r="G236" s="1" t="s">
        <v>1352</v>
      </c>
      <c r="H236" s="2">
        <v>45350</v>
      </c>
      <c r="I236" s="2">
        <v>35084</v>
      </c>
      <c r="J236" s="7">
        <f t="shared" ca="1" si="7"/>
        <v>27.791780821917808</v>
      </c>
      <c r="K236" s="1" t="s">
        <v>1089</v>
      </c>
      <c r="L236" s="1" t="s">
        <v>1089</v>
      </c>
      <c r="M236" s="2">
        <v>44795</v>
      </c>
      <c r="N236" s="1">
        <v>2</v>
      </c>
      <c r="O236" s="2" t="s">
        <v>42</v>
      </c>
      <c r="P236" s="1" t="s">
        <v>44</v>
      </c>
      <c r="Q236" s="1" t="s">
        <v>431</v>
      </c>
      <c r="R236" s="1" t="s">
        <v>1122</v>
      </c>
      <c r="S236" s="1" t="s">
        <v>47</v>
      </c>
      <c r="T236" s="1" t="s">
        <v>42</v>
      </c>
      <c r="U236" s="2" t="s">
        <v>42</v>
      </c>
      <c r="V236" s="2" t="s">
        <v>42</v>
      </c>
      <c r="W236" s="2">
        <v>45150</v>
      </c>
      <c r="X236" s="1" t="s">
        <v>42</v>
      </c>
      <c r="Y236" s="2" t="s">
        <v>42</v>
      </c>
      <c r="Z236" s="1" t="s">
        <v>1353</v>
      </c>
      <c r="AA236" s="1" t="s">
        <v>1354</v>
      </c>
      <c r="AB236" s="1" t="s">
        <v>1355</v>
      </c>
      <c r="AC236" s="1" t="s">
        <v>266</v>
      </c>
      <c r="AD236" s="1">
        <v>7009073037</v>
      </c>
      <c r="AE236" s="1" t="s">
        <v>103</v>
      </c>
      <c r="AF236" s="1" t="s">
        <v>436</v>
      </c>
      <c r="AG236" s="2" t="s">
        <v>42</v>
      </c>
      <c r="AH236" s="1"/>
      <c r="AI236" s="1" t="s">
        <v>42</v>
      </c>
      <c r="AJ236" s="1"/>
      <c r="AK236" s="2" t="s">
        <v>42</v>
      </c>
      <c r="AL236" s="1" t="s">
        <v>3507</v>
      </c>
    </row>
    <row r="237" spans="1:38" ht="20.100000000000001" customHeight="1" x14ac:dyDescent="0.2">
      <c r="A237" s="3">
        <f t="shared" si="6"/>
        <v>234</v>
      </c>
      <c r="B237" s="1" t="s">
        <v>1356</v>
      </c>
      <c r="C237" s="1" t="s">
        <v>1357</v>
      </c>
      <c r="D237" s="1" t="s">
        <v>38</v>
      </c>
      <c r="E237" s="1" t="s">
        <v>54</v>
      </c>
      <c r="F237" s="1" t="s">
        <v>55</v>
      </c>
      <c r="G237" s="1" t="s">
        <v>1358</v>
      </c>
      <c r="H237" s="2">
        <v>45350</v>
      </c>
      <c r="I237" s="2">
        <v>36857</v>
      </c>
      <c r="J237" s="7">
        <f t="shared" ca="1" si="7"/>
        <v>22.934246575342467</v>
      </c>
      <c r="K237" s="1" t="s">
        <v>1089</v>
      </c>
      <c r="L237" s="1" t="s">
        <v>1089</v>
      </c>
      <c r="M237" s="2">
        <v>44795</v>
      </c>
      <c r="N237" s="1">
        <v>2</v>
      </c>
      <c r="O237" s="2" t="s">
        <v>42</v>
      </c>
      <c r="P237" s="1" t="s">
        <v>44</v>
      </c>
      <c r="Q237" s="1" t="s">
        <v>431</v>
      </c>
      <c r="R237" s="1" t="s">
        <v>1122</v>
      </c>
      <c r="S237" s="1" t="s">
        <v>47</v>
      </c>
      <c r="T237" s="1" t="s">
        <v>42</v>
      </c>
      <c r="U237" s="2" t="s">
        <v>42</v>
      </c>
      <c r="V237" s="2" t="s">
        <v>42</v>
      </c>
      <c r="W237" s="2">
        <v>45150</v>
      </c>
      <c r="X237" s="1" t="s">
        <v>42</v>
      </c>
      <c r="Y237" s="2" t="s">
        <v>42</v>
      </c>
      <c r="Z237" s="1" t="s">
        <v>1359</v>
      </c>
      <c r="AA237" s="1" t="s">
        <v>1360</v>
      </c>
      <c r="AB237" s="1" t="s">
        <v>1361</v>
      </c>
      <c r="AC237" s="1" t="s">
        <v>129</v>
      </c>
      <c r="AD237" s="1">
        <v>7009073037</v>
      </c>
      <c r="AE237" s="1" t="s">
        <v>103</v>
      </c>
      <c r="AF237" s="1" t="s">
        <v>436</v>
      </c>
      <c r="AG237" s="2" t="s">
        <v>42</v>
      </c>
      <c r="AH237" s="1"/>
      <c r="AI237" s="1" t="s">
        <v>42</v>
      </c>
      <c r="AJ237" s="1"/>
      <c r="AK237" s="2" t="s">
        <v>42</v>
      </c>
      <c r="AL237" s="1" t="s">
        <v>3507</v>
      </c>
    </row>
    <row r="238" spans="1:38" ht="20.100000000000001" customHeight="1" x14ac:dyDescent="0.2">
      <c r="A238" s="3">
        <f t="shared" si="6"/>
        <v>235</v>
      </c>
      <c r="B238" s="1" t="s">
        <v>1362</v>
      </c>
      <c r="C238" s="1" t="s">
        <v>1363</v>
      </c>
      <c r="D238" s="1" t="s">
        <v>38</v>
      </c>
      <c r="E238" s="1" t="s">
        <v>39</v>
      </c>
      <c r="F238" s="1" t="s">
        <v>40</v>
      </c>
      <c r="G238" s="1" t="s">
        <v>1364</v>
      </c>
      <c r="H238" s="2">
        <v>45248</v>
      </c>
      <c r="I238" s="2" t="s">
        <v>42</v>
      </c>
      <c r="J238" s="7"/>
      <c r="K238" s="1" t="s">
        <v>211</v>
      </c>
      <c r="L238" s="1" t="s">
        <v>547</v>
      </c>
      <c r="M238" s="2">
        <v>44780</v>
      </c>
      <c r="N238" s="1">
        <v>2</v>
      </c>
      <c r="O238" s="2" t="s">
        <v>42</v>
      </c>
      <c r="P238" s="1" t="s">
        <v>44</v>
      </c>
      <c r="Q238" s="1" t="s">
        <v>466</v>
      </c>
      <c r="R238" s="1" t="s">
        <v>60</v>
      </c>
      <c r="S238" s="1" t="s">
        <v>47</v>
      </c>
      <c r="T238" s="1" t="s">
        <v>42</v>
      </c>
      <c r="U238" s="2">
        <v>44780</v>
      </c>
      <c r="V238" s="2">
        <v>45145</v>
      </c>
      <c r="W238" s="2" t="s">
        <v>42</v>
      </c>
      <c r="X238" s="1" t="s">
        <v>42</v>
      </c>
      <c r="Y238" s="2" t="s">
        <v>42</v>
      </c>
      <c r="Z238" s="1" t="s">
        <v>1365</v>
      </c>
      <c r="AA238" s="1" t="s">
        <v>1366</v>
      </c>
      <c r="AB238" s="1" t="s">
        <v>1367</v>
      </c>
      <c r="AC238" s="1" t="s">
        <v>617</v>
      </c>
      <c r="AD238" s="1">
        <v>7004853987</v>
      </c>
      <c r="AE238" s="1" t="s">
        <v>471</v>
      </c>
      <c r="AF238" s="1" t="s">
        <v>66</v>
      </c>
      <c r="AG238" s="2" t="s">
        <v>42</v>
      </c>
      <c r="AH238" s="1"/>
      <c r="AI238" s="1" t="s">
        <v>42</v>
      </c>
      <c r="AJ238" s="1"/>
      <c r="AK238" s="2" t="s">
        <v>42</v>
      </c>
      <c r="AL238" s="1" t="s">
        <v>3507</v>
      </c>
    </row>
    <row r="239" spans="1:38" ht="20.100000000000001" customHeight="1" x14ac:dyDescent="0.2">
      <c r="A239" s="3">
        <f t="shared" si="6"/>
        <v>236</v>
      </c>
      <c r="B239" s="1" t="s">
        <v>3048</v>
      </c>
      <c r="C239" s="1" t="s">
        <v>3049</v>
      </c>
      <c r="D239" s="1" t="s">
        <v>38</v>
      </c>
      <c r="E239" s="1" t="s">
        <v>39</v>
      </c>
      <c r="F239" s="1"/>
      <c r="G239" s="1" t="s">
        <v>3050</v>
      </c>
      <c r="H239" s="2">
        <v>46556</v>
      </c>
      <c r="I239" s="2" t="s">
        <v>42</v>
      </c>
      <c r="J239" s="7"/>
      <c r="K239" s="1" t="s">
        <v>211</v>
      </c>
      <c r="L239" s="1" t="s">
        <v>547</v>
      </c>
      <c r="M239" s="2">
        <v>44787</v>
      </c>
      <c r="N239" s="1">
        <v>2</v>
      </c>
      <c r="O239" s="2" t="s">
        <v>42</v>
      </c>
      <c r="P239" s="1" t="s">
        <v>44</v>
      </c>
      <c r="Q239" s="1" t="s">
        <v>466</v>
      </c>
      <c r="R239" s="1" t="s">
        <v>42</v>
      </c>
      <c r="S239" s="1" t="s">
        <v>47</v>
      </c>
      <c r="T239" s="1" t="s">
        <v>42</v>
      </c>
      <c r="U239" s="2">
        <v>44787</v>
      </c>
      <c r="V239" s="2">
        <v>45152</v>
      </c>
      <c r="W239" s="2" t="s">
        <v>42</v>
      </c>
      <c r="X239" s="1" t="s">
        <v>42</v>
      </c>
      <c r="Y239" s="2" t="s">
        <v>42</v>
      </c>
      <c r="Z239" s="1" t="s">
        <v>3051</v>
      </c>
      <c r="AA239" s="1" t="s">
        <v>3052</v>
      </c>
      <c r="AB239" s="1" t="s">
        <v>3053</v>
      </c>
      <c r="AC239" s="1" t="s">
        <v>129</v>
      </c>
      <c r="AD239" s="1">
        <v>7004853987</v>
      </c>
      <c r="AE239" s="1" t="s">
        <v>471</v>
      </c>
      <c r="AF239" s="1"/>
      <c r="AG239" s="2">
        <v>44877</v>
      </c>
      <c r="AH239" s="1" t="s">
        <v>2812</v>
      </c>
      <c r="AI239" s="1" t="s">
        <v>42</v>
      </c>
      <c r="AJ239" s="1"/>
      <c r="AK239" s="2" t="s">
        <v>42</v>
      </c>
      <c r="AL239" s="1" t="s">
        <v>2806</v>
      </c>
    </row>
    <row r="240" spans="1:38" ht="20.100000000000001" customHeight="1" x14ac:dyDescent="0.2">
      <c r="A240" s="3">
        <f t="shared" si="6"/>
        <v>237</v>
      </c>
      <c r="B240" s="1" t="s">
        <v>3054</v>
      </c>
      <c r="C240" s="1" t="s">
        <v>3055</v>
      </c>
      <c r="D240" s="1" t="s">
        <v>38</v>
      </c>
      <c r="E240" s="1" t="s">
        <v>39</v>
      </c>
      <c r="F240" s="1"/>
      <c r="G240" s="1" t="s">
        <v>3056</v>
      </c>
      <c r="H240" s="2" t="s">
        <v>42</v>
      </c>
      <c r="I240" s="2" t="s">
        <v>42</v>
      </c>
      <c r="J240" s="7"/>
      <c r="K240" s="1" t="s">
        <v>211</v>
      </c>
      <c r="L240" s="1" t="s">
        <v>547</v>
      </c>
      <c r="M240" s="2">
        <v>44788</v>
      </c>
      <c r="N240" s="1">
        <v>2</v>
      </c>
      <c r="O240" s="2" t="s">
        <v>42</v>
      </c>
      <c r="P240" s="1" t="s">
        <v>44</v>
      </c>
      <c r="Q240" s="1" t="s">
        <v>475</v>
      </c>
      <c r="R240" s="1" t="s">
        <v>42</v>
      </c>
      <c r="S240" s="1" t="s">
        <v>47</v>
      </c>
      <c r="T240" s="1" t="s">
        <v>42</v>
      </c>
      <c r="U240" s="2">
        <v>44788</v>
      </c>
      <c r="V240" s="2">
        <v>45153</v>
      </c>
      <c r="W240" s="2" t="s">
        <v>42</v>
      </c>
      <c r="X240" s="1" t="s">
        <v>42</v>
      </c>
      <c r="Y240" s="2" t="s">
        <v>42</v>
      </c>
      <c r="Z240" s="1" t="s">
        <v>3057</v>
      </c>
      <c r="AA240" s="1" t="s">
        <v>3058</v>
      </c>
      <c r="AB240" s="1" t="s">
        <v>3059</v>
      </c>
      <c r="AC240" s="1" t="s">
        <v>50</v>
      </c>
      <c r="AD240" s="1">
        <v>7004853987</v>
      </c>
      <c r="AE240" s="1" t="s">
        <v>471</v>
      </c>
      <c r="AF240" s="1"/>
      <c r="AG240" s="2">
        <v>44880</v>
      </c>
      <c r="AH240" s="1" t="s">
        <v>2812</v>
      </c>
      <c r="AI240" s="1" t="s">
        <v>42</v>
      </c>
      <c r="AJ240" s="1"/>
      <c r="AK240" s="2" t="s">
        <v>42</v>
      </c>
      <c r="AL240" s="1" t="s">
        <v>2806</v>
      </c>
    </row>
    <row r="241" spans="1:38" ht="20.100000000000001" customHeight="1" x14ac:dyDescent="0.2">
      <c r="A241" s="3">
        <f t="shared" si="6"/>
        <v>238</v>
      </c>
      <c r="B241" s="1" t="s">
        <v>1368</v>
      </c>
      <c r="C241" s="1" t="s">
        <v>1369</v>
      </c>
      <c r="D241" s="1" t="s">
        <v>121</v>
      </c>
      <c r="E241" s="1" t="s">
        <v>39</v>
      </c>
      <c r="F241" s="1" t="s">
        <v>40</v>
      </c>
      <c r="G241" s="1" t="s">
        <v>1370</v>
      </c>
      <c r="H241" s="2">
        <v>47931</v>
      </c>
      <c r="I241" s="2">
        <v>32629</v>
      </c>
      <c r="J241" s="7">
        <f t="shared" ca="1" si="7"/>
        <v>34.517808219178079</v>
      </c>
      <c r="K241" s="1" t="s">
        <v>1371</v>
      </c>
      <c r="L241" s="1" t="s">
        <v>547</v>
      </c>
      <c r="M241" s="2">
        <v>44797</v>
      </c>
      <c r="N241" s="1">
        <v>2</v>
      </c>
      <c r="O241" s="2" t="s">
        <v>42</v>
      </c>
      <c r="P241" s="1" t="s">
        <v>44</v>
      </c>
      <c r="Q241" s="1" t="s">
        <v>203</v>
      </c>
      <c r="R241" s="1" t="s">
        <v>60</v>
      </c>
      <c r="S241" s="1" t="s">
        <v>47</v>
      </c>
      <c r="T241" s="1" t="s">
        <v>42</v>
      </c>
      <c r="U241" s="2">
        <v>44800</v>
      </c>
      <c r="V241" s="2">
        <v>45166</v>
      </c>
      <c r="W241" s="2">
        <v>45210</v>
      </c>
      <c r="X241" s="1" t="s">
        <v>42</v>
      </c>
      <c r="Y241" s="2" t="s">
        <v>42</v>
      </c>
      <c r="Z241" s="1" t="s">
        <v>1372</v>
      </c>
      <c r="AA241" s="1" t="s">
        <v>1373</v>
      </c>
      <c r="AB241" s="1" t="s">
        <v>1374</v>
      </c>
      <c r="AC241" s="1" t="s">
        <v>129</v>
      </c>
      <c r="AD241" s="1">
        <v>7014477116</v>
      </c>
      <c r="AE241" s="1" t="s">
        <v>65</v>
      </c>
      <c r="AF241" s="1" t="s">
        <v>66</v>
      </c>
      <c r="AG241" s="2" t="s">
        <v>42</v>
      </c>
      <c r="AH241" s="1"/>
      <c r="AI241" s="1" t="s">
        <v>42</v>
      </c>
      <c r="AJ241" s="1"/>
      <c r="AK241" s="2" t="s">
        <v>42</v>
      </c>
      <c r="AL241" s="1" t="s">
        <v>3507</v>
      </c>
    </row>
    <row r="242" spans="1:38" ht="20.100000000000001" customHeight="1" x14ac:dyDescent="0.2">
      <c r="A242" s="3">
        <f t="shared" si="6"/>
        <v>239</v>
      </c>
      <c r="B242" s="1" t="s">
        <v>3060</v>
      </c>
      <c r="C242" s="1" t="s">
        <v>3061</v>
      </c>
      <c r="D242" s="1" t="s">
        <v>38</v>
      </c>
      <c r="E242" s="1" t="s">
        <v>69</v>
      </c>
      <c r="F242" s="1"/>
      <c r="G242" s="1" t="s">
        <v>3062</v>
      </c>
      <c r="H242" s="2">
        <v>44957</v>
      </c>
      <c r="I242" s="2" t="s">
        <v>42</v>
      </c>
      <c r="J242" s="7"/>
      <c r="K242" s="1" t="s">
        <v>42</v>
      </c>
      <c r="L242" s="1" t="s">
        <v>134</v>
      </c>
      <c r="M242" s="2">
        <v>44798</v>
      </c>
      <c r="N242" s="1">
        <v>2</v>
      </c>
      <c r="O242" s="2" t="s">
        <v>42</v>
      </c>
      <c r="P242" s="1" t="s">
        <v>44</v>
      </c>
      <c r="Q242" s="1" t="s">
        <v>475</v>
      </c>
      <c r="R242" s="1" t="s">
        <v>42</v>
      </c>
      <c r="S242" s="1" t="s">
        <v>156</v>
      </c>
      <c r="T242" s="1" t="s">
        <v>42</v>
      </c>
      <c r="U242" s="2">
        <v>44798</v>
      </c>
      <c r="V242" s="2">
        <v>45162</v>
      </c>
      <c r="W242" s="2" t="s">
        <v>42</v>
      </c>
      <c r="X242" s="1" t="s">
        <v>42</v>
      </c>
      <c r="Y242" s="2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/>
      <c r="AG242" s="2" t="s">
        <v>42</v>
      </c>
      <c r="AH242" s="1" t="s">
        <v>2985</v>
      </c>
      <c r="AI242" s="1" t="s">
        <v>42</v>
      </c>
      <c r="AJ242" s="1"/>
      <c r="AK242" s="2" t="s">
        <v>42</v>
      </c>
      <c r="AL242" s="1" t="s">
        <v>2806</v>
      </c>
    </row>
    <row r="243" spans="1:38" ht="20.100000000000001" customHeight="1" x14ac:dyDescent="0.2">
      <c r="A243" s="3">
        <f t="shared" si="6"/>
        <v>240</v>
      </c>
      <c r="B243" s="1" t="s">
        <v>1375</v>
      </c>
      <c r="C243" s="1" t="s">
        <v>1376</v>
      </c>
      <c r="D243" s="1" t="s">
        <v>38</v>
      </c>
      <c r="E243" s="1" t="s">
        <v>69</v>
      </c>
      <c r="F243" s="1" t="s">
        <v>70</v>
      </c>
      <c r="G243" s="1" t="s">
        <v>1377</v>
      </c>
      <c r="H243" s="2">
        <v>45274</v>
      </c>
      <c r="I243" s="2">
        <v>34684</v>
      </c>
      <c r="J243" s="7">
        <f t="shared" ca="1" si="7"/>
        <v>28.887671232876713</v>
      </c>
      <c r="K243" s="1" t="s">
        <v>134</v>
      </c>
      <c r="L243" s="1" t="s">
        <v>134</v>
      </c>
      <c r="M243" s="2">
        <v>44798</v>
      </c>
      <c r="N243" s="1">
        <v>2</v>
      </c>
      <c r="O243" s="2" t="s">
        <v>42</v>
      </c>
      <c r="P243" s="1" t="s">
        <v>44</v>
      </c>
      <c r="Q243" s="1" t="s">
        <v>306</v>
      </c>
      <c r="R243" s="1" t="s">
        <v>60</v>
      </c>
      <c r="S243" s="1" t="s">
        <v>47</v>
      </c>
      <c r="T243" s="1" t="s">
        <v>42</v>
      </c>
      <c r="U243" s="2">
        <v>44798</v>
      </c>
      <c r="V243" s="2">
        <v>45193</v>
      </c>
      <c r="W243" s="2" t="s">
        <v>42</v>
      </c>
      <c r="X243" s="1" t="s">
        <v>42</v>
      </c>
      <c r="Y243" s="2" t="s">
        <v>42</v>
      </c>
      <c r="Z243" s="1" t="s">
        <v>1378</v>
      </c>
      <c r="AA243" s="1" t="s">
        <v>1379</v>
      </c>
      <c r="AB243" s="1" t="s">
        <v>1380</v>
      </c>
      <c r="AC243" s="1" t="s">
        <v>129</v>
      </c>
      <c r="AD243" s="1">
        <v>7015572543</v>
      </c>
      <c r="AE243" s="1" t="s">
        <v>3506</v>
      </c>
      <c r="AF243" s="1" t="s">
        <v>66</v>
      </c>
      <c r="AG243" s="2" t="s">
        <v>42</v>
      </c>
      <c r="AH243" s="1"/>
      <c r="AI243" s="1" t="s">
        <v>42</v>
      </c>
      <c r="AJ243" s="1"/>
      <c r="AK243" s="2" t="s">
        <v>42</v>
      </c>
      <c r="AL243" s="1" t="s">
        <v>3507</v>
      </c>
    </row>
    <row r="244" spans="1:38" ht="20.100000000000001" customHeight="1" x14ac:dyDescent="0.2">
      <c r="A244" s="3">
        <f t="shared" si="6"/>
        <v>241</v>
      </c>
      <c r="B244" s="1" t="s">
        <v>1381</v>
      </c>
      <c r="C244" s="1" t="s">
        <v>1382</v>
      </c>
      <c r="D244" s="1" t="s">
        <v>38</v>
      </c>
      <c r="E244" s="1" t="s">
        <v>69</v>
      </c>
      <c r="F244" s="1" t="s">
        <v>70</v>
      </c>
      <c r="G244" s="1" t="s">
        <v>1383</v>
      </c>
      <c r="H244" s="2" t="s">
        <v>42</v>
      </c>
      <c r="I244" s="2" t="s">
        <v>42</v>
      </c>
      <c r="J244" s="7"/>
      <c r="K244" s="1" t="s">
        <v>42</v>
      </c>
      <c r="L244" s="1" t="s">
        <v>1384</v>
      </c>
      <c r="M244" s="2">
        <v>44788</v>
      </c>
      <c r="N244" s="1">
        <v>2</v>
      </c>
      <c r="O244" s="2">
        <v>44980</v>
      </c>
      <c r="P244" s="1" t="s">
        <v>44</v>
      </c>
      <c r="Q244" s="1" t="s">
        <v>899</v>
      </c>
      <c r="R244" s="1" t="s">
        <v>900</v>
      </c>
      <c r="S244" s="1" t="s">
        <v>156</v>
      </c>
      <c r="T244" s="1" t="s">
        <v>42</v>
      </c>
      <c r="U244" s="2">
        <v>44788</v>
      </c>
      <c r="V244" s="2">
        <v>45152</v>
      </c>
      <c r="W244" s="2" t="s">
        <v>42</v>
      </c>
      <c r="X244" s="1" t="s">
        <v>42</v>
      </c>
      <c r="Y244" s="2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/>
      <c r="AE244" s="1" t="s">
        <v>788</v>
      </c>
      <c r="AF244" s="1" t="s">
        <v>904</v>
      </c>
      <c r="AG244" s="2" t="s">
        <v>42</v>
      </c>
      <c r="AH244" s="1"/>
      <c r="AI244" s="1" t="s">
        <v>42</v>
      </c>
      <c r="AJ244" s="1"/>
      <c r="AK244" s="2" t="s">
        <v>42</v>
      </c>
      <c r="AL244" s="1" t="s">
        <v>3507</v>
      </c>
    </row>
    <row r="245" spans="1:38" ht="20.100000000000001" customHeight="1" x14ac:dyDescent="0.2">
      <c r="A245" s="3">
        <f t="shared" si="6"/>
        <v>242</v>
      </c>
      <c r="B245" s="1" t="s">
        <v>1385</v>
      </c>
      <c r="C245" s="1" t="s">
        <v>1386</v>
      </c>
      <c r="D245" s="1" t="s">
        <v>38</v>
      </c>
      <c r="E245" s="1" t="s">
        <v>69</v>
      </c>
      <c r="F245" s="1" t="s">
        <v>70</v>
      </c>
      <c r="G245" s="1" t="s">
        <v>1387</v>
      </c>
      <c r="H245" s="2" t="s">
        <v>42</v>
      </c>
      <c r="I245" s="2">
        <v>38893</v>
      </c>
      <c r="J245" s="7">
        <f t="shared" ca="1" si="7"/>
        <v>17.356164383561644</v>
      </c>
      <c r="K245" s="1" t="s">
        <v>42</v>
      </c>
      <c r="L245" s="1" t="s">
        <v>42</v>
      </c>
      <c r="M245" s="2">
        <v>45073</v>
      </c>
      <c r="N245" s="1">
        <v>2</v>
      </c>
      <c r="O245" s="2" t="s">
        <v>42</v>
      </c>
      <c r="P245" s="1" t="s">
        <v>44</v>
      </c>
      <c r="Q245" s="1" t="s">
        <v>899</v>
      </c>
      <c r="R245" s="1" t="s">
        <v>900</v>
      </c>
      <c r="S245" s="1" t="s">
        <v>156</v>
      </c>
      <c r="T245" s="1">
        <v>8</v>
      </c>
      <c r="U245" s="2">
        <v>45073</v>
      </c>
      <c r="V245" s="2">
        <v>45438</v>
      </c>
      <c r="W245" s="2" t="s">
        <v>42</v>
      </c>
      <c r="X245" s="1" t="s">
        <v>42</v>
      </c>
      <c r="Y245" s="2" t="s">
        <v>42</v>
      </c>
      <c r="Z245" s="1" t="s">
        <v>1388</v>
      </c>
      <c r="AA245" s="1" t="s">
        <v>42</v>
      </c>
      <c r="AB245" s="1" t="s">
        <v>42</v>
      </c>
      <c r="AC245" s="1" t="s">
        <v>42</v>
      </c>
      <c r="AD245" s="1"/>
      <c r="AE245" s="1" t="s">
        <v>788</v>
      </c>
      <c r="AF245" s="1" t="s">
        <v>904</v>
      </c>
      <c r="AG245" s="2" t="s">
        <v>42</v>
      </c>
      <c r="AH245" s="1"/>
      <c r="AI245" s="1" t="s">
        <v>1389</v>
      </c>
      <c r="AJ245" s="1"/>
      <c r="AK245" s="2" t="s">
        <v>42</v>
      </c>
      <c r="AL245" s="1" t="s">
        <v>3507</v>
      </c>
    </row>
    <row r="246" spans="1:38" ht="20.100000000000001" customHeight="1" x14ac:dyDescent="0.2">
      <c r="A246" s="3">
        <f t="shared" si="6"/>
        <v>243</v>
      </c>
      <c r="B246" s="1" t="s">
        <v>3063</v>
      </c>
      <c r="C246" s="1" t="s">
        <v>3064</v>
      </c>
      <c r="D246" s="1" t="s">
        <v>38</v>
      </c>
      <c r="E246" s="1" t="s">
        <v>39</v>
      </c>
      <c r="F246" s="1"/>
      <c r="G246" s="1" t="s">
        <v>42</v>
      </c>
      <c r="H246" s="2" t="s">
        <v>42</v>
      </c>
      <c r="I246" s="2" t="s">
        <v>42</v>
      </c>
      <c r="J246" s="7"/>
      <c r="K246" s="1" t="s">
        <v>42</v>
      </c>
      <c r="L246" s="1" t="s">
        <v>440</v>
      </c>
      <c r="M246" s="2">
        <v>44562</v>
      </c>
      <c r="N246" s="1">
        <v>2</v>
      </c>
      <c r="O246" s="2" t="s">
        <v>42</v>
      </c>
      <c r="P246" s="1" t="s">
        <v>44</v>
      </c>
      <c r="Q246" s="1" t="s">
        <v>899</v>
      </c>
      <c r="R246" s="1" t="s">
        <v>900</v>
      </c>
      <c r="S246" s="1" t="s">
        <v>440</v>
      </c>
      <c r="T246" s="1" t="s">
        <v>42</v>
      </c>
      <c r="U246" s="2" t="s">
        <v>42</v>
      </c>
      <c r="V246" s="2" t="s">
        <v>42</v>
      </c>
      <c r="W246" s="2" t="s">
        <v>42</v>
      </c>
      <c r="X246" s="1" t="s">
        <v>42</v>
      </c>
      <c r="Y246" s="2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/>
      <c r="AE246" s="1" t="s">
        <v>788</v>
      </c>
      <c r="AF246" s="1"/>
      <c r="AG246" s="2">
        <v>45010</v>
      </c>
      <c r="AH246" s="1" t="s">
        <v>2805</v>
      </c>
      <c r="AI246" s="1" t="s">
        <v>42</v>
      </c>
      <c r="AJ246" s="1"/>
      <c r="AK246" s="2" t="s">
        <v>42</v>
      </c>
      <c r="AL246" s="1" t="s">
        <v>2806</v>
      </c>
    </row>
    <row r="247" spans="1:38" ht="20.100000000000001" customHeight="1" x14ac:dyDescent="0.2">
      <c r="A247" s="3">
        <f t="shared" si="6"/>
        <v>244</v>
      </c>
      <c r="B247" s="1" t="s">
        <v>3065</v>
      </c>
      <c r="C247" s="1" t="s">
        <v>3066</v>
      </c>
      <c r="D247" s="1" t="s">
        <v>38</v>
      </c>
      <c r="E247" s="1" t="s">
        <v>39</v>
      </c>
      <c r="F247" s="1"/>
      <c r="G247" s="1" t="s">
        <v>3067</v>
      </c>
      <c r="H247" s="2" t="s">
        <v>42</v>
      </c>
      <c r="I247" s="2" t="s">
        <v>42</v>
      </c>
      <c r="J247" s="7"/>
      <c r="K247" s="1" t="s">
        <v>42</v>
      </c>
      <c r="L247" s="1" t="s">
        <v>1214</v>
      </c>
      <c r="M247" s="2">
        <v>44805</v>
      </c>
      <c r="N247" s="1">
        <v>2</v>
      </c>
      <c r="O247" s="2" t="s">
        <v>42</v>
      </c>
      <c r="P247" s="1" t="s">
        <v>44</v>
      </c>
      <c r="Q247" s="1" t="s">
        <v>431</v>
      </c>
      <c r="R247" s="1" t="s">
        <v>1214</v>
      </c>
      <c r="S247" s="1" t="s">
        <v>47</v>
      </c>
      <c r="T247" s="1">
        <v>8</v>
      </c>
      <c r="U247" s="2">
        <v>44805</v>
      </c>
      <c r="V247" s="2">
        <v>45169</v>
      </c>
      <c r="W247" s="2">
        <v>44893</v>
      </c>
      <c r="X247" s="1" t="s">
        <v>42</v>
      </c>
      <c r="Y247" s="2" t="s">
        <v>42</v>
      </c>
      <c r="Z247" s="1" t="s">
        <v>3068</v>
      </c>
      <c r="AA247" s="1" t="s">
        <v>3069</v>
      </c>
      <c r="AB247" s="1" t="s">
        <v>3070</v>
      </c>
      <c r="AC247" s="1" t="s">
        <v>129</v>
      </c>
      <c r="AD247" s="1">
        <v>7009073037</v>
      </c>
      <c r="AE247" s="1" t="s">
        <v>103</v>
      </c>
      <c r="AF247" s="1"/>
      <c r="AG247" s="2" t="s">
        <v>42</v>
      </c>
      <c r="AH247" s="1"/>
      <c r="AI247" s="1" t="s">
        <v>42</v>
      </c>
      <c r="AJ247" s="1"/>
      <c r="AK247" s="2" t="s">
        <v>42</v>
      </c>
      <c r="AL247" s="1" t="s">
        <v>2806</v>
      </c>
    </row>
    <row r="248" spans="1:38" ht="20.100000000000001" customHeight="1" x14ac:dyDescent="0.2">
      <c r="A248" s="3">
        <f t="shared" si="6"/>
        <v>245</v>
      </c>
      <c r="B248" s="1" t="s">
        <v>1390</v>
      </c>
      <c r="C248" s="1" t="s">
        <v>1391</v>
      </c>
      <c r="D248" s="1" t="s">
        <v>38</v>
      </c>
      <c r="E248" s="1" t="s">
        <v>150</v>
      </c>
      <c r="F248" s="1" t="s">
        <v>70</v>
      </c>
      <c r="G248" s="1" t="s">
        <v>42</v>
      </c>
      <c r="H248" s="2" t="s">
        <v>42</v>
      </c>
      <c r="I248" s="2" t="s">
        <v>42</v>
      </c>
      <c r="J248" s="7"/>
      <c r="K248" s="1" t="s">
        <v>42</v>
      </c>
      <c r="L248" s="1" t="s">
        <v>1158</v>
      </c>
      <c r="M248" s="2">
        <v>44562</v>
      </c>
      <c r="N248" s="1">
        <v>2</v>
      </c>
      <c r="O248" s="2" t="s">
        <v>42</v>
      </c>
      <c r="P248" s="1" t="s">
        <v>165</v>
      </c>
      <c r="Q248" s="1" t="s">
        <v>178</v>
      </c>
      <c r="R248" s="1" t="s">
        <v>179</v>
      </c>
      <c r="S248" s="1" t="s">
        <v>125</v>
      </c>
      <c r="T248" s="1" t="s">
        <v>42</v>
      </c>
      <c r="U248" s="2" t="s">
        <v>42</v>
      </c>
      <c r="V248" s="2" t="s">
        <v>42</v>
      </c>
      <c r="W248" s="2" t="s">
        <v>42</v>
      </c>
      <c r="X248" s="1" t="s">
        <v>42</v>
      </c>
      <c r="Y248" s="2" t="s">
        <v>42</v>
      </c>
      <c r="Z248" s="1" t="s">
        <v>1392</v>
      </c>
      <c r="AA248" s="1" t="s">
        <v>42</v>
      </c>
      <c r="AB248" s="1" t="s">
        <v>1393</v>
      </c>
      <c r="AC248" s="1" t="s">
        <v>129</v>
      </c>
      <c r="AD248" s="1"/>
      <c r="AE248" s="1" t="s">
        <v>788</v>
      </c>
      <c r="AF248" s="1"/>
      <c r="AG248" s="2" t="s">
        <v>42</v>
      </c>
      <c r="AH248" s="1"/>
      <c r="AI248" s="1" t="s">
        <v>42</v>
      </c>
      <c r="AJ248" s="1"/>
      <c r="AK248" s="2" t="s">
        <v>42</v>
      </c>
      <c r="AL248" s="1" t="s">
        <v>3507</v>
      </c>
    </row>
    <row r="249" spans="1:38" ht="20.100000000000001" customHeight="1" x14ac:dyDescent="0.2">
      <c r="A249" s="3">
        <f t="shared" si="6"/>
        <v>246</v>
      </c>
      <c r="B249" s="1" t="s">
        <v>3071</v>
      </c>
      <c r="C249" s="1" t="s">
        <v>3072</v>
      </c>
      <c r="D249" s="1" t="s">
        <v>121</v>
      </c>
      <c r="E249" s="1" t="s">
        <v>39</v>
      </c>
      <c r="F249" s="1"/>
      <c r="G249" s="1" t="s">
        <v>3073</v>
      </c>
      <c r="H249" s="2">
        <v>45509</v>
      </c>
      <c r="I249" s="2">
        <v>37591</v>
      </c>
      <c r="J249" s="7">
        <f t="shared" ca="1" si="7"/>
        <v>20.923287671232877</v>
      </c>
      <c r="K249" s="1" t="s">
        <v>42</v>
      </c>
      <c r="L249" s="1" t="s">
        <v>1213</v>
      </c>
      <c r="M249" s="2">
        <v>44805</v>
      </c>
      <c r="N249" s="1">
        <v>2</v>
      </c>
      <c r="O249" s="2" t="s">
        <v>42</v>
      </c>
      <c r="P249" s="1" t="s">
        <v>44</v>
      </c>
      <c r="Q249" s="1" t="s">
        <v>431</v>
      </c>
      <c r="R249" s="1" t="s">
        <v>42</v>
      </c>
      <c r="S249" s="1" t="s">
        <v>47</v>
      </c>
      <c r="T249" s="1">
        <v>8</v>
      </c>
      <c r="U249" s="2">
        <v>44805</v>
      </c>
      <c r="V249" s="2">
        <v>45169</v>
      </c>
      <c r="W249" s="2" t="s">
        <v>42</v>
      </c>
      <c r="X249" s="1" t="s">
        <v>42</v>
      </c>
      <c r="Y249" s="2" t="s">
        <v>42</v>
      </c>
      <c r="Z249" s="1" t="s">
        <v>3074</v>
      </c>
      <c r="AA249" s="1" t="s">
        <v>3075</v>
      </c>
      <c r="AB249" s="1" t="s">
        <v>3076</v>
      </c>
      <c r="AC249" s="1" t="s">
        <v>129</v>
      </c>
      <c r="AD249" s="1">
        <v>7009073037</v>
      </c>
      <c r="AE249" s="1" t="s">
        <v>103</v>
      </c>
      <c r="AF249" s="1"/>
      <c r="AG249" s="2">
        <v>44826</v>
      </c>
      <c r="AH249" s="1" t="s">
        <v>2805</v>
      </c>
      <c r="AI249" s="1" t="s">
        <v>42</v>
      </c>
      <c r="AJ249" s="1"/>
      <c r="AK249" s="2" t="s">
        <v>42</v>
      </c>
      <c r="AL249" s="1" t="s">
        <v>2806</v>
      </c>
    </row>
    <row r="250" spans="1:38" ht="20.100000000000001" customHeight="1" x14ac:dyDescent="0.2">
      <c r="A250" s="3">
        <f t="shared" si="6"/>
        <v>247</v>
      </c>
      <c r="B250" s="1" t="s">
        <v>3077</v>
      </c>
      <c r="C250" s="1" t="s">
        <v>3078</v>
      </c>
      <c r="D250" s="1" t="s">
        <v>121</v>
      </c>
      <c r="E250" s="1" t="s">
        <v>39</v>
      </c>
      <c r="F250" s="1"/>
      <c r="G250" s="1" t="s">
        <v>3079</v>
      </c>
      <c r="H250" s="2">
        <v>46057</v>
      </c>
      <c r="I250" s="2">
        <v>37166</v>
      </c>
      <c r="J250" s="7">
        <f t="shared" ca="1" si="7"/>
        <v>22.087671232876712</v>
      </c>
      <c r="K250" s="1" t="s">
        <v>42</v>
      </c>
      <c r="L250" s="1" t="s">
        <v>1213</v>
      </c>
      <c r="M250" s="2">
        <v>44805</v>
      </c>
      <c r="N250" s="1">
        <v>2</v>
      </c>
      <c r="O250" s="2" t="s">
        <v>42</v>
      </c>
      <c r="P250" s="1" t="s">
        <v>44</v>
      </c>
      <c r="Q250" s="1" t="s">
        <v>431</v>
      </c>
      <c r="R250" s="1" t="s">
        <v>42</v>
      </c>
      <c r="S250" s="1" t="s">
        <v>47</v>
      </c>
      <c r="T250" s="1">
        <v>8</v>
      </c>
      <c r="U250" s="2">
        <v>44805</v>
      </c>
      <c r="V250" s="2">
        <v>45169</v>
      </c>
      <c r="W250" s="2" t="s">
        <v>42</v>
      </c>
      <c r="X250" s="1" t="s">
        <v>42</v>
      </c>
      <c r="Y250" s="2" t="s">
        <v>42</v>
      </c>
      <c r="Z250" s="1" t="s">
        <v>3080</v>
      </c>
      <c r="AA250" s="1" t="s">
        <v>3081</v>
      </c>
      <c r="AB250" s="1" t="s">
        <v>3082</v>
      </c>
      <c r="AC250" s="1" t="s">
        <v>129</v>
      </c>
      <c r="AD250" s="1">
        <v>7009073037</v>
      </c>
      <c r="AE250" s="1" t="s">
        <v>103</v>
      </c>
      <c r="AF250" s="1"/>
      <c r="AG250" s="2">
        <v>44875</v>
      </c>
      <c r="AH250" s="1" t="s">
        <v>2985</v>
      </c>
      <c r="AI250" s="1" t="s">
        <v>42</v>
      </c>
      <c r="AJ250" s="1"/>
      <c r="AK250" s="2" t="s">
        <v>42</v>
      </c>
      <c r="AL250" s="1" t="s">
        <v>2806</v>
      </c>
    </row>
    <row r="251" spans="1:38" ht="20.100000000000001" customHeight="1" x14ac:dyDescent="0.2">
      <c r="A251" s="3">
        <f t="shared" si="6"/>
        <v>248</v>
      </c>
      <c r="B251" s="1" t="s">
        <v>3083</v>
      </c>
      <c r="C251" s="1" t="s">
        <v>3084</v>
      </c>
      <c r="D251" s="1" t="s">
        <v>121</v>
      </c>
      <c r="E251" s="1" t="s">
        <v>39</v>
      </c>
      <c r="F251" s="1"/>
      <c r="G251" s="1" t="s">
        <v>3085</v>
      </c>
      <c r="H251" s="2">
        <v>44867</v>
      </c>
      <c r="I251" s="2">
        <v>36610</v>
      </c>
      <c r="J251" s="7">
        <f t="shared" ca="1" si="7"/>
        <v>23.610958904109587</v>
      </c>
      <c r="K251" s="1" t="s">
        <v>42</v>
      </c>
      <c r="L251" s="1" t="s">
        <v>1213</v>
      </c>
      <c r="M251" s="2">
        <v>44805</v>
      </c>
      <c r="N251" s="1">
        <v>2</v>
      </c>
      <c r="O251" s="2" t="s">
        <v>42</v>
      </c>
      <c r="P251" s="1" t="s">
        <v>44</v>
      </c>
      <c r="Q251" s="1" t="s">
        <v>431</v>
      </c>
      <c r="R251" s="1" t="s">
        <v>42</v>
      </c>
      <c r="S251" s="1" t="s">
        <v>47</v>
      </c>
      <c r="T251" s="1">
        <v>8</v>
      </c>
      <c r="U251" s="2">
        <v>44805</v>
      </c>
      <c r="V251" s="2">
        <v>45169</v>
      </c>
      <c r="W251" s="2">
        <v>44914</v>
      </c>
      <c r="X251" s="1" t="s">
        <v>42</v>
      </c>
      <c r="Y251" s="2" t="s">
        <v>42</v>
      </c>
      <c r="Z251" s="1" t="s">
        <v>3086</v>
      </c>
      <c r="AA251" s="1" t="s">
        <v>3087</v>
      </c>
      <c r="AB251" s="1" t="s">
        <v>3088</v>
      </c>
      <c r="AC251" s="1" t="s">
        <v>129</v>
      </c>
      <c r="AD251" s="1">
        <v>7009073037</v>
      </c>
      <c r="AE251" s="1" t="s">
        <v>103</v>
      </c>
      <c r="AF251" s="1"/>
      <c r="AG251" s="2">
        <v>44893</v>
      </c>
      <c r="AH251" s="1" t="s">
        <v>2812</v>
      </c>
      <c r="AI251" s="1" t="s">
        <v>42</v>
      </c>
      <c r="AJ251" s="1"/>
      <c r="AK251" s="2" t="s">
        <v>42</v>
      </c>
      <c r="AL251" s="1" t="s">
        <v>2806</v>
      </c>
    </row>
    <row r="252" spans="1:38" ht="20.100000000000001" customHeight="1" x14ac:dyDescent="0.2">
      <c r="A252" s="3">
        <f t="shared" si="6"/>
        <v>249</v>
      </c>
      <c r="B252" s="1" t="s">
        <v>3089</v>
      </c>
      <c r="C252" s="1" t="s">
        <v>3090</v>
      </c>
      <c r="D252" s="1" t="s">
        <v>38</v>
      </c>
      <c r="E252" s="1" t="s">
        <v>39</v>
      </c>
      <c r="F252" s="1"/>
      <c r="G252" s="1" t="s">
        <v>3091</v>
      </c>
      <c r="H252" s="2">
        <v>45127</v>
      </c>
      <c r="I252" s="2">
        <v>38017</v>
      </c>
      <c r="J252" s="7">
        <f t="shared" ca="1" si="7"/>
        <v>19.756164383561643</v>
      </c>
      <c r="K252" s="1" t="s">
        <v>42</v>
      </c>
      <c r="L252" s="1" t="s">
        <v>211</v>
      </c>
      <c r="M252" s="2">
        <v>44814</v>
      </c>
      <c r="N252" s="1">
        <v>2</v>
      </c>
      <c r="O252" s="2" t="s">
        <v>42</v>
      </c>
      <c r="P252" s="1" t="s">
        <v>44</v>
      </c>
      <c r="Q252" s="1" t="s">
        <v>59</v>
      </c>
      <c r="R252" s="1" t="s">
        <v>42</v>
      </c>
      <c r="S252" s="1" t="s">
        <v>47</v>
      </c>
      <c r="T252" s="1">
        <v>8</v>
      </c>
      <c r="U252" s="2">
        <v>44814</v>
      </c>
      <c r="V252" s="2">
        <v>45178</v>
      </c>
      <c r="W252" s="2" t="s">
        <v>42</v>
      </c>
      <c r="X252" s="1" t="s">
        <v>42</v>
      </c>
      <c r="Y252" s="2" t="s">
        <v>42</v>
      </c>
      <c r="Z252" s="1" t="s">
        <v>3092</v>
      </c>
      <c r="AA252" s="1" t="s">
        <v>3093</v>
      </c>
      <c r="AB252" s="1" t="s">
        <v>3094</v>
      </c>
      <c r="AC252" s="1" t="s">
        <v>129</v>
      </c>
      <c r="AD252" s="1">
        <v>7014477116</v>
      </c>
      <c r="AE252" s="1" t="s">
        <v>65</v>
      </c>
      <c r="AF252" s="1"/>
      <c r="AG252" s="2">
        <v>44829</v>
      </c>
      <c r="AH252" s="1" t="s">
        <v>2985</v>
      </c>
      <c r="AI252" s="1" t="s">
        <v>42</v>
      </c>
      <c r="AJ252" s="1"/>
      <c r="AK252" s="2" t="s">
        <v>42</v>
      </c>
      <c r="AL252" s="1" t="s">
        <v>2806</v>
      </c>
    </row>
    <row r="253" spans="1:38" ht="20.100000000000001" customHeight="1" x14ac:dyDescent="0.2">
      <c r="A253" s="3">
        <f t="shared" si="6"/>
        <v>250</v>
      </c>
      <c r="B253" s="1" t="s">
        <v>3095</v>
      </c>
      <c r="C253" s="1" t="s">
        <v>3096</v>
      </c>
      <c r="D253" s="1" t="s">
        <v>121</v>
      </c>
      <c r="E253" s="1" t="s">
        <v>3097</v>
      </c>
      <c r="F253" s="1"/>
      <c r="G253" s="1" t="s">
        <v>42</v>
      </c>
      <c r="H253" s="2" t="s">
        <v>42</v>
      </c>
      <c r="I253" s="2" t="s">
        <v>42</v>
      </c>
      <c r="J253" s="7"/>
      <c r="K253" s="1" t="s">
        <v>42</v>
      </c>
      <c r="L253" s="1" t="s">
        <v>3098</v>
      </c>
      <c r="M253" s="2">
        <v>44536</v>
      </c>
      <c r="N253" s="1">
        <v>2</v>
      </c>
      <c r="O253" s="2" t="s">
        <v>42</v>
      </c>
      <c r="P253" s="1" t="s">
        <v>3097</v>
      </c>
      <c r="Q253" s="1" t="s">
        <v>178</v>
      </c>
      <c r="R253" s="1" t="s">
        <v>179</v>
      </c>
      <c r="S253" s="1" t="s">
        <v>125</v>
      </c>
      <c r="T253" s="1" t="s">
        <v>42</v>
      </c>
      <c r="U253" s="2">
        <v>44536</v>
      </c>
      <c r="V253" s="2" t="s">
        <v>42</v>
      </c>
      <c r="W253" s="2" t="s">
        <v>42</v>
      </c>
      <c r="X253" s="1" t="s">
        <v>42</v>
      </c>
      <c r="Y253" s="2" t="s">
        <v>42</v>
      </c>
      <c r="Z253" s="1" t="s">
        <v>3099</v>
      </c>
      <c r="AA253" s="1" t="s">
        <v>3100</v>
      </c>
      <c r="AB253" s="1" t="s">
        <v>3101</v>
      </c>
      <c r="AC253" s="1" t="s">
        <v>42</v>
      </c>
      <c r="AD253" s="1"/>
      <c r="AE253" s="1" t="s">
        <v>42</v>
      </c>
      <c r="AF253" s="1"/>
      <c r="AG253" s="2">
        <v>44951</v>
      </c>
      <c r="AH253" s="1" t="s">
        <v>2805</v>
      </c>
      <c r="AI253" s="1" t="s">
        <v>42</v>
      </c>
      <c r="AJ253" s="1"/>
      <c r="AK253" s="2" t="s">
        <v>42</v>
      </c>
      <c r="AL253" s="1" t="s">
        <v>2806</v>
      </c>
    </row>
    <row r="254" spans="1:38" ht="20.100000000000001" customHeight="1" x14ac:dyDescent="0.2">
      <c r="A254" s="3">
        <f t="shared" si="6"/>
        <v>251</v>
      </c>
      <c r="B254" s="1" t="s">
        <v>1394</v>
      </c>
      <c r="C254" s="1" t="s">
        <v>1395</v>
      </c>
      <c r="D254" s="1" t="s">
        <v>121</v>
      </c>
      <c r="E254" s="1" t="s">
        <v>39</v>
      </c>
      <c r="F254" s="1" t="s">
        <v>40</v>
      </c>
      <c r="G254" s="1" t="s">
        <v>42</v>
      </c>
      <c r="H254" s="2" t="s">
        <v>42</v>
      </c>
      <c r="I254" s="2" t="s">
        <v>42</v>
      </c>
      <c r="J254" s="7"/>
      <c r="K254" s="1" t="s">
        <v>42</v>
      </c>
      <c r="L254" s="1" t="s">
        <v>1396</v>
      </c>
      <c r="M254" s="2">
        <v>44656</v>
      </c>
      <c r="N254" s="1">
        <v>2</v>
      </c>
      <c r="O254" s="2" t="s">
        <v>42</v>
      </c>
      <c r="P254" s="1" t="s">
        <v>44</v>
      </c>
      <c r="Q254" s="1" t="s">
        <v>178</v>
      </c>
      <c r="R254" s="1" t="s">
        <v>179</v>
      </c>
      <c r="S254" s="1" t="s">
        <v>125</v>
      </c>
      <c r="T254" s="1" t="s">
        <v>42</v>
      </c>
      <c r="U254" s="2">
        <v>44656</v>
      </c>
      <c r="V254" s="2" t="s">
        <v>42</v>
      </c>
      <c r="W254" s="2" t="s">
        <v>42</v>
      </c>
      <c r="X254" s="1" t="s">
        <v>42</v>
      </c>
      <c r="Y254" s="2" t="s">
        <v>42</v>
      </c>
      <c r="Z254" s="1" t="s">
        <v>1397</v>
      </c>
      <c r="AA254" s="1" t="s">
        <v>1398</v>
      </c>
      <c r="AB254" s="1" t="s">
        <v>1399</v>
      </c>
      <c r="AC254" s="1" t="s">
        <v>129</v>
      </c>
      <c r="AD254" s="1"/>
      <c r="AE254" s="1" t="s">
        <v>788</v>
      </c>
      <c r="AF254" s="1"/>
      <c r="AG254" s="2" t="s">
        <v>42</v>
      </c>
      <c r="AH254" s="1"/>
      <c r="AI254" s="1" t="s">
        <v>42</v>
      </c>
      <c r="AJ254" s="1"/>
      <c r="AK254" s="2" t="s">
        <v>42</v>
      </c>
      <c r="AL254" s="1" t="s">
        <v>3507</v>
      </c>
    </row>
    <row r="255" spans="1:38" ht="20.100000000000001" customHeight="1" x14ac:dyDescent="0.2">
      <c r="A255" s="3">
        <f t="shared" si="6"/>
        <v>252</v>
      </c>
      <c r="B255" s="1" t="s">
        <v>1400</v>
      </c>
      <c r="C255" s="1" t="s">
        <v>1401</v>
      </c>
      <c r="D255" s="1" t="s">
        <v>38</v>
      </c>
      <c r="E255" s="1" t="s">
        <v>150</v>
      </c>
      <c r="F255" s="1" t="s">
        <v>70</v>
      </c>
      <c r="G255" s="1" t="s">
        <v>42</v>
      </c>
      <c r="H255" s="2" t="s">
        <v>42</v>
      </c>
      <c r="I255" s="2" t="s">
        <v>42</v>
      </c>
      <c r="J255" s="7"/>
      <c r="K255" s="1" t="s">
        <v>42</v>
      </c>
      <c r="L255" s="1" t="s">
        <v>1402</v>
      </c>
      <c r="M255" s="2">
        <v>44527</v>
      </c>
      <c r="N255" s="1">
        <v>2</v>
      </c>
      <c r="O255" s="2" t="s">
        <v>42</v>
      </c>
      <c r="P255" s="1" t="s">
        <v>150</v>
      </c>
      <c r="Q255" s="1" t="s">
        <v>178</v>
      </c>
      <c r="R255" s="1" t="s">
        <v>179</v>
      </c>
      <c r="S255" s="1" t="s">
        <v>125</v>
      </c>
      <c r="T255" s="1" t="s">
        <v>42</v>
      </c>
      <c r="U255" s="2">
        <v>44527</v>
      </c>
      <c r="V255" s="2" t="s">
        <v>42</v>
      </c>
      <c r="W255" s="2" t="s">
        <v>42</v>
      </c>
      <c r="X255" s="1" t="s">
        <v>42</v>
      </c>
      <c r="Y255" s="2" t="s">
        <v>42</v>
      </c>
      <c r="Z255" s="1" t="s">
        <v>1403</v>
      </c>
      <c r="AA255" s="1" t="s">
        <v>42</v>
      </c>
      <c r="AB255" s="1" t="s">
        <v>1404</v>
      </c>
      <c r="AC255" s="1" t="s">
        <v>42</v>
      </c>
      <c r="AD255" s="1"/>
      <c r="AE255" s="1" t="s">
        <v>788</v>
      </c>
      <c r="AF255" s="1"/>
      <c r="AG255" s="2" t="s">
        <v>42</v>
      </c>
      <c r="AH255" s="1"/>
      <c r="AI255" s="1" t="s">
        <v>42</v>
      </c>
      <c r="AJ255" s="1"/>
      <c r="AK255" s="2" t="s">
        <v>42</v>
      </c>
      <c r="AL255" s="1" t="s">
        <v>3507</v>
      </c>
    </row>
    <row r="256" spans="1:38" ht="20.100000000000001" customHeight="1" x14ac:dyDescent="0.2">
      <c r="A256" s="3">
        <f t="shared" si="6"/>
        <v>253</v>
      </c>
      <c r="B256" s="1" t="s">
        <v>1405</v>
      </c>
      <c r="C256" s="1" t="s">
        <v>1406</v>
      </c>
      <c r="D256" s="1" t="s">
        <v>38</v>
      </c>
      <c r="E256" s="1" t="s">
        <v>54</v>
      </c>
      <c r="F256" s="1" t="s">
        <v>55</v>
      </c>
      <c r="G256" s="1" t="s">
        <v>1407</v>
      </c>
      <c r="H256" s="2">
        <v>45237</v>
      </c>
      <c r="I256" s="2">
        <v>35986</v>
      </c>
      <c r="J256" s="7">
        <f t="shared" ca="1" si="7"/>
        <v>25.32054794520548</v>
      </c>
      <c r="K256" s="1" t="s">
        <v>1408</v>
      </c>
      <c r="L256" s="1" t="s">
        <v>134</v>
      </c>
      <c r="M256" s="2">
        <v>44817</v>
      </c>
      <c r="N256" s="1">
        <v>2</v>
      </c>
      <c r="O256" s="2" t="s">
        <v>42</v>
      </c>
      <c r="P256" s="1" t="s">
        <v>44</v>
      </c>
      <c r="Q256" s="1" t="s">
        <v>154</v>
      </c>
      <c r="R256" s="1" t="s">
        <v>60</v>
      </c>
      <c r="S256" s="1" t="s">
        <v>47</v>
      </c>
      <c r="T256" s="1">
        <v>12</v>
      </c>
      <c r="U256" s="2">
        <v>44817</v>
      </c>
      <c r="V256" s="2">
        <v>45181</v>
      </c>
      <c r="W256" s="2" t="s">
        <v>42</v>
      </c>
      <c r="X256" s="1" t="s">
        <v>42</v>
      </c>
      <c r="Y256" s="2" t="s">
        <v>42</v>
      </c>
      <c r="Z256" s="1" t="s">
        <v>1409</v>
      </c>
      <c r="AA256" s="1" t="s">
        <v>1410</v>
      </c>
      <c r="AB256" s="1" t="s">
        <v>1411</v>
      </c>
      <c r="AC256" s="1" t="s">
        <v>50</v>
      </c>
      <c r="AD256" s="1">
        <v>7015572543</v>
      </c>
      <c r="AE256" s="1" t="s">
        <v>3506</v>
      </c>
      <c r="AF256" s="1"/>
      <c r="AG256" s="2" t="s">
        <v>42</v>
      </c>
      <c r="AH256" s="1"/>
      <c r="AI256" s="1" t="s">
        <v>42</v>
      </c>
      <c r="AJ256" s="1"/>
      <c r="AK256" s="2" t="s">
        <v>42</v>
      </c>
      <c r="AL256" s="1" t="s">
        <v>3507</v>
      </c>
    </row>
    <row r="257" spans="1:38" ht="20.100000000000001" customHeight="1" x14ac:dyDescent="0.2">
      <c r="A257" s="3">
        <f t="shared" si="6"/>
        <v>254</v>
      </c>
      <c r="B257" s="1" t="s">
        <v>3102</v>
      </c>
      <c r="C257" s="1" t="s">
        <v>3103</v>
      </c>
      <c r="D257" s="1" t="s">
        <v>38</v>
      </c>
      <c r="E257" s="1" t="s">
        <v>69</v>
      </c>
      <c r="F257" s="1"/>
      <c r="G257" s="1" t="s">
        <v>3104</v>
      </c>
      <c r="H257" s="2" t="s">
        <v>42</v>
      </c>
      <c r="I257" s="2" t="s">
        <v>42</v>
      </c>
      <c r="J257" s="7"/>
      <c r="K257" s="1" t="s">
        <v>1067</v>
      </c>
      <c r="L257" s="1" t="s">
        <v>134</v>
      </c>
      <c r="M257" s="2">
        <v>44817</v>
      </c>
      <c r="N257" s="1">
        <v>2</v>
      </c>
      <c r="O257" s="2" t="s">
        <v>42</v>
      </c>
      <c r="P257" s="1" t="s">
        <v>44</v>
      </c>
      <c r="Q257" s="1" t="s">
        <v>475</v>
      </c>
      <c r="R257" s="1" t="s">
        <v>42</v>
      </c>
      <c r="S257" s="1" t="s">
        <v>156</v>
      </c>
      <c r="T257" s="1">
        <v>12</v>
      </c>
      <c r="U257" s="2">
        <v>44817</v>
      </c>
      <c r="V257" s="2">
        <v>45181</v>
      </c>
      <c r="W257" s="2" t="s">
        <v>42</v>
      </c>
      <c r="X257" s="1" t="s">
        <v>42</v>
      </c>
      <c r="Y257" s="2" t="s">
        <v>42</v>
      </c>
      <c r="Z257" s="1" t="s">
        <v>42</v>
      </c>
      <c r="AA257" s="1" t="s">
        <v>42</v>
      </c>
      <c r="AB257" s="1" t="s">
        <v>3105</v>
      </c>
      <c r="AC257" s="1" t="s">
        <v>42</v>
      </c>
      <c r="AD257" s="1">
        <v>7004853987</v>
      </c>
      <c r="AE257" s="1" t="s">
        <v>471</v>
      </c>
      <c r="AF257" s="1"/>
      <c r="AG257" s="2">
        <v>44844</v>
      </c>
      <c r="AH257" s="1" t="s">
        <v>2985</v>
      </c>
      <c r="AI257" s="1" t="s">
        <v>42</v>
      </c>
      <c r="AJ257" s="1"/>
      <c r="AK257" s="2" t="s">
        <v>42</v>
      </c>
      <c r="AL257" s="1" t="s">
        <v>2806</v>
      </c>
    </row>
    <row r="258" spans="1:38" ht="20.100000000000001" customHeight="1" x14ac:dyDescent="0.2">
      <c r="A258" s="3">
        <f t="shared" si="6"/>
        <v>255</v>
      </c>
      <c r="B258" s="1" t="s">
        <v>1412</v>
      </c>
      <c r="C258" s="1" t="s">
        <v>1413</v>
      </c>
      <c r="D258" s="1" t="s">
        <v>121</v>
      </c>
      <c r="E258" s="1" t="s">
        <v>39</v>
      </c>
      <c r="F258" s="1" t="s">
        <v>40</v>
      </c>
      <c r="G258" s="1" t="s">
        <v>1414</v>
      </c>
      <c r="H258" s="2">
        <v>46195</v>
      </c>
      <c r="I258" s="2">
        <v>34328</v>
      </c>
      <c r="J258" s="7">
        <f t="shared" ca="1" si="7"/>
        <v>29.863013698630137</v>
      </c>
      <c r="K258" s="1" t="s">
        <v>42</v>
      </c>
      <c r="L258" s="1" t="s">
        <v>1415</v>
      </c>
      <c r="M258" s="2">
        <v>44822</v>
      </c>
      <c r="N258" s="1">
        <v>2</v>
      </c>
      <c r="O258" s="2" t="s">
        <v>42</v>
      </c>
      <c r="P258" s="1" t="s">
        <v>44</v>
      </c>
      <c r="Q258" s="1" t="s">
        <v>408</v>
      </c>
      <c r="R258" s="1" t="s">
        <v>124</v>
      </c>
      <c r="S258" s="1" t="s">
        <v>125</v>
      </c>
      <c r="T258" s="1">
        <v>8</v>
      </c>
      <c r="U258" s="2">
        <v>44822</v>
      </c>
      <c r="V258" s="2">
        <v>45186</v>
      </c>
      <c r="W258" s="2" t="s">
        <v>42</v>
      </c>
      <c r="X258" s="1" t="s">
        <v>42</v>
      </c>
      <c r="Y258" s="2" t="s">
        <v>42</v>
      </c>
      <c r="Z258" s="1" t="s">
        <v>1416</v>
      </c>
      <c r="AA258" s="1" t="s">
        <v>1417</v>
      </c>
      <c r="AB258" s="1" t="s">
        <v>1418</v>
      </c>
      <c r="AC258" s="1" t="s">
        <v>129</v>
      </c>
      <c r="AD258" s="1">
        <v>7014477116</v>
      </c>
      <c r="AE258" s="1" t="s">
        <v>65</v>
      </c>
      <c r="AF258" s="1"/>
      <c r="AG258" s="2" t="s">
        <v>42</v>
      </c>
      <c r="AH258" s="1"/>
      <c r="AI258" s="1" t="s">
        <v>42</v>
      </c>
      <c r="AJ258" s="1"/>
      <c r="AK258" s="2" t="s">
        <v>42</v>
      </c>
      <c r="AL258" s="1" t="s">
        <v>3507</v>
      </c>
    </row>
    <row r="259" spans="1:38" ht="20.100000000000001" customHeight="1" x14ac:dyDescent="0.2">
      <c r="A259" s="3">
        <f t="shared" si="6"/>
        <v>256</v>
      </c>
      <c r="B259" s="1" t="s">
        <v>3106</v>
      </c>
      <c r="C259" s="1" t="s">
        <v>3107</v>
      </c>
      <c r="D259" s="1" t="s">
        <v>38</v>
      </c>
      <c r="E259" s="1" t="s">
        <v>39</v>
      </c>
      <c r="F259" s="1"/>
      <c r="G259" s="1" t="s">
        <v>3108</v>
      </c>
      <c r="H259" s="2">
        <v>46531</v>
      </c>
      <c r="I259" s="2">
        <v>36727</v>
      </c>
      <c r="J259" s="7">
        <f t="shared" ca="1" si="7"/>
        <v>23.290410958904111</v>
      </c>
      <c r="K259" s="1" t="s">
        <v>42</v>
      </c>
      <c r="L259" s="1" t="s">
        <v>211</v>
      </c>
      <c r="M259" s="2">
        <v>44822</v>
      </c>
      <c r="N259" s="1">
        <v>2</v>
      </c>
      <c r="O259" s="2" t="s">
        <v>42</v>
      </c>
      <c r="P259" s="1" t="s">
        <v>44</v>
      </c>
      <c r="Q259" s="1" t="s">
        <v>59</v>
      </c>
      <c r="R259" s="1" t="s">
        <v>42</v>
      </c>
      <c r="S259" s="1" t="s">
        <v>47</v>
      </c>
      <c r="T259" s="1">
        <v>8</v>
      </c>
      <c r="U259" s="2">
        <v>44822</v>
      </c>
      <c r="V259" s="2">
        <v>45187</v>
      </c>
      <c r="W259" s="2" t="s">
        <v>42</v>
      </c>
      <c r="X259" s="1" t="s">
        <v>42</v>
      </c>
      <c r="Y259" s="2" t="s">
        <v>42</v>
      </c>
      <c r="Z259" s="1" t="s">
        <v>3109</v>
      </c>
      <c r="AA259" s="1" t="s">
        <v>3110</v>
      </c>
      <c r="AB259" s="1" t="s">
        <v>3111</v>
      </c>
      <c r="AC259" s="1" t="s">
        <v>129</v>
      </c>
      <c r="AD259" s="1">
        <v>7014477116</v>
      </c>
      <c r="AE259" s="1" t="s">
        <v>65</v>
      </c>
      <c r="AF259" s="1"/>
      <c r="AG259" s="2">
        <v>44850</v>
      </c>
      <c r="AH259" s="1" t="s">
        <v>2812</v>
      </c>
      <c r="AI259" s="1" t="s">
        <v>42</v>
      </c>
      <c r="AJ259" s="1"/>
      <c r="AK259" s="2" t="s">
        <v>42</v>
      </c>
      <c r="AL259" s="1" t="s">
        <v>2806</v>
      </c>
    </row>
    <row r="260" spans="1:38" ht="20.100000000000001" customHeight="1" x14ac:dyDescent="0.2">
      <c r="A260" s="3">
        <f t="shared" ref="A260:A323" si="8">ROW()-3</f>
        <v>257</v>
      </c>
      <c r="B260" s="1" t="s">
        <v>3112</v>
      </c>
      <c r="C260" s="1" t="s">
        <v>3113</v>
      </c>
      <c r="D260" s="1" t="s">
        <v>121</v>
      </c>
      <c r="E260" s="1" t="s">
        <v>39</v>
      </c>
      <c r="F260" s="1"/>
      <c r="G260" s="1" t="s">
        <v>3114</v>
      </c>
      <c r="H260" s="2">
        <v>46292</v>
      </c>
      <c r="I260" s="2">
        <v>34940</v>
      </c>
      <c r="J260" s="7">
        <f t="shared" ca="1" si="7"/>
        <v>28.186301369863013</v>
      </c>
      <c r="K260" s="1" t="s">
        <v>42</v>
      </c>
      <c r="L260" s="1" t="s">
        <v>211</v>
      </c>
      <c r="M260" s="2">
        <v>44823</v>
      </c>
      <c r="N260" s="1">
        <v>2</v>
      </c>
      <c r="O260" s="2" t="s">
        <v>42</v>
      </c>
      <c r="P260" s="1" t="s">
        <v>165</v>
      </c>
      <c r="Q260" s="1" t="s">
        <v>166</v>
      </c>
      <c r="R260" s="1" t="s">
        <v>42</v>
      </c>
      <c r="S260" s="1" t="s">
        <v>47</v>
      </c>
      <c r="T260" s="1">
        <v>8</v>
      </c>
      <c r="U260" s="2">
        <v>44823</v>
      </c>
      <c r="V260" s="2">
        <v>45188</v>
      </c>
      <c r="W260" s="2" t="s">
        <v>42</v>
      </c>
      <c r="X260" s="1" t="s">
        <v>42</v>
      </c>
      <c r="Y260" s="2" t="s">
        <v>42</v>
      </c>
      <c r="Z260" s="1" t="s">
        <v>3115</v>
      </c>
      <c r="AA260" s="1" t="s">
        <v>3116</v>
      </c>
      <c r="AB260" s="1" t="s">
        <v>3117</v>
      </c>
      <c r="AC260" s="1" t="s">
        <v>129</v>
      </c>
      <c r="AD260" s="1">
        <v>7014477116</v>
      </c>
      <c r="AE260" s="1" t="s">
        <v>65</v>
      </c>
      <c r="AF260" s="1"/>
      <c r="AG260" s="2">
        <v>44829</v>
      </c>
      <c r="AH260" s="1" t="s">
        <v>2985</v>
      </c>
      <c r="AI260" s="1" t="s">
        <v>42</v>
      </c>
      <c r="AJ260" s="1"/>
      <c r="AK260" s="2" t="s">
        <v>42</v>
      </c>
      <c r="AL260" s="1" t="s">
        <v>2806</v>
      </c>
    </row>
    <row r="261" spans="1:38" ht="20.100000000000001" customHeight="1" x14ac:dyDescent="0.2">
      <c r="A261" s="3">
        <f t="shared" si="8"/>
        <v>258</v>
      </c>
      <c r="B261" s="1" t="s">
        <v>3118</v>
      </c>
      <c r="C261" s="1" t="s">
        <v>3119</v>
      </c>
      <c r="D261" s="1" t="s">
        <v>38</v>
      </c>
      <c r="E261" s="1" t="s">
        <v>69</v>
      </c>
      <c r="F261" s="1"/>
      <c r="G261" s="1" t="s">
        <v>3120</v>
      </c>
      <c r="H261" s="2">
        <v>44931</v>
      </c>
      <c r="I261" s="2">
        <v>31444</v>
      </c>
      <c r="J261" s="7">
        <f t="shared" ref="J261:J324" ca="1" si="9">($H$1-I261)/365</f>
        <v>37.764383561643832</v>
      </c>
      <c r="K261" s="1" t="s">
        <v>3121</v>
      </c>
      <c r="L261" s="1" t="s">
        <v>42</v>
      </c>
      <c r="M261" s="2">
        <v>44805</v>
      </c>
      <c r="N261" s="1">
        <v>2</v>
      </c>
      <c r="O261" s="2" t="s">
        <v>42</v>
      </c>
      <c r="P261" s="1" t="s">
        <v>44</v>
      </c>
      <c r="Q261" s="1" t="s">
        <v>431</v>
      </c>
      <c r="R261" s="1" t="s">
        <v>42</v>
      </c>
      <c r="S261" s="1" t="s">
        <v>156</v>
      </c>
      <c r="T261" s="1">
        <v>8</v>
      </c>
      <c r="U261" s="2">
        <v>44805</v>
      </c>
      <c r="V261" s="2">
        <v>45169</v>
      </c>
      <c r="W261" s="2" t="s">
        <v>42</v>
      </c>
      <c r="X261" s="1" t="s">
        <v>42</v>
      </c>
      <c r="Y261" s="2" t="s">
        <v>42</v>
      </c>
      <c r="Z261" s="1" t="s">
        <v>3122</v>
      </c>
      <c r="AA261" s="1" t="s">
        <v>42</v>
      </c>
      <c r="AB261" s="1" t="s">
        <v>42</v>
      </c>
      <c r="AC261" s="1" t="s">
        <v>42</v>
      </c>
      <c r="AD261" s="1"/>
      <c r="AE261" s="1" t="s">
        <v>42</v>
      </c>
      <c r="AF261" s="1"/>
      <c r="AG261" s="2" t="s">
        <v>42</v>
      </c>
      <c r="AH261" s="1"/>
      <c r="AI261" s="1" t="s">
        <v>42</v>
      </c>
      <c r="AJ261" s="1"/>
      <c r="AK261" s="2" t="s">
        <v>42</v>
      </c>
      <c r="AL261" s="1" t="s">
        <v>2806</v>
      </c>
    </row>
    <row r="262" spans="1:38" ht="20.100000000000001" customHeight="1" x14ac:dyDescent="0.2">
      <c r="A262" s="3">
        <f t="shared" si="8"/>
        <v>259</v>
      </c>
      <c r="B262" s="1" t="s">
        <v>1419</v>
      </c>
      <c r="C262" s="1" t="s">
        <v>1420</v>
      </c>
      <c r="D262" s="1" t="s">
        <v>38</v>
      </c>
      <c r="E262" s="1" t="s">
        <v>54</v>
      </c>
      <c r="F262" s="1" t="s">
        <v>55</v>
      </c>
      <c r="G262" s="1" t="s">
        <v>1421</v>
      </c>
      <c r="H262" s="2">
        <v>45337</v>
      </c>
      <c r="I262" s="2">
        <v>36526</v>
      </c>
      <c r="J262" s="7">
        <f t="shared" ca="1" si="9"/>
        <v>23.841095890410958</v>
      </c>
      <c r="K262" s="1" t="s">
        <v>429</v>
      </c>
      <c r="L262" s="1" t="s">
        <v>429</v>
      </c>
      <c r="M262" s="2">
        <v>44822</v>
      </c>
      <c r="N262" s="1">
        <v>2</v>
      </c>
      <c r="O262" s="2" t="s">
        <v>42</v>
      </c>
      <c r="P262" s="1" t="s">
        <v>44</v>
      </c>
      <c r="Q262" s="1" t="s">
        <v>431</v>
      </c>
      <c r="R262" s="1" t="s">
        <v>432</v>
      </c>
      <c r="S262" s="1" t="s">
        <v>47</v>
      </c>
      <c r="T262" s="1">
        <v>12</v>
      </c>
      <c r="U262" s="2">
        <v>44822</v>
      </c>
      <c r="V262" s="2">
        <v>45552</v>
      </c>
      <c r="W262" s="2" t="s">
        <v>42</v>
      </c>
      <c r="X262" s="1" t="s">
        <v>1422</v>
      </c>
      <c r="Y262" s="2">
        <v>48140</v>
      </c>
      <c r="Z262" s="1" t="s">
        <v>1423</v>
      </c>
      <c r="AA262" s="1" t="s">
        <v>1424</v>
      </c>
      <c r="AB262" s="1" t="s">
        <v>1425</v>
      </c>
      <c r="AC262" s="1" t="s">
        <v>266</v>
      </c>
      <c r="AD262" s="1">
        <v>7009073037</v>
      </c>
      <c r="AE262" s="1" t="s">
        <v>103</v>
      </c>
      <c r="AF262" s="1" t="s">
        <v>436</v>
      </c>
      <c r="AG262" s="2" t="s">
        <v>42</v>
      </c>
      <c r="AH262" s="1"/>
      <c r="AI262" s="1" t="s">
        <v>42</v>
      </c>
      <c r="AJ262" s="1"/>
      <c r="AK262" s="2" t="s">
        <v>42</v>
      </c>
      <c r="AL262" s="1" t="s">
        <v>3507</v>
      </c>
    </row>
    <row r="263" spans="1:38" ht="20.100000000000001" customHeight="1" x14ac:dyDescent="0.2">
      <c r="A263" s="3">
        <f t="shared" si="8"/>
        <v>260</v>
      </c>
      <c r="B263" s="1" t="s">
        <v>1426</v>
      </c>
      <c r="C263" s="1" t="s">
        <v>1041</v>
      </c>
      <c r="D263" s="1" t="s">
        <v>38</v>
      </c>
      <c r="E263" s="1" t="s">
        <v>54</v>
      </c>
      <c r="F263" s="1" t="s">
        <v>55</v>
      </c>
      <c r="G263" s="1" t="s">
        <v>1427</v>
      </c>
      <c r="H263" s="2">
        <v>45266</v>
      </c>
      <c r="I263" s="2">
        <v>35866</v>
      </c>
      <c r="J263" s="7">
        <f t="shared" ca="1" si="9"/>
        <v>25.649315068493152</v>
      </c>
      <c r="K263" s="1" t="s">
        <v>429</v>
      </c>
      <c r="L263" s="1" t="s">
        <v>429</v>
      </c>
      <c r="M263" s="2">
        <v>44821</v>
      </c>
      <c r="N263" s="1">
        <v>2</v>
      </c>
      <c r="O263" s="2" t="s">
        <v>42</v>
      </c>
      <c r="P263" s="1" t="s">
        <v>44</v>
      </c>
      <c r="Q263" s="1" t="s">
        <v>431</v>
      </c>
      <c r="R263" s="1" t="s">
        <v>432</v>
      </c>
      <c r="S263" s="1" t="s">
        <v>47</v>
      </c>
      <c r="T263" s="1">
        <v>12</v>
      </c>
      <c r="U263" s="2">
        <v>44821</v>
      </c>
      <c r="V263" s="2">
        <v>45551</v>
      </c>
      <c r="W263" s="2" t="s">
        <v>42</v>
      </c>
      <c r="X263" s="1" t="s">
        <v>42</v>
      </c>
      <c r="Y263" s="2" t="s">
        <v>42</v>
      </c>
      <c r="Z263" s="1" t="s">
        <v>1084</v>
      </c>
      <c r="AA263" s="1" t="s">
        <v>1428</v>
      </c>
      <c r="AB263" s="1" t="s">
        <v>1429</v>
      </c>
      <c r="AC263" s="1" t="s">
        <v>266</v>
      </c>
      <c r="AD263" s="1">
        <v>7009073037</v>
      </c>
      <c r="AE263" s="1" t="s">
        <v>103</v>
      </c>
      <c r="AF263" s="1" t="s">
        <v>436</v>
      </c>
      <c r="AG263" s="2" t="s">
        <v>42</v>
      </c>
      <c r="AH263" s="1"/>
      <c r="AI263" s="1" t="s">
        <v>42</v>
      </c>
      <c r="AJ263" s="1"/>
      <c r="AK263" s="2" t="s">
        <v>42</v>
      </c>
      <c r="AL263" s="1" t="s">
        <v>3507</v>
      </c>
    </row>
    <row r="264" spans="1:38" ht="20.100000000000001" customHeight="1" x14ac:dyDescent="0.2">
      <c r="A264" s="3">
        <f t="shared" si="8"/>
        <v>261</v>
      </c>
      <c r="B264" s="1" t="s">
        <v>1430</v>
      </c>
      <c r="C264" s="1" t="s">
        <v>1431</v>
      </c>
      <c r="D264" s="1" t="s">
        <v>38</v>
      </c>
      <c r="E264" s="1" t="s">
        <v>54</v>
      </c>
      <c r="F264" s="1" t="s">
        <v>55</v>
      </c>
      <c r="G264" s="1" t="s">
        <v>1432</v>
      </c>
      <c r="H264" s="2">
        <v>45427</v>
      </c>
      <c r="I264" s="2">
        <v>36800</v>
      </c>
      <c r="J264" s="7">
        <f t="shared" ca="1" si="9"/>
        <v>23.090410958904108</v>
      </c>
      <c r="K264" s="1" t="s">
        <v>429</v>
      </c>
      <c r="L264" s="1" t="s">
        <v>429</v>
      </c>
      <c r="M264" s="2">
        <v>44822</v>
      </c>
      <c r="N264" s="1">
        <v>2</v>
      </c>
      <c r="O264" s="2" t="s">
        <v>42</v>
      </c>
      <c r="P264" s="1" t="s">
        <v>44</v>
      </c>
      <c r="Q264" s="1" t="s">
        <v>431</v>
      </c>
      <c r="R264" s="1" t="s">
        <v>432</v>
      </c>
      <c r="S264" s="1" t="s">
        <v>47</v>
      </c>
      <c r="T264" s="1">
        <v>12</v>
      </c>
      <c r="U264" s="2">
        <v>44822</v>
      </c>
      <c r="V264" s="2">
        <v>45552</v>
      </c>
      <c r="W264" s="2" t="s">
        <v>42</v>
      </c>
      <c r="X264" s="1" t="s">
        <v>1433</v>
      </c>
      <c r="Y264" s="2">
        <v>48251</v>
      </c>
      <c r="Z264" s="1" t="s">
        <v>1084</v>
      </c>
      <c r="AA264" s="1" t="s">
        <v>1434</v>
      </c>
      <c r="AB264" s="1" t="s">
        <v>1435</v>
      </c>
      <c r="AC264" s="1" t="s">
        <v>266</v>
      </c>
      <c r="AD264" s="1">
        <v>7009073037</v>
      </c>
      <c r="AE264" s="1" t="s">
        <v>103</v>
      </c>
      <c r="AF264" s="1" t="s">
        <v>436</v>
      </c>
      <c r="AG264" s="2" t="s">
        <v>42</v>
      </c>
      <c r="AH264" s="1"/>
      <c r="AI264" s="1" t="s">
        <v>42</v>
      </c>
      <c r="AJ264" s="1"/>
      <c r="AK264" s="2" t="s">
        <v>42</v>
      </c>
      <c r="AL264" s="1" t="s">
        <v>3507</v>
      </c>
    </row>
    <row r="265" spans="1:38" ht="20.100000000000001" customHeight="1" x14ac:dyDescent="0.2">
      <c r="A265" s="3">
        <f t="shared" si="8"/>
        <v>262</v>
      </c>
      <c r="B265" s="1" t="s">
        <v>1436</v>
      </c>
      <c r="C265" s="1" t="s">
        <v>1437</v>
      </c>
      <c r="D265" s="1" t="s">
        <v>38</v>
      </c>
      <c r="E265" s="1" t="s">
        <v>54</v>
      </c>
      <c r="F265" s="1" t="s">
        <v>55</v>
      </c>
      <c r="G265" s="1" t="s">
        <v>1438</v>
      </c>
      <c r="H265" s="2">
        <v>45266</v>
      </c>
      <c r="I265" s="2">
        <v>35831</v>
      </c>
      <c r="J265" s="7">
        <f t="shared" ca="1" si="9"/>
        <v>25.745205479452054</v>
      </c>
      <c r="K265" s="1" t="s">
        <v>429</v>
      </c>
      <c r="L265" s="1" t="s">
        <v>429</v>
      </c>
      <c r="M265" s="2">
        <v>44821</v>
      </c>
      <c r="N265" s="1">
        <v>2</v>
      </c>
      <c r="O265" s="2" t="s">
        <v>42</v>
      </c>
      <c r="P265" s="1" t="s">
        <v>44</v>
      </c>
      <c r="Q265" s="1" t="s">
        <v>431</v>
      </c>
      <c r="R265" s="1" t="s">
        <v>432</v>
      </c>
      <c r="S265" s="1" t="s">
        <v>47</v>
      </c>
      <c r="T265" s="1">
        <v>12</v>
      </c>
      <c r="U265" s="2">
        <v>44821</v>
      </c>
      <c r="V265" s="2">
        <v>45551</v>
      </c>
      <c r="W265" s="2" t="s">
        <v>42</v>
      </c>
      <c r="X265" s="1" t="s">
        <v>1439</v>
      </c>
      <c r="Y265" s="2">
        <v>48320</v>
      </c>
      <c r="Z265" s="1" t="s">
        <v>1440</v>
      </c>
      <c r="AA265" s="1" t="s">
        <v>1441</v>
      </c>
      <c r="AB265" s="1" t="s">
        <v>1442</v>
      </c>
      <c r="AC265" s="1" t="s">
        <v>129</v>
      </c>
      <c r="AD265" s="1">
        <v>7009073037</v>
      </c>
      <c r="AE265" s="1" t="s">
        <v>103</v>
      </c>
      <c r="AF265" s="1" t="s">
        <v>436</v>
      </c>
      <c r="AG265" s="2" t="s">
        <v>42</v>
      </c>
      <c r="AH265" s="1"/>
      <c r="AI265" s="1" t="s">
        <v>42</v>
      </c>
      <c r="AJ265" s="1"/>
      <c r="AK265" s="2" t="s">
        <v>42</v>
      </c>
      <c r="AL265" s="1" t="s">
        <v>3507</v>
      </c>
    </row>
    <row r="266" spans="1:38" ht="20.100000000000001" customHeight="1" x14ac:dyDescent="0.2">
      <c r="A266" s="3">
        <f t="shared" si="8"/>
        <v>263</v>
      </c>
      <c r="B266" s="1" t="s">
        <v>3123</v>
      </c>
      <c r="C266" s="1" t="s">
        <v>3124</v>
      </c>
      <c r="D266" s="1" t="s">
        <v>121</v>
      </c>
      <c r="E266" s="1" t="s">
        <v>39</v>
      </c>
      <c r="F266" s="1" t="s">
        <v>40</v>
      </c>
      <c r="G266" s="1" t="s">
        <v>3125</v>
      </c>
      <c r="H266" s="2">
        <v>46558</v>
      </c>
      <c r="I266" s="2">
        <v>36621</v>
      </c>
      <c r="J266" s="7">
        <f t="shared" ca="1" si="9"/>
        <v>23.580821917808219</v>
      </c>
      <c r="K266" s="1" t="s">
        <v>42</v>
      </c>
      <c r="L266" s="1" t="s">
        <v>1213</v>
      </c>
      <c r="M266" s="2">
        <v>44822</v>
      </c>
      <c r="N266" s="1">
        <v>2</v>
      </c>
      <c r="O266" s="2" t="s">
        <v>42</v>
      </c>
      <c r="P266" s="1" t="s">
        <v>44</v>
      </c>
      <c r="Q266" s="1" t="s">
        <v>431</v>
      </c>
      <c r="R266" s="1" t="s">
        <v>1214</v>
      </c>
      <c r="S266" s="1" t="s">
        <v>47</v>
      </c>
      <c r="T266" s="1">
        <v>8</v>
      </c>
      <c r="U266" s="2">
        <v>44822</v>
      </c>
      <c r="V266" s="2">
        <v>45186</v>
      </c>
      <c r="W266" s="2" t="s">
        <v>42</v>
      </c>
      <c r="X266" s="1" t="s">
        <v>42</v>
      </c>
      <c r="Y266" s="2" t="s">
        <v>42</v>
      </c>
      <c r="Z266" s="1" t="s">
        <v>3126</v>
      </c>
      <c r="AA266" s="1" t="s">
        <v>3127</v>
      </c>
      <c r="AB266" s="1" t="s">
        <v>3128</v>
      </c>
      <c r="AC266" s="1" t="s">
        <v>522</v>
      </c>
      <c r="AD266" s="1">
        <v>7009073037</v>
      </c>
      <c r="AE266" s="1" t="s">
        <v>103</v>
      </c>
      <c r="AF266" s="1"/>
      <c r="AG266" s="2" t="s">
        <v>42</v>
      </c>
      <c r="AH266" s="1" t="s">
        <v>2812</v>
      </c>
      <c r="AI266" s="1" t="s">
        <v>42</v>
      </c>
      <c r="AJ266" s="1"/>
      <c r="AK266" s="2" t="s">
        <v>42</v>
      </c>
      <c r="AL266" s="1" t="s">
        <v>2806</v>
      </c>
    </row>
    <row r="267" spans="1:38" ht="20.100000000000001" customHeight="1" x14ac:dyDescent="0.2">
      <c r="A267" s="3">
        <f t="shared" si="8"/>
        <v>264</v>
      </c>
      <c r="B267" s="1" t="s">
        <v>1443</v>
      </c>
      <c r="C267" s="1" t="s">
        <v>1444</v>
      </c>
      <c r="D267" s="1" t="s">
        <v>38</v>
      </c>
      <c r="E267" s="1" t="s">
        <v>54</v>
      </c>
      <c r="F267" s="1" t="s">
        <v>55</v>
      </c>
      <c r="G267" s="1" t="s">
        <v>1445</v>
      </c>
      <c r="H267" s="2">
        <v>45356</v>
      </c>
      <c r="I267" s="2">
        <v>35258</v>
      </c>
      <c r="J267" s="7">
        <f t="shared" ca="1" si="9"/>
        <v>27.315068493150687</v>
      </c>
      <c r="K267" s="1" t="s">
        <v>429</v>
      </c>
      <c r="L267" s="1" t="s">
        <v>429</v>
      </c>
      <c r="M267" s="2">
        <v>44821</v>
      </c>
      <c r="N267" s="1">
        <v>2</v>
      </c>
      <c r="O267" s="2" t="s">
        <v>42</v>
      </c>
      <c r="P267" s="1" t="s">
        <v>44</v>
      </c>
      <c r="Q267" s="1" t="s">
        <v>431</v>
      </c>
      <c r="R267" s="1" t="s">
        <v>432</v>
      </c>
      <c r="S267" s="1" t="s">
        <v>47</v>
      </c>
      <c r="T267" s="1">
        <v>12</v>
      </c>
      <c r="U267" s="2">
        <v>44821</v>
      </c>
      <c r="V267" s="2">
        <v>45551</v>
      </c>
      <c r="W267" s="2" t="s">
        <v>42</v>
      </c>
      <c r="X267" s="1" t="s">
        <v>1446</v>
      </c>
      <c r="Y267" s="2">
        <v>44996</v>
      </c>
      <c r="Z267" s="1" t="s">
        <v>1084</v>
      </c>
      <c r="AA267" s="1" t="s">
        <v>1447</v>
      </c>
      <c r="AB267" s="1" t="s">
        <v>1448</v>
      </c>
      <c r="AC267" s="1" t="s">
        <v>129</v>
      </c>
      <c r="AD267" s="1">
        <v>7009073037</v>
      </c>
      <c r="AE267" s="1" t="s">
        <v>103</v>
      </c>
      <c r="AF267" s="1" t="s">
        <v>436</v>
      </c>
      <c r="AG267" s="2" t="s">
        <v>42</v>
      </c>
      <c r="AH267" s="1"/>
      <c r="AI267" s="1" t="s">
        <v>42</v>
      </c>
      <c r="AJ267" s="1"/>
      <c r="AK267" s="2" t="s">
        <v>42</v>
      </c>
      <c r="AL267" s="1" t="s">
        <v>3507</v>
      </c>
    </row>
    <row r="268" spans="1:38" ht="20.100000000000001" customHeight="1" x14ac:dyDescent="0.2">
      <c r="A268" s="3">
        <f t="shared" si="8"/>
        <v>265</v>
      </c>
      <c r="B268" s="1" t="s">
        <v>3129</v>
      </c>
      <c r="C268" s="1" t="s">
        <v>3130</v>
      </c>
      <c r="D268" s="1" t="s">
        <v>38</v>
      </c>
      <c r="E268" s="1" t="s">
        <v>3131</v>
      </c>
      <c r="F268" s="1"/>
      <c r="G268" s="1" t="s">
        <v>3132</v>
      </c>
      <c r="H268" s="2">
        <v>44842</v>
      </c>
      <c r="I268" s="2">
        <v>36507</v>
      </c>
      <c r="J268" s="7">
        <f t="shared" ca="1" si="9"/>
        <v>23.893150684931506</v>
      </c>
      <c r="K268" s="1" t="s">
        <v>972</v>
      </c>
      <c r="L268" s="1" t="s">
        <v>1214</v>
      </c>
      <c r="M268" s="2">
        <v>44822</v>
      </c>
      <c r="N268" s="1">
        <v>2</v>
      </c>
      <c r="O268" s="2" t="s">
        <v>42</v>
      </c>
      <c r="P268" s="1" t="s">
        <v>44</v>
      </c>
      <c r="Q268" s="1" t="s">
        <v>431</v>
      </c>
      <c r="R268" s="1" t="s">
        <v>42</v>
      </c>
      <c r="S268" s="1" t="s">
        <v>156</v>
      </c>
      <c r="T268" s="1" t="s">
        <v>42</v>
      </c>
      <c r="U268" s="2" t="s">
        <v>42</v>
      </c>
      <c r="V268" s="2" t="s">
        <v>42</v>
      </c>
      <c r="W268" s="2" t="s">
        <v>42</v>
      </c>
      <c r="X268" s="1" t="s">
        <v>42</v>
      </c>
      <c r="Y268" s="2" t="s">
        <v>42</v>
      </c>
      <c r="Z268" s="1" t="s">
        <v>3133</v>
      </c>
      <c r="AA268" s="1" t="s">
        <v>3134</v>
      </c>
      <c r="AB268" s="1" t="s">
        <v>3135</v>
      </c>
      <c r="AC268" s="1" t="s">
        <v>129</v>
      </c>
      <c r="AD268" s="1"/>
      <c r="AE268" s="1" t="s">
        <v>42</v>
      </c>
      <c r="AF268" s="1"/>
      <c r="AG268" s="2">
        <v>44863</v>
      </c>
      <c r="AH268" s="1" t="s">
        <v>2985</v>
      </c>
      <c r="AI268" s="1" t="s">
        <v>42</v>
      </c>
      <c r="AJ268" s="1"/>
      <c r="AK268" s="2" t="s">
        <v>42</v>
      </c>
      <c r="AL268" s="1" t="s">
        <v>2806</v>
      </c>
    </row>
    <row r="269" spans="1:38" ht="20.100000000000001" customHeight="1" x14ac:dyDescent="0.2">
      <c r="A269" s="3">
        <f t="shared" si="8"/>
        <v>266</v>
      </c>
      <c r="B269" s="1" t="s">
        <v>1449</v>
      </c>
      <c r="C269" s="1" t="s">
        <v>1450</v>
      </c>
      <c r="D269" s="1" t="s">
        <v>38</v>
      </c>
      <c r="E269" s="1" t="s">
        <v>69</v>
      </c>
      <c r="F269" s="1" t="s">
        <v>70</v>
      </c>
      <c r="G269" s="1" t="s">
        <v>1451</v>
      </c>
      <c r="H269" s="2">
        <v>45261</v>
      </c>
      <c r="I269" s="2">
        <v>33239</v>
      </c>
      <c r="J269" s="7">
        <f t="shared" ca="1" si="9"/>
        <v>32.846575342465755</v>
      </c>
      <c r="K269" s="1" t="s">
        <v>42</v>
      </c>
      <c r="L269" s="1" t="s">
        <v>1452</v>
      </c>
      <c r="M269" s="2">
        <v>44823</v>
      </c>
      <c r="N269" s="1">
        <v>2</v>
      </c>
      <c r="O269" s="2" t="s">
        <v>42</v>
      </c>
      <c r="P269" s="1" t="s">
        <v>44</v>
      </c>
      <c r="Q269" s="1" t="s">
        <v>899</v>
      </c>
      <c r="R269" s="1" t="s">
        <v>900</v>
      </c>
      <c r="S269" s="1" t="s">
        <v>47</v>
      </c>
      <c r="T269" s="1">
        <v>12</v>
      </c>
      <c r="U269" s="2">
        <v>44823</v>
      </c>
      <c r="V269" s="2">
        <v>45553</v>
      </c>
      <c r="W269" s="2" t="s">
        <v>42</v>
      </c>
      <c r="X269" s="1" t="s">
        <v>42</v>
      </c>
      <c r="Y269" s="2" t="s">
        <v>42</v>
      </c>
      <c r="Z269" s="1" t="s">
        <v>1453</v>
      </c>
      <c r="AA269" s="1" t="s">
        <v>1454</v>
      </c>
      <c r="AB269" s="1" t="s">
        <v>42</v>
      </c>
      <c r="AC269" s="1" t="s">
        <v>42</v>
      </c>
      <c r="AD269" s="1">
        <v>7026482336</v>
      </c>
      <c r="AE269" s="1" t="s">
        <v>903</v>
      </c>
      <c r="AF269" s="1" t="s">
        <v>904</v>
      </c>
      <c r="AG269" s="2" t="s">
        <v>42</v>
      </c>
      <c r="AH269" s="1"/>
      <c r="AI269" s="1" t="s">
        <v>42</v>
      </c>
      <c r="AJ269" s="1"/>
      <c r="AK269" s="2" t="s">
        <v>42</v>
      </c>
      <c r="AL269" s="1" t="s">
        <v>3507</v>
      </c>
    </row>
    <row r="270" spans="1:38" ht="20.100000000000001" customHeight="1" x14ac:dyDescent="0.2">
      <c r="A270" s="3">
        <f t="shared" si="8"/>
        <v>267</v>
      </c>
      <c r="B270" s="1" t="s">
        <v>3136</v>
      </c>
      <c r="C270" s="1" t="s">
        <v>3137</v>
      </c>
      <c r="D270" s="1" t="s">
        <v>121</v>
      </c>
      <c r="E270" s="1" t="s">
        <v>39</v>
      </c>
      <c r="F270" s="1"/>
      <c r="G270" s="1" t="s">
        <v>3138</v>
      </c>
      <c r="H270" s="2" t="s">
        <v>42</v>
      </c>
      <c r="I270" s="2">
        <v>37581</v>
      </c>
      <c r="J270" s="7">
        <f t="shared" ca="1" si="9"/>
        <v>20.950684931506849</v>
      </c>
      <c r="K270" s="1" t="s">
        <v>42</v>
      </c>
      <c r="L270" s="1" t="s">
        <v>211</v>
      </c>
      <c r="M270" s="2">
        <v>44833</v>
      </c>
      <c r="N270" s="1">
        <v>2</v>
      </c>
      <c r="O270" s="2" t="s">
        <v>42</v>
      </c>
      <c r="P270" s="1" t="s">
        <v>44</v>
      </c>
      <c r="Q270" s="1" t="s">
        <v>203</v>
      </c>
      <c r="R270" s="1" t="s">
        <v>42</v>
      </c>
      <c r="S270" s="1" t="s">
        <v>47</v>
      </c>
      <c r="T270" s="1">
        <v>8</v>
      </c>
      <c r="U270" s="2">
        <v>44833</v>
      </c>
      <c r="V270" s="2">
        <v>45197</v>
      </c>
      <c r="W270" s="2" t="s">
        <v>42</v>
      </c>
      <c r="X270" s="1" t="s">
        <v>42</v>
      </c>
      <c r="Y270" s="2" t="s">
        <v>42</v>
      </c>
      <c r="Z270" s="1" t="s">
        <v>3139</v>
      </c>
      <c r="AA270" s="1" t="s">
        <v>3140</v>
      </c>
      <c r="AB270" s="1" t="s">
        <v>3141</v>
      </c>
      <c r="AC270" s="1" t="s">
        <v>129</v>
      </c>
      <c r="AD270" s="1">
        <v>7014477116</v>
      </c>
      <c r="AE270" s="1" t="s">
        <v>65</v>
      </c>
      <c r="AF270" s="1"/>
      <c r="AG270" s="2">
        <v>44842</v>
      </c>
      <c r="AH270" s="1" t="s">
        <v>2985</v>
      </c>
      <c r="AI270" s="1" t="s">
        <v>42</v>
      </c>
      <c r="AJ270" s="1"/>
      <c r="AK270" s="2" t="s">
        <v>42</v>
      </c>
      <c r="AL270" s="1" t="s">
        <v>2806</v>
      </c>
    </row>
    <row r="271" spans="1:38" ht="20.100000000000001" customHeight="1" x14ac:dyDescent="0.2">
      <c r="A271" s="3">
        <f t="shared" si="8"/>
        <v>268</v>
      </c>
      <c r="B271" s="1" t="s">
        <v>1455</v>
      </c>
      <c r="C271" s="1" t="s">
        <v>1456</v>
      </c>
      <c r="D271" s="1" t="s">
        <v>38</v>
      </c>
      <c r="E271" s="1" t="s">
        <v>150</v>
      </c>
      <c r="F271" s="1" t="s">
        <v>70</v>
      </c>
      <c r="G271" s="1" t="s">
        <v>1457</v>
      </c>
      <c r="H271" s="2">
        <v>45379</v>
      </c>
      <c r="I271" s="2">
        <v>35339</v>
      </c>
      <c r="J271" s="7">
        <f t="shared" ca="1" si="9"/>
        <v>27.093150684931508</v>
      </c>
      <c r="K271" s="1" t="s">
        <v>908</v>
      </c>
      <c r="L271" s="1" t="s">
        <v>1135</v>
      </c>
      <c r="M271" s="2">
        <v>44840</v>
      </c>
      <c r="N271" s="1">
        <v>2</v>
      </c>
      <c r="O271" s="2">
        <v>44835</v>
      </c>
      <c r="P271" s="1" t="s">
        <v>44</v>
      </c>
      <c r="Q271" s="1" t="s">
        <v>178</v>
      </c>
      <c r="R271" s="1" t="s">
        <v>842</v>
      </c>
      <c r="S271" s="1" t="s">
        <v>47</v>
      </c>
      <c r="T271" s="1">
        <v>8</v>
      </c>
      <c r="U271" s="2">
        <v>44840</v>
      </c>
      <c r="V271" s="2">
        <v>45204</v>
      </c>
      <c r="W271" s="2" t="s">
        <v>42</v>
      </c>
      <c r="X271" s="1" t="s">
        <v>42</v>
      </c>
      <c r="Y271" s="2" t="s">
        <v>42</v>
      </c>
      <c r="Z271" s="1" t="s">
        <v>1458</v>
      </c>
      <c r="AA271" s="1" t="s">
        <v>1459</v>
      </c>
      <c r="AB271" s="1" t="s">
        <v>1460</v>
      </c>
      <c r="AC271" s="1" t="s">
        <v>129</v>
      </c>
      <c r="AD271" s="1">
        <v>7021202564</v>
      </c>
      <c r="AE271" s="1" t="s">
        <v>567</v>
      </c>
      <c r="AF271" s="1"/>
      <c r="AG271" s="2" t="s">
        <v>42</v>
      </c>
      <c r="AH271" s="1"/>
      <c r="AI271" s="1" t="s">
        <v>42</v>
      </c>
      <c r="AJ271" s="1"/>
      <c r="AK271" s="2" t="s">
        <v>42</v>
      </c>
      <c r="AL271" s="1" t="s">
        <v>3507</v>
      </c>
    </row>
    <row r="272" spans="1:38" ht="20.100000000000001" customHeight="1" x14ac:dyDescent="0.2">
      <c r="A272" s="3">
        <f t="shared" si="8"/>
        <v>269</v>
      </c>
      <c r="B272" s="1" t="s">
        <v>1461</v>
      </c>
      <c r="C272" s="1" t="s">
        <v>1462</v>
      </c>
      <c r="D272" s="1" t="s">
        <v>38</v>
      </c>
      <c r="E272" s="1" t="s">
        <v>150</v>
      </c>
      <c r="F272" s="1" t="s">
        <v>70</v>
      </c>
      <c r="G272" s="1" t="s">
        <v>1463</v>
      </c>
      <c r="H272" s="2">
        <v>45564</v>
      </c>
      <c r="I272" s="2">
        <v>33534</v>
      </c>
      <c r="J272" s="7">
        <f t="shared" ca="1" si="9"/>
        <v>32.038356164383565</v>
      </c>
      <c r="K272" s="1" t="s">
        <v>1464</v>
      </c>
      <c r="L272" s="1" t="s">
        <v>1464</v>
      </c>
      <c r="M272" s="2">
        <v>44843</v>
      </c>
      <c r="N272" s="1">
        <v>2</v>
      </c>
      <c r="O272" s="2" t="s">
        <v>42</v>
      </c>
      <c r="P272" s="1" t="s">
        <v>44</v>
      </c>
      <c r="Q272" s="1" t="s">
        <v>178</v>
      </c>
      <c r="R272" s="1" t="s">
        <v>155</v>
      </c>
      <c r="S272" s="1" t="s">
        <v>47</v>
      </c>
      <c r="T272" s="1">
        <v>8</v>
      </c>
      <c r="U272" s="2">
        <v>44843</v>
      </c>
      <c r="V272" s="2">
        <v>45207</v>
      </c>
      <c r="W272" s="2" t="s">
        <v>42</v>
      </c>
      <c r="X272" s="1" t="s">
        <v>42</v>
      </c>
      <c r="Y272" s="2" t="s">
        <v>42</v>
      </c>
      <c r="Z272" s="1" t="s">
        <v>1465</v>
      </c>
      <c r="AA272" s="1" t="s">
        <v>1466</v>
      </c>
      <c r="AB272" s="1" t="s">
        <v>1467</v>
      </c>
      <c r="AC272" s="1" t="s">
        <v>617</v>
      </c>
      <c r="AD272" s="1">
        <v>7021202564</v>
      </c>
      <c r="AE272" s="1" t="s">
        <v>567</v>
      </c>
      <c r="AF272" s="1"/>
      <c r="AG272" s="2" t="s">
        <v>42</v>
      </c>
      <c r="AH272" s="1"/>
      <c r="AI272" s="1" t="s">
        <v>42</v>
      </c>
      <c r="AJ272" s="1"/>
      <c r="AK272" s="2" t="s">
        <v>42</v>
      </c>
      <c r="AL272" s="1" t="s">
        <v>3507</v>
      </c>
    </row>
    <row r="273" spans="1:38" ht="20.100000000000001" customHeight="1" x14ac:dyDescent="0.2">
      <c r="A273" s="3">
        <f t="shared" si="8"/>
        <v>270</v>
      </c>
      <c r="B273" s="1" t="s">
        <v>3142</v>
      </c>
      <c r="C273" s="1" t="s">
        <v>3143</v>
      </c>
      <c r="D273" s="1" t="s">
        <v>38</v>
      </c>
      <c r="E273" s="1" t="s">
        <v>39</v>
      </c>
      <c r="F273" s="1" t="s">
        <v>40</v>
      </c>
      <c r="G273" s="1" t="s">
        <v>3144</v>
      </c>
      <c r="H273" s="2">
        <v>46575</v>
      </c>
      <c r="I273" s="2">
        <v>38159</v>
      </c>
      <c r="J273" s="7">
        <f t="shared" ca="1" si="9"/>
        <v>19.367123287671234</v>
      </c>
      <c r="K273" s="1" t="s">
        <v>42</v>
      </c>
      <c r="L273" s="1" t="s">
        <v>1213</v>
      </c>
      <c r="M273" s="2">
        <v>44839</v>
      </c>
      <c r="N273" s="1">
        <v>2</v>
      </c>
      <c r="O273" s="2" t="s">
        <v>42</v>
      </c>
      <c r="P273" s="1" t="s">
        <v>44</v>
      </c>
      <c r="Q273" s="1" t="s">
        <v>431</v>
      </c>
      <c r="R273" s="1" t="s">
        <v>42</v>
      </c>
      <c r="S273" s="1" t="s">
        <v>47</v>
      </c>
      <c r="T273" s="1">
        <v>8</v>
      </c>
      <c r="U273" s="2">
        <v>44839</v>
      </c>
      <c r="V273" s="2">
        <v>45203</v>
      </c>
      <c r="W273" s="2" t="s">
        <v>42</v>
      </c>
      <c r="X273" s="1" t="s">
        <v>42</v>
      </c>
      <c r="Y273" s="2" t="s">
        <v>42</v>
      </c>
      <c r="Z273" s="1" t="s">
        <v>1084</v>
      </c>
      <c r="AA273" s="1" t="s">
        <v>3145</v>
      </c>
      <c r="AB273" s="1" t="s">
        <v>3146</v>
      </c>
      <c r="AC273" s="1" t="s">
        <v>50</v>
      </c>
      <c r="AD273" s="1">
        <v>7009073037</v>
      </c>
      <c r="AE273" s="1" t="s">
        <v>103</v>
      </c>
      <c r="AF273" s="1"/>
      <c r="AG273" s="2">
        <v>44920</v>
      </c>
      <c r="AH273" s="1" t="s">
        <v>2812</v>
      </c>
      <c r="AI273" s="1" t="s">
        <v>42</v>
      </c>
      <c r="AJ273" s="1"/>
      <c r="AK273" s="2" t="s">
        <v>42</v>
      </c>
      <c r="AL273" s="1" t="s">
        <v>2806</v>
      </c>
    </row>
    <row r="274" spans="1:38" ht="20.100000000000001" customHeight="1" x14ac:dyDescent="0.2">
      <c r="A274" s="3">
        <f t="shared" si="8"/>
        <v>271</v>
      </c>
      <c r="B274" s="1" t="s">
        <v>3147</v>
      </c>
      <c r="C274" s="1" t="s">
        <v>3148</v>
      </c>
      <c r="D274" s="1" t="s">
        <v>38</v>
      </c>
      <c r="E274" s="1" t="s">
        <v>3097</v>
      </c>
      <c r="F274" s="1"/>
      <c r="G274" s="1" t="s">
        <v>3149</v>
      </c>
      <c r="H274" s="2" t="s">
        <v>42</v>
      </c>
      <c r="I274" s="2">
        <v>37257</v>
      </c>
      <c r="J274" s="7">
        <f t="shared" ca="1" si="9"/>
        <v>21.838356164383562</v>
      </c>
      <c r="K274" s="1" t="s">
        <v>972</v>
      </c>
      <c r="L274" s="1" t="s">
        <v>2090</v>
      </c>
      <c r="M274" s="2">
        <v>44840</v>
      </c>
      <c r="N274" s="1">
        <v>2</v>
      </c>
      <c r="O274" s="2" t="s">
        <v>42</v>
      </c>
      <c r="P274" s="1" t="s">
        <v>44</v>
      </c>
      <c r="Q274" s="1" t="s">
        <v>178</v>
      </c>
      <c r="R274" s="1" t="s">
        <v>42</v>
      </c>
      <c r="S274" s="1" t="s">
        <v>156</v>
      </c>
      <c r="T274" s="1" t="s">
        <v>42</v>
      </c>
      <c r="U274" s="2">
        <v>44840</v>
      </c>
      <c r="V274" s="2">
        <v>45204</v>
      </c>
      <c r="W274" s="2" t="s">
        <v>42</v>
      </c>
      <c r="X274" s="1" t="s">
        <v>42</v>
      </c>
      <c r="Y274" s="2" t="s">
        <v>42</v>
      </c>
      <c r="Z274" s="1" t="s">
        <v>42</v>
      </c>
      <c r="AA274" s="1" t="s">
        <v>42</v>
      </c>
      <c r="AB274" s="1" t="s">
        <v>3150</v>
      </c>
      <c r="AC274" s="1" t="s">
        <v>42</v>
      </c>
      <c r="AD274" s="1"/>
      <c r="AE274" s="1" t="s">
        <v>42</v>
      </c>
      <c r="AF274" s="1"/>
      <c r="AG274" s="2" t="s">
        <v>42</v>
      </c>
      <c r="AH274" s="1" t="s">
        <v>2985</v>
      </c>
      <c r="AI274" s="1" t="s">
        <v>42</v>
      </c>
      <c r="AJ274" s="1"/>
      <c r="AK274" s="2" t="s">
        <v>42</v>
      </c>
      <c r="AL274" s="1" t="s">
        <v>2806</v>
      </c>
    </row>
    <row r="275" spans="1:38" ht="20.100000000000001" customHeight="1" x14ac:dyDescent="0.2">
      <c r="A275" s="3">
        <f t="shared" si="8"/>
        <v>272</v>
      </c>
      <c r="B275" s="1" t="s">
        <v>3151</v>
      </c>
      <c r="C275" s="1" t="s">
        <v>3152</v>
      </c>
      <c r="D275" s="1" t="s">
        <v>38</v>
      </c>
      <c r="E275" s="1" t="s">
        <v>39</v>
      </c>
      <c r="F275" s="1"/>
      <c r="G275" s="1" t="s">
        <v>3153</v>
      </c>
      <c r="H275" s="2" t="s">
        <v>42</v>
      </c>
      <c r="I275" s="2" t="s">
        <v>42</v>
      </c>
      <c r="J275" s="7"/>
      <c r="K275" s="1" t="s">
        <v>42</v>
      </c>
      <c r="L275" s="1" t="s">
        <v>2090</v>
      </c>
      <c r="M275" s="2">
        <v>44840</v>
      </c>
      <c r="N275" s="1">
        <v>2</v>
      </c>
      <c r="O275" s="2" t="s">
        <v>42</v>
      </c>
      <c r="P275" s="1" t="s">
        <v>44</v>
      </c>
      <c r="Q275" s="1" t="s">
        <v>178</v>
      </c>
      <c r="R275" s="1" t="s">
        <v>42</v>
      </c>
      <c r="S275" s="1" t="s">
        <v>156</v>
      </c>
      <c r="T275" s="1" t="s">
        <v>42</v>
      </c>
      <c r="U275" s="2">
        <v>44840</v>
      </c>
      <c r="V275" s="2">
        <v>45204</v>
      </c>
      <c r="W275" s="2" t="s">
        <v>42</v>
      </c>
      <c r="X275" s="1" t="s">
        <v>42</v>
      </c>
      <c r="Y275" s="2" t="s">
        <v>42</v>
      </c>
      <c r="Z275" s="1" t="s">
        <v>42</v>
      </c>
      <c r="AA275" s="1" t="s">
        <v>42</v>
      </c>
      <c r="AB275" s="1" t="s">
        <v>3150</v>
      </c>
      <c r="AC275" s="1" t="s">
        <v>129</v>
      </c>
      <c r="AD275" s="1"/>
      <c r="AE275" s="1" t="s">
        <v>42</v>
      </c>
      <c r="AF275" s="1"/>
      <c r="AG275" s="2" t="s">
        <v>42</v>
      </c>
      <c r="AH275" s="1" t="s">
        <v>2985</v>
      </c>
      <c r="AI275" s="1" t="s">
        <v>42</v>
      </c>
      <c r="AJ275" s="1"/>
      <c r="AK275" s="2" t="s">
        <v>42</v>
      </c>
      <c r="AL275" s="1" t="s">
        <v>2806</v>
      </c>
    </row>
    <row r="276" spans="1:38" ht="20.100000000000001" customHeight="1" x14ac:dyDescent="0.2">
      <c r="A276" s="3">
        <f t="shared" si="8"/>
        <v>273</v>
      </c>
      <c r="B276" s="1" t="s">
        <v>1468</v>
      </c>
      <c r="C276" s="1" t="s">
        <v>1469</v>
      </c>
      <c r="D276" s="1" t="s">
        <v>38</v>
      </c>
      <c r="E276" s="1" t="s">
        <v>39</v>
      </c>
      <c r="F276" s="1" t="s">
        <v>40</v>
      </c>
      <c r="G276" s="1" t="s">
        <v>1470</v>
      </c>
      <c r="H276" s="2">
        <v>46828</v>
      </c>
      <c r="I276" s="2">
        <v>31183</v>
      </c>
      <c r="J276" s="7">
        <f t="shared" ca="1" si="9"/>
        <v>38.479452054794521</v>
      </c>
      <c r="K276" s="1" t="s">
        <v>42</v>
      </c>
      <c r="L276" s="1" t="s">
        <v>1471</v>
      </c>
      <c r="M276" s="2">
        <v>44840</v>
      </c>
      <c r="N276" s="1">
        <v>2</v>
      </c>
      <c r="O276" s="2" t="s">
        <v>42</v>
      </c>
      <c r="P276" s="1" t="s">
        <v>44</v>
      </c>
      <c r="Q276" s="1" t="s">
        <v>178</v>
      </c>
      <c r="R276" s="1" t="s">
        <v>179</v>
      </c>
      <c r="S276" s="1" t="s">
        <v>47</v>
      </c>
      <c r="T276" s="1">
        <v>8</v>
      </c>
      <c r="U276" s="2">
        <v>44840</v>
      </c>
      <c r="V276" s="2">
        <v>45204</v>
      </c>
      <c r="W276" s="2" t="s">
        <v>42</v>
      </c>
      <c r="X276" s="1" t="s">
        <v>42</v>
      </c>
      <c r="Y276" s="2" t="s">
        <v>42</v>
      </c>
      <c r="Z276" s="1" t="s">
        <v>1472</v>
      </c>
      <c r="AA276" s="1" t="s">
        <v>1473</v>
      </c>
      <c r="AB276" s="1" t="s">
        <v>1474</v>
      </c>
      <c r="AC276" s="1" t="s">
        <v>617</v>
      </c>
      <c r="AD276" s="1" t="s">
        <v>42</v>
      </c>
      <c r="AE276" s="1" t="s">
        <v>1475</v>
      </c>
      <c r="AF276" s="1"/>
      <c r="AG276" s="2" t="s">
        <v>42</v>
      </c>
      <c r="AH276" s="1"/>
      <c r="AI276" s="1" t="s">
        <v>42</v>
      </c>
      <c r="AJ276" s="1"/>
      <c r="AK276" s="2" t="s">
        <v>42</v>
      </c>
      <c r="AL276" s="1" t="s">
        <v>3507</v>
      </c>
    </row>
    <row r="277" spans="1:38" ht="20.100000000000001" customHeight="1" x14ac:dyDescent="0.2">
      <c r="A277" s="3">
        <f t="shared" si="8"/>
        <v>274</v>
      </c>
      <c r="B277" s="1" t="s">
        <v>3154</v>
      </c>
      <c r="C277" s="1" t="s">
        <v>3155</v>
      </c>
      <c r="D277" s="1" t="s">
        <v>38</v>
      </c>
      <c r="E277" s="1" t="s">
        <v>54</v>
      </c>
      <c r="F277" s="1"/>
      <c r="G277" s="1" t="s">
        <v>3156</v>
      </c>
      <c r="H277" s="2">
        <v>44917</v>
      </c>
      <c r="I277" s="2" t="s">
        <v>42</v>
      </c>
      <c r="J277" s="7"/>
      <c r="K277" s="1" t="s">
        <v>1652</v>
      </c>
      <c r="L277" s="1" t="s">
        <v>134</v>
      </c>
      <c r="M277" s="2">
        <v>44845</v>
      </c>
      <c r="N277" s="1">
        <v>2</v>
      </c>
      <c r="O277" s="2" t="s">
        <v>42</v>
      </c>
      <c r="P277" s="1" t="s">
        <v>44</v>
      </c>
      <c r="Q277" s="1" t="s">
        <v>475</v>
      </c>
      <c r="R277" s="1" t="s">
        <v>42</v>
      </c>
      <c r="S277" s="1" t="s">
        <v>156</v>
      </c>
      <c r="T277" s="1">
        <v>12</v>
      </c>
      <c r="U277" s="2">
        <v>44845</v>
      </c>
      <c r="V277" s="2">
        <v>45575</v>
      </c>
      <c r="W277" s="2" t="s">
        <v>42</v>
      </c>
      <c r="X277" s="1" t="s">
        <v>42</v>
      </c>
      <c r="Y277" s="2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/>
      <c r="AE277" s="1" t="s">
        <v>42</v>
      </c>
      <c r="AF277" s="1"/>
      <c r="AG277" s="2">
        <v>44859</v>
      </c>
      <c r="AH277" s="1" t="s">
        <v>2812</v>
      </c>
      <c r="AI277" s="1" t="s">
        <v>42</v>
      </c>
      <c r="AJ277" s="1"/>
      <c r="AK277" s="2" t="s">
        <v>42</v>
      </c>
      <c r="AL277" s="1" t="s">
        <v>2806</v>
      </c>
    </row>
    <row r="278" spans="1:38" ht="20.100000000000001" customHeight="1" x14ac:dyDescent="0.2">
      <c r="A278" s="3">
        <f t="shared" si="8"/>
        <v>275</v>
      </c>
      <c r="B278" s="1" t="s">
        <v>1476</v>
      </c>
      <c r="C278" s="1" t="s">
        <v>1477</v>
      </c>
      <c r="D278" s="1" t="s">
        <v>38</v>
      </c>
      <c r="E278" s="1" t="s">
        <v>39</v>
      </c>
      <c r="F278" s="1" t="s">
        <v>40</v>
      </c>
      <c r="G278" s="1" t="s">
        <v>1478</v>
      </c>
      <c r="H278" s="2">
        <v>45149</v>
      </c>
      <c r="I278" s="2">
        <v>37888</v>
      </c>
      <c r="J278" s="7">
        <f t="shared" ca="1" si="9"/>
        <v>20.109589041095891</v>
      </c>
      <c r="K278" s="1" t="s">
        <v>42</v>
      </c>
      <c r="L278" s="1" t="s">
        <v>1415</v>
      </c>
      <c r="M278" s="2">
        <v>44857</v>
      </c>
      <c r="N278" s="1">
        <v>2</v>
      </c>
      <c r="O278" s="2" t="s">
        <v>42</v>
      </c>
      <c r="P278" s="1" t="s">
        <v>44</v>
      </c>
      <c r="Q278" s="1" t="s">
        <v>408</v>
      </c>
      <c r="R278" s="1" t="s">
        <v>124</v>
      </c>
      <c r="S278" s="1" t="s">
        <v>125</v>
      </c>
      <c r="T278" s="1">
        <v>8</v>
      </c>
      <c r="U278" s="2">
        <v>44857</v>
      </c>
      <c r="V278" s="2">
        <v>45222</v>
      </c>
      <c r="W278" s="2" t="s">
        <v>42</v>
      </c>
      <c r="X278" s="1" t="s">
        <v>42</v>
      </c>
      <c r="Y278" s="2" t="s">
        <v>42</v>
      </c>
      <c r="Z278" s="1" t="s">
        <v>1479</v>
      </c>
      <c r="AA278" s="1" t="s">
        <v>42</v>
      </c>
      <c r="AB278" s="1" t="s">
        <v>1480</v>
      </c>
      <c r="AC278" s="1" t="s">
        <v>129</v>
      </c>
      <c r="AD278" s="1">
        <v>7014477116</v>
      </c>
      <c r="AE278" s="1" t="s">
        <v>65</v>
      </c>
      <c r="AF278" s="1"/>
      <c r="AG278" s="2" t="s">
        <v>42</v>
      </c>
      <c r="AH278" s="1"/>
      <c r="AI278" s="1" t="s">
        <v>42</v>
      </c>
      <c r="AJ278" s="1"/>
      <c r="AK278" s="2" t="s">
        <v>42</v>
      </c>
      <c r="AL278" s="1" t="s">
        <v>3507</v>
      </c>
    </row>
    <row r="279" spans="1:38" ht="20.100000000000001" customHeight="1" x14ac:dyDescent="0.2">
      <c r="A279" s="3">
        <f t="shared" si="8"/>
        <v>276</v>
      </c>
      <c r="B279" s="1" t="s">
        <v>3157</v>
      </c>
      <c r="C279" s="1" t="s">
        <v>3158</v>
      </c>
      <c r="D279" s="1" t="s">
        <v>38</v>
      </c>
      <c r="E279" s="1" t="s">
        <v>3159</v>
      </c>
      <c r="F279" s="1"/>
      <c r="G279" s="1" t="s">
        <v>3160</v>
      </c>
      <c r="H279" s="2">
        <v>43642</v>
      </c>
      <c r="I279" s="2">
        <v>37330</v>
      </c>
      <c r="J279" s="7">
        <f t="shared" ca="1" si="9"/>
        <v>21.638356164383563</v>
      </c>
      <c r="K279" s="1" t="s">
        <v>972</v>
      </c>
      <c r="L279" s="1" t="s">
        <v>1214</v>
      </c>
      <c r="M279" s="2">
        <v>44855</v>
      </c>
      <c r="N279" s="1">
        <v>2</v>
      </c>
      <c r="O279" s="2" t="s">
        <v>42</v>
      </c>
      <c r="P279" s="1" t="s">
        <v>44</v>
      </c>
      <c r="Q279" s="1" t="s">
        <v>431</v>
      </c>
      <c r="R279" s="1" t="s">
        <v>42</v>
      </c>
      <c r="S279" s="1" t="s">
        <v>156</v>
      </c>
      <c r="T279" s="1">
        <v>12</v>
      </c>
      <c r="U279" s="2">
        <v>44855</v>
      </c>
      <c r="V279" s="2">
        <v>45585</v>
      </c>
      <c r="W279" s="2">
        <v>45095</v>
      </c>
      <c r="X279" s="1" t="s">
        <v>42</v>
      </c>
      <c r="Y279" s="2" t="s">
        <v>42</v>
      </c>
      <c r="Z279" s="1" t="s">
        <v>3161</v>
      </c>
      <c r="AA279" s="1" t="s">
        <v>42</v>
      </c>
      <c r="AB279" s="1" t="s">
        <v>42</v>
      </c>
      <c r="AC279" s="1" t="s">
        <v>42</v>
      </c>
      <c r="AD279" s="1"/>
      <c r="AE279" s="1" t="s">
        <v>42</v>
      </c>
      <c r="AF279" s="1"/>
      <c r="AG279" s="2">
        <v>44982</v>
      </c>
      <c r="AH279" s="1" t="s">
        <v>2812</v>
      </c>
      <c r="AI279" s="1" t="s">
        <v>42</v>
      </c>
      <c r="AJ279" s="1"/>
      <c r="AK279" s="2" t="s">
        <v>42</v>
      </c>
      <c r="AL279" s="1" t="s">
        <v>2806</v>
      </c>
    </row>
    <row r="280" spans="1:38" ht="20.100000000000001" customHeight="1" x14ac:dyDescent="0.2">
      <c r="A280" s="3">
        <f t="shared" si="8"/>
        <v>277</v>
      </c>
      <c r="B280" s="1" t="s">
        <v>1481</v>
      </c>
      <c r="C280" s="1" t="s">
        <v>1482</v>
      </c>
      <c r="D280" s="1" t="s">
        <v>38</v>
      </c>
      <c r="E280" s="1" t="s">
        <v>69</v>
      </c>
      <c r="F280" s="1" t="s">
        <v>70</v>
      </c>
      <c r="G280" s="1" t="s">
        <v>1483</v>
      </c>
      <c r="H280" s="2">
        <v>45451</v>
      </c>
      <c r="I280" s="2">
        <v>32874</v>
      </c>
      <c r="J280" s="7">
        <f t="shared" ca="1" si="9"/>
        <v>33.846575342465755</v>
      </c>
      <c r="K280" s="1" t="s">
        <v>72</v>
      </c>
      <c r="L280" s="1" t="s">
        <v>775</v>
      </c>
      <c r="M280" s="2">
        <v>44860</v>
      </c>
      <c r="N280" s="1">
        <v>2</v>
      </c>
      <c r="O280" s="2">
        <v>45196</v>
      </c>
      <c r="P280" s="1" t="s">
        <v>44</v>
      </c>
      <c r="Q280" s="1" t="s">
        <v>45</v>
      </c>
      <c r="R280" s="1" t="s">
        <v>1484</v>
      </c>
      <c r="S280" s="1" t="s">
        <v>47</v>
      </c>
      <c r="T280" s="1">
        <v>8</v>
      </c>
      <c r="U280" s="2">
        <v>44860</v>
      </c>
      <c r="V280" s="2">
        <v>45224</v>
      </c>
      <c r="W280" s="2" t="s">
        <v>42</v>
      </c>
      <c r="X280" s="1" t="s">
        <v>42</v>
      </c>
      <c r="Y280" s="2" t="s">
        <v>42</v>
      </c>
      <c r="Z280" s="1" t="s">
        <v>1485</v>
      </c>
      <c r="AA280" s="1" t="s">
        <v>1486</v>
      </c>
      <c r="AB280" s="1" t="s">
        <v>1487</v>
      </c>
      <c r="AC280" s="1" t="s">
        <v>129</v>
      </c>
      <c r="AD280" s="1">
        <v>7009073037</v>
      </c>
      <c r="AE280" s="1" t="s">
        <v>103</v>
      </c>
      <c r="AF280" s="1"/>
      <c r="AG280" s="2" t="s">
        <v>42</v>
      </c>
      <c r="AH280" s="1"/>
      <c r="AI280" s="1" t="s">
        <v>42</v>
      </c>
      <c r="AJ280" s="1"/>
      <c r="AK280" s="2" t="s">
        <v>42</v>
      </c>
      <c r="AL280" s="1" t="s">
        <v>3507</v>
      </c>
    </row>
    <row r="281" spans="1:38" ht="20.100000000000001" customHeight="1" x14ac:dyDescent="0.2">
      <c r="A281" s="3">
        <f t="shared" si="8"/>
        <v>278</v>
      </c>
      <c r="B281" s="1" t="s">
        <v>1488</v>
      </c>
      <c r="C281" s="1" t="s">
        <v>1489</v>
      </c>
      <c r="D281" s="1" t="s">
        <v>121</v>
      </c>
      <c r="E281" s="1" t="s">
        <v>39</v>
      </c>
      <c r="F281" s="1" t="s">
        <v>40</v>
      </c>
      <c r="G281" s="1" t="s">
        <v>1490</v>
      </c>
      <c r="H281" s="2" t="s">
        <v>42</v>
      </c>
      <c r="I281" s="2" t="s">
        <v>42</v>
      </c>
      <c r="J281" s="7"/>
      <c r="K281" s="1" t="s">
        <v>42</v>
      </c>
      <c r="L281" s="1" t="s">
        <v>1415</v>
      </c>
      <c r="M281" s="2">
        <v>44867</v>
      </c>
      <c r="N281" s="1">
        <v>2</v>
      </c>
      <c r="O281" s="2" t="s">
        <v>42</v>
      </c>
      <c r="P281" s="1" t="s">
        <v>44</v>
      </c>
      <c r="Q281" s="1" t="s">
        <v>408</v>
      </c>
      <c r="R281" s="1" t="s">
        <v>124</v>
      </c>
      <c r="S281" s="1" t="s">
        <v>125</v>
      </c>
      <c r="T281" s="1" t="s">
        <v>42</v>
      </c>
      <c r="U281" s="2">
        <v>44867</v>
      </c>
      <c r="V281" s="2">
        <v>45232</v>
      </c>
      <c r="W281" s="2" t="s">
        <v>42</v>
      </c>
      <c r="X281" s="1" t="s">
        <v>42</v>
      </c>
      <c r="Y281" s="2" t="s">
        <v>42</v>
      </c>
      <c r="Z281" s="1" t="s">
        <v>42</v>
      </c>
      <c r="AA281" s="1" t="s">
        <v>42</v>
      </c>
      <c r="AB281" s="1" t="s">
        <v>1491</v>
      </c>
      <c r="AC281" s="1" t="s">
        <v>129</v>
      </c>
      <c r="AD281" s="1">
        <v>7014477116</v>
      </c>
      <c r="AE281" s="1" t="s">
        <v>65</v>
      </c>
      <c r="AF281" s="1"/>
      <c r="AG281" s="2" t="s">
        <v>42</v>
      </c>
      <c r="AH281" s="1"/>
      <c r="AI281" s="1" t="s">
        <v>42</v>
      </c>
      <c r="AJ281" s="1"/>
      <c r="AK281" s="2" t="s">
        <v>42</v>
      </c>
      <c r="AL281" s="1" t="s">
        <v>3507</v>
      </c>
    </row>
    <row r="282" spans="1:38" ht="20.100000000000001" customHeight="1" x14ac:dyDescent="0.2">
      <c r="A282" s="3">
        <f t="shared" si="8"/>
        <v>279</v>
      </c>
      <c r="B282" s="1" t="s">
        <v>3162</v>
      </c>
      <c r="C282" s="1" t="s">
        <v>3163</v>
      </c>
      <c r="D282" s="1" t="s">
        <v>121</v>
      </c>
      <c r="E282" s="1" t="s">
        <v>39</v>
      </c>
      <c r="F282" s="1"/>
      <c r="G282" s="1" t="s">
        <v>3164</v>
      </c>
      <c r="H282" s="2">
        <v>46553</v>
      </c>
      <c r="I282" s="2">
        <v>34315</v>
      </c>
      <c r="J282" s="7">
        <f t="shared" ca="1" si="9"/>
        <v>29.898630136986302</v>
      </c>
      <c r="K282" s="1" t="s">
        <v>42</v>
      </c>
      <c r="L282" s="1" t="s">
        <v>1213</v>
      </c>
      <c r="M282" s="2">
        <v>44871</v>
      </c>
      <c r="N282" s="1">
        <v>2</v>
      </c>
      <c r="O282" s="2" t="s">
        <v>42</v>
      </c>
      <c r="P282" s="1" t="s">
        <v>44</v>
      </c>
      <c r="Q282" s="1" t="s">
        <v>431</v>
      </c>
      <c r="R282" s="1" t="s">
        <v>42</v>
      </c>
      <c r="S282" s="1" t="s">
        <v>47</v>
      </c>
      <c r="T282" s="1">
        <v>8</v>
      </c>
      <c r="U282" s="2">
        <v>44871</v>
      </c>
      <c r="V282" s="2">
        <v>45236</v>
      </c>
      <c r="W282" s="2" t="s">
        <v>42</v>
      </c>
      <c r="X282" s="1" t="s">
        <v>42</v>
      </c>
      <c r="Y282" s="2" t="s">
        <v>42</v>
      </c>
      <c r="Z282" s="1" t="s">
        <v>3165</v>
      </c>
      <c r="AA282" s="1" t="s">
        <v>3166</v>
      </c>
      <c r="AB282" s="1" t="s">
        <v>3167</v>
      </c>
      <c r="AC282" s="1" t="s">
        <v>42</v>
      </c>
      <c r="AD282" s="1">
        <v>7009073037</v>
      </c>
      <c r="AE282" s="1" t="s">
        <v>103</v>
      </c>
      <c r="AF282" s="1"/>
      <c r="AG282" s="2">
        <v>44875</v>
      </c>
      <c r="AH282" s="1" t="s">
        <v>2985</v>
      </c>
      <c r="AI282" s="1" t="s">
        <v>42</v>
      </c>
      <c r="AJ282" s="1"/>
      <c r="AK282" s="2" t="s">
        <v>42</v>
      </c>
      <c r="AL282" s="1" t="s">
        <v>2806</v>
      </c>
    </row>
    <row r="283" spans="1:38" ht="20.100000000000001" customHeight="1" x14ac:dyDescent="0.2">
      <c r="A283" s="3">
        <f t="shared" si="8"/>
        <v>280</v>
      </c>
      <c r="B283" s="1" t="s">
        <v>3168</v>
      </c>
      <c r="C283" s="1" t="s">
        <v>3169</v>
      </c>
      <c r="D283" s="1" t="s">
        <v>38</v>
      </c>
      <c r="E283" s="1" t="s">
        <v>39</v>
      </c>
      <c r="F283" s="1"/>
      <c r="G283" s="1" t="s">
        <v>3170</v>
      </c>
      <c r="H283" s="2" t="s">
        <v>42</v>
      </c>
      <c r="I283" s="2">
        <v>37707</v>
      </c>
      <c r="J283" s="7">
        <f t="shared" ca="1" si="9"/>
        <v>20.605479452054794</v>
      </c>
      <c r="K283" s="1" t="s">
        <v>42</v>
      </c>
      <c r="L283" s="1" t="s">
        <v>1213</v>
      </c>
      <c r="M283" s="2">
        <v>44866</v>
      </c>
      <c r="N283" s="1">
        <v>2</v>
      </c>
      <c r="O283" s="2" t="s">
        <v>42</v>
      </c>
      <c r="P283" s="1" t="s">
        <v>44</v>
      </c>
      <c r="Q283" s="1" t="s">
        <v>431</v>
      </c>
      <c r="R283" s="1" t="s">
        <v>1214</v>
      </c>
      <c r="S283" s="1" t="s">
        <v>47</v>
      </c>
      <c r="T283" s="1">
        <v>8</v>
      </c>
      <c r="U283" s="2">
        <v>44866</v>
      </c>
      <c r="V283" s="2">
        <v>45231</v>
      </c>
      <c r="W283" s="2" t="s">
        <v>42</v>
      </c>
      <c r="X283" s="1" t="s">
        <v>42</v>
      </c>
      <c r="Y283" s="2" t="s">
        <v>42</v>
      </c>
      <c r="Z283" s="1" t="s">
        <v>3171</v>
      </c>
      <c r="AA283" s="1" t="s">
        <v>3172</v>
      </c>
      <c r="AB283" s="1" t="s">
        <v>3173</v>
      </c>
      <c r="AC283" s="1" t="s">
        <v>129</v>
      </c>
      <c r="AD283" s="1">
        <v>7009073037</v>
      </c>
      <c r="AE283" s="1" t="s">
        <v>103</v>
      </c>
      <c r="AF283" s="1"/>
      <c r="AG283" s="2">
        <v>45054</v>
      </c>
      <c r="AH283" s="1" t="s">
        <v>2812</v>
      </c>
      <c r="AI283" s="1" t="s">
        <v>42</v>
      </c>
      <c r="AJ283" s="1"/>
      <c r="AK283" s="2" t="s">
        <v>42</v>
      </c>
      <c r="AL283" s="1" t="s">
        <v>2806</v>
      </c>
    </row>
    <row r="284" spans="1:38" ht="20.100000000000001" customHeight="1" x14ac:dyDescent="0.2">
      <c r="A284" s="3">
        <f t="shared" si="8"/>
        <v>281</v>
      </c>
      <c r="B284" s="1" t="s">
        <v>1492</v>
      </c>
      <c r="C284" s="1" t="s">
        <v>1493</v>
      </c>
      <c r="D284" s="1" t="s">
        <v>121</v>
      </c>
      <c r="E284" s="1" t="s">
        <v>1494</v>
      </c>
      <c r="F284" s="1" t="s">
        <v>55</v>
      </c>
      <c r="G284" s="1" t="s">
        <v>1495</v>
      </c>
      <c r="H284" s="2">
        <v>45320</v>
      </c>
      <c r="I284" s="2">
        <v>35264</v>
      </c>
      <c r="J284" s="7">
        <f t="shared" ca="1" si="9"/>
        <v>27.298630136986301</v>
      </c>
      <c r="K284" s="1" t="s">
        <v>1496</v>
      </c>
      <c r="L284" s="1" t="s">
        <v>1496</v>
      </c>
      <c r="M284" s="2" t="s">
        <v>42</v>
      </c>
      <c r="N284" s="1">
        <v>2</v>
      </c>
      <c r="O284" s="2" t="s">
        <v>42</v>
      </c>
      <c r="P284" s="1" t="s">
        <v>44</v>
      </c>
      <c r="Q284" s="1" t="s">
        <v>1497</v>
      </c>
      <c r="R284" s="1" t="s">
        <v>196</v>
      </c>
      <c r="S284" s="1" t="s">
        <v>47</v>
      </c>
      <c r="T284" s="1" t="s">
        <v>42</v>
      </c>
      <c r="U284" s="2" t="s">
        <v>42</v>
      </c>
      <c r="V284" s="2" t="s">
        <v>42</v>
      </c>
      <c r="W284" s="2" t="s">
        <v>42</v>
      </c>
      <c r="X284" s="1" t="s">
        <v>42</v>
      </c>
      <c r="Y284" s="2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>
        <v>1060845540</v>
      </c>
      <c r="AE284" s="1" t="s">
        <v>1498</v>
      </c>
      <c r="AF284" s="1"/>
      <c r="AG284" s="2" t="s">
        <v>42</v>
      </c>
      <c r="AH284" s="1"/>
      <c r="AI284" s="1" t="s">
        <v>962</v>
      </c>
      <c r="AJ284" s="1"/>
      <c r="AK284" s="2" t="s">
        <v>42</v>
      </c>
      <c r="AL284" s="1" t="s">
        <v>3507</v>
      </c>
    </row>
    <row r="285" spans="1:38" ht="20.100000000000001" customHeight="1" x14ac:dyDescent="0.2">
      <c r="A285" s="3">
        <f t="shared" si="8"/>
        <v>282</v>
      </c>
      <c r="B285" s="1" t="s">
        <v>1499</v>
      </c>
      <c r="C285" s="1" t="s">
        <v>1500</v>
      </c>
      <c r="D285" s="1" t="s">
        <v>38</v>
      </c>
      <c r="E285" s="1" t="s">
        <v>69</v>
      </c>
      <c r="F285" s="1" t="s">
        <v>70</v>
      </c>
      <c r="G285" s="1" t="s">
        <v>1501</v>
      </c>
      <c r="H285" s="2">
        <v>45290</v>
      </c>
      <c r="I285" s="2">
        <v>36894</v>
      </c>
      <c r="J285" s="7">
        <f t="shared" ca="1" si="9"/>
        <v>22.832876712328765</v>
      </c>
      <c r="K285" s="1" t="s">
        <v>134</v>
      </c>
      <c r="L285" s="1" t="s">
        <v>134</v>
      </c>
      <c r="M285" s="2">
        <v>44863</v>
      </c>
      <c r="N285" s="1">
        <v>2</v>
      </c>
      <c r="O285" s="2" t="s">
        <v>42</v>
      </c>
      <c r="P285" s="1" t="s">
        <v>44</v>
      </c>
      <c r="Q285" s="1" t="s">
        <v>899</v>
      </c>
      <c r="R285" s="1" t="s">
        <v>900</v>
      </c>
      <c r="S285" s="1" t="s">
        <v>47</v>
      </c>
      <c r="T285" s="1">
        <v>12</v>
      </c>
      <c r="U285" s="2">
        <v>44863</v>
      </c>
      <c r="V285" s="2">
        <v>45593</v>
      </c>
      <c r="W285" s="2" t="s">
        <v>42</v>
      </c>
      <c r="X285" s="1" t="s">
        <v>42</v>
      </c>
      <c r="Y285" s="2" t="s">
        <v>42</v>
      </c>
      <c r="Z285" s="1" t="s">
        <v>1502</v>
      </c>
      <c r="AA285" s="1" t="s">
        <v>42</v>
      </c>
      <c r="AB285" s="1" t="s">
        <v>1503</v>
      </c>
      <c r="AC285" s="1" t="s">
        <v>50</v>
      </c>
      <c r="AD285" s="1">
        <v>7026482336</v>
      </c>
      <c r="AE285" s="1" t="s">
        <v>903</v>
      </c>
      <c r="AF285" s="1" t="s">
        <v>904</v>
      </c>
      <c r="AG285" s="2" t="s">
        <v>42</v>
      </c>
      <c r="AH285" s="1"/>
      <c r="AI285" s="1" t="s">
        <v>42</v>
      </c>
      <c r="AJ285" s="1"/>
      <c r="AK285" s="2" t="s">
        <v>42</v>
      </c>
      <c r="AL285" s="1" t="s">
        <v>3507</v>
      </c>
    </row>
    <row r="286" spans="1:38" ht="20.100000000000001" customHeight="1" x14ac:dyDescent="0.2">
      <c r="A286" s="3">
        <f t="shared" si="8"/>
        <v>283</v>
      </c>
      <c r="B286" s="1" t="s">
        <v>3174</v>
      </c>
      <c r="C286" s="1" t="s">
        <v>3175</v>
      </c>
      <c r="D286" s="1" t="s">
        <v>38</v>
      </c>
      <c r="E286" s="1" t="s">
        <v>150</v>
      </c>
      <c r="F286" s="1" t="s">
        <v>70</v>
      </c>
      <c r="G286" s="1" t="s">
        <v>3176</v>
      </c>
      <c r="H286" s="2">
        <v>45132</v>
      </c>
      <c r="I286" s="2">
        <v>31348</v>
      </c>
      <c r="J286" s="7">
        <f t="shared" ca="1" si="9"/>
        <v>38.027397260273972</v>
      </c>
      <c r="K286" s="1" t="s">
        <v>80</v>
      </c>
      <c r="L286" s="1" t="s">
        <v>80</v>
      </c>
      <c r="M286" s="2">
        <v>44927</v>
      </c>
      <c r="N286" s="1">
        <v>2</v>
      </c>
      <c r="O286" s="2" t="s">
        <v>42</v>
      </c>
      <c r="P286" s="1" t="s">
        <v>44</v>
      </c>
      <c r="Q286" s="1" t="s">
        <v>222</v>
      </c>
      <c r="R286" s="1" t="s">
        <v>60</v>
      </c>
      <c r="S286" s="1" t="s">
        <v>47</v>
      </c>
      <c r="T286" s="1" t="s">
        <v>42</v>
      </c>
      <c r="U286" s="2" t="s">
        <v>42</v>
      </c>
      <c r="V286" s="2" t="s">
        <v>42</v>
      </c>
      <c r="W286" s="2" t="s">
        <v>42</v>
      </c>
      <c r="X286" s="1" t="s">
        <v>3177</v>
      </c>
      <c r="Y286" s="2" t="s">
        <v>42</v>
      </c>
      <c r="Z286" s="1" t="s">
        <v>3178</v>
      </c>
      <c r="AA286" s="1" t="s">
        <v>3179</v>
      </c>
      <c r="AB286" s="1" t="s">
        <v>3180</v>
      </c>
      <c r="AC286" s="1" t="s">
        <v>129</v>
      </c>
      <c r="AD286" s="1">
        <v>7021202564</v>
      </c>
      <c r="AE286" s="1" t="s">
        <v>567</v>
      </c>
      <c r="AF286" s="1"/>
      <c r="AG286" s="2" t="s">
        <v>42</v>
      </c>
      <c r="AH286" s="1" t="s">
        <v>2812</v>
      </c>
      <c r="AI286" s="1" t="s">
        <v>42</v>
      </c>
      <c r="AJ286" s="1"/>
      <c r="AK286" s="2" t="s">
        <v>42</v>
      </c>
      <c r="AL286" s="1" t="s">
        <v>2806</v>
      </c>
    </row>
    <row r="287" spans="1:38" ht="20.100000000000001" customHeight="1" x14ac:dyDescent="0.2">
      <c r="A287" s="3">
        <f t="shared" si="8"/>
        <v>284</v>
      </c>
      <c r="B287" s="1" t="s">
        <v>3181</v>
      </c>
      <c r="C287" s="1" t="s">
        <v>3182</v>
      </c>
      <c r="D287" s="1" t="s">
        <v>121</v>
      </c>
      <c r="E287" s="1" t="s">
        <v>39</v>
      </c>
      <c r="F287" s="1"/>
      <c r="G287" s="1" t="s">
        <v>3183</v>
      </c>
      <c r="H287" s="2">
        <v>45201</v>
      </c>
      <c r="I287" s="2">
        <v>37455</v>
      </c>
      <c r="J287" s="7">
        <f t="shared" ca="1" si="9"/>
        <v>21.295890410958904</v>
      </c>
      <c r="K287" s="1" t="s">
        <v>211</v>
      </c>
      <c r="L287" s="1" t="s">
        <v>42</v>
      </c>
      <c r="M287" s="2">
        <v>44873</v>
      </c>
      <c r="N287" s="1">
        <v>2</v>
      </c>
      <c r="O287" s="2" t="s">
        <v>42</v>
      </c>
      <c r="P287" s="1" t="s">
        <v>44</v>
      </c>
      <c r="Q287" s="1" t="s">
        <v>203</v>
      </c>
      <c r="R287" s="1" t="s">
        <v>42</v>
      </c>
      <c r="S287" s="1" t="s">
        <v>47</v>
      </c>
      <c r="T287" s="1">
        <v>8</v>
      </c>
      <c r="U287" s="2">
        <v>44873</v>
      </c>
      <c r="V287" s="2">
        <v>45238</v>
      </c>
      <c r="W287" s="2" t="s">
        <v>42</v>
      </c>
      <c r="X287" s="1" t="s">
        <v>42</v>
      </c>
      <c r="Y287" s="2" t="s">
        <v>42</v>
      </c>
      <c r="Z287" s="1" t="s">
        <v>3184</v>
      </c>
      <c r="AA287" s="1" t="s">
        <v>3185</v>
      </c>
      <c r="AB287" s="1" t="s">
        <v>3186</v>
      </c>
      <c r="AC287" s="1" t="s">
        <v>50</v>
      </c>
      <c r="AD287" s="1">
        <v>7014477116</v>
      </c>
      <c r="AE287" s="1" t="s">
        <v>65</v>
      </c>
      <c r="AF287" s="1"/>
      <c r="AG287" s="2">
        <v>44881</v>
      </c>
      <c r="AH287" s="1" t="s">
        <v>2812</v>
      </c>
      <c r="AI287" s="1" t="s">
        <v>42</v>
      </c>
      <c r="AJ287" s="1"/>
      <c r="AK287" s="2" t="s">
        <v>42</v>
      </c>
      <c r="AL287" s="1" t="s">
        <v>2806</v>
      </c>
    </row>
    <row r="288" spans="1:38" ht="20.100000000000001" customHeight="1" x14ac:dyDescent="0.2">
      <c r="A288" s="3">
        <f t="shared" si="8"/>
        <v>285</v>
      </c>
      <c r="B288" s="1" t="s">
        <v>1504</v>
      </c>
      <c r="C288" s="1" t="s">
        <v>1505</v>
      </c>
      <c r="D288" s="1" t="s">
        <v>121</v>
      </c>
      <c r="E288" s="1" t="s">
        <v>39</v>
      </c>
      <c r="F288" s="1" t="s">
        <v>40</v>
      </c>
      <c r="G288" s="1" t="s">
        <v>1506</v>
      </c>
      <c r="H288" s="2">
        <v>45466</v>
      </c>
      <c r="I288" s="2">
        <v>35889</v>
      </c>
      <c r="J288" s="7">
        <f t="shared" ca="1" si="9"/>
        <v>25.586301369863012</v>
      </c>
      <c r="K288" s="1" t="s">
        <v>1415</v>
      </c>
      <c r="L288" s="1" t="s">
        <v>42</v>
      </c>
      <c r="M288" s="2">
        <v>44879</v>
      </c>
      <c r="N288" s="1">
        <v>2</v>
      </c>
      <c r="O288" s="2" t="s">
        <v>42</v>
      </c>
      <c r="P288" s="1" t="s">
        <v>44</v>
      </c>
      <c r="Q288" s="1" t="s">
        <v>408</v>
      </c>
      <c r="R288" s="1" t="s">
        <v>124</v>
      </c>
      <c r="S288" s="1" t="s">
        <v>125</v>
      </c>
      <c r="T288" s="1">
        <v>8</v>
      </c>
      <c r="U288" s="2">
        <v>44879</v>
      </c>
      <c r="V288" s="2">
        <v>45244</v>
      </c>
      <c r="W288" s="2" t="s">
        <v>42</v>
      </c>
      <c r="X288" s="1" t="s">
        <v>42</v>
      </c>
      <c r="Y288" s="2" t="s">
        <v>42</v>
      </c>
      <c r="Z288" s="1" t="s">
        <v>1507</v>
      </c>
      <c r="AA288" s="1" t="s">
        <v>1508</v>
      </c>
      <c r="AB288" s="1" t="s">
        <v>1509</v>
      </c>
      <c r="AC288" s="1" t="s">
        <v>617</v>
      </c>
      <c r="AD288" s="1">
        <v>7014477116</v>
      </c>
      <c r="AE288" s="1" t="s">
        <v>65</v>
      </c>
      <c r="AF288" s="1"/>
      <c r="AG288" s="2" t="s">
        <v>42</v>
      </c>
      <c r="AH288" s="1"/>
      <c r="AI288" s="1" t="s">
        <v>42</v>
      </c>
      <c r="AJ288" s="1"/>
      <c r="AK288" s="2" t="s">
        <v>42</v>
      </c>
      <c r="AL288" s="1" t="s">
        <v>3507</v>
      </c>
    </row>
    <row r="289" spans="1:38" ht="20.100000000000001" customHeight="1" x14ac:dyDescent="0.2">
      <c r="A289" s="3">
        <f t="shared" si="8"/>
        <v>286</v>
      </c>
      <c r="B289" s="1" t="s">
        <v>3187</v>
      </c>
      <c r="C289" s="1" t="s">
        <v>3188</v>
      </c>
      <c r="D289" s="1" t="s">
        <v>121</v>
      </c>
      <c r="E289" s="1" t="s">
        <v>39</v>
      </c>
      <c r="F289" s="1"/>
      <c r="G289" s="1" t="s">
        <v>3189</v>
      </c>
      <c r="H289" s="2">
        <v>45075</v>
      </c>
      <c r="I289" s="2">
        <v>36164</v>
      </c>
      <c r="J289" s="7">
        <f t="shared" ca="1" si="9"/>
        <v>24.832876712328765</v>
      </c>
      <c r="K289" s="1" t="s">
        <v>211</v>
      </c>
      <c r="L289" s="1" t="s">
        <v>42</v>
      </c>
      <c r="M289" s="2">
        <v>44878</v>
      </c>
      <c r="N289" s="1">
        <v>2</v>
      </c>
      <c r="O289" s="2" t="s">
        <v>42</v>
      </c>
      <c r="P289" s="1" t="s">
        <v>44</v>
      </c>
      <c r="Q289" s="1" t="s">
        <v>466</v>
      </c>
      <c r="R289" s="1" t="s">
        <v>42</v>
      </c>
      <c r="S289" s="1" t="s">
        <v>47</v>
      </c>
      <c r="T289" s="1" t="s">
        <v>42</v>
      </c>
      <c r="U289" s="2" t="s">
        <v>42</v>
      </c>
      <c r="V289" s="2" t="s">
        <v>42</v>
      </c>
      <c r="W289" s="2" t="s">
        <v>42</v>
      </c>
      <c r="X289" s="1" t="s">
        <v>42</v>
      </c>
      <c r="Y289" s="2" t="s">
        <v>42</v>
      </c>
      <c r="Z289" s="1" t="s">
        <v>3190</v>
      </c>
      <c r="AA289" s="1" t="s">
        <v>3191</v>
      </c>
      <c r="AB289" s="1" t="s">
        <v>3192</v>
      </c>
      <c r="AC289" s="1" t="s">
        <v>50</v>
      </c>
      <c r="AD289" s="1">
        <v>7004853987</v>
      </c>
      <c r="AE289" s="1" t="s">
        <v>471</v>
      </c>
      <c r="AF289" s="1"/>
      <c r="AG289" s="2">
        <v>44890</v>
      </c>
      <c r="AH289" s="1" t="s">
        <v>2812</v>
      </c>
      <c r="AI289" s="1" t="s">
        <v>42</v>
      </c>
      <c r="AJ289" s="1"/>
      <c r="AK289" s="2" t="s">
        <v>42</v>
      </c>
      <c r="AL289" s="1" t="s">
        <v>2806</v>
      </c>
    </row>
    <row r="290" spans="1:38" ht="20.100000000000001" customHeight="1" x14ac:dyDescent="0.2">
      <c r="A290" s="3">
        <f t="shared" si="8"/>
        <v>287</v>
      </c>
      <c r="B290" s="1" t="s">
        <v>3193</v>
      </c>
      <c r="C290" s="1" t="s">
        <v>3194</v>
      </c>
      <c r="D290" s="1" t="s">
        <v>38</v>
      </c>
      <c r="E290" s="1" t="s">
        <v>39</v>
      </c>
      <c r="F290" s="1"/>
      <c r="G290" s="1" t="s">
        <v>3195</v>
      </c>
      <c r="H290" s="2">
        <v>45357</v>
      </c>
      <c r="I290" s="2">
        <v>35226</v>
      </c>
      <c r="J290" s="7">
        <f t="shared" ca="1" si="9"/>
        <v>27.402739726027399</v>
      </c>
      <c r="K290" s="1" t="s">
        <v>42</v>
      </c>
      <c r="L290" s="1" t="s">
        <v>211</v>
      </c>
      <c r="M290" s="2">
        <v>44868</v>
      </c>
      <c r="N290" s="1">
        <v>2</v>
      </c>
      <c r="O290" s="2" t="s">
        <v>42</v>
      </c>
      <c r="P290" s="1" t="s">
        <v>44</v>
      </c>
      <c r="Q290" s="1" t="s">
        <v>475</v>
      </c>
      <c r="R290" s="1" t="s">
        <v>42</v>
      </c>
      <c r="S290" s="1" t="s">
        <v>156</v>
      </c>
      <c r="T290" s="1" t="s">
        <v>42</v>
      </c>
      <c r="U290" s="2" t="s">
        <v>42</v>
      </c>
      <c r="V290" s="2" t="s">
        <v>42</v>
      </c>
      <c r="W290" s="2" t="s">
        <v>42</v>
      </c>
      <c r="X290" s="1" t="s">
        <v>42</v>
      </c>
      <c r="Y290" s="2" t="s">
        <v>42</v>
      </c>
      <c r="Z290" s="1" t="s">
        <v>42</v>
      </c>
      <c r="AA290" s="1" t="s">
        <v>42</v>
      </c>
      <c r="AB290" s="1" t="s">
        <v>3196</v>
      </c>
      <c r="AC290" s="1" t="s">
        <v>129</v>
      </c>
      <c r="AD290" s="1">
        <v>7004853987</v>
      </c>
      <c r="AE290" s="1" t="s">
        <v>471</v>
      </c>
      <c r="AF290" s="1"/>
      <c r="AG290" s="2">
        <v>44871</v>
      </c>
      <c r="AH290" s="1" t="s">
        <v>2812</v>
      </c>
      <c r="AI290" s="1" t="s">
        <v>42</v>
      </c>
      <c r="AJ290" s="1"/>
      <c r="AK290" s="2" t="s">
        <v>42</v>
      </c>
      <c r="AL290" s="1" t="s">
        <v>2806</v>
      </c>
    </row>
    <row r="291" spans="1:38" ht="20.100000000000001" customHeight="1" x14ac:dyDescent="0.2">
      <c r="A291" s="3">
        <f t="shared" si="8"/>
        <v>288</v>
      </c>
      <c r="B291" s="1" t="s">
        <v>3197</v>
      </c>
      <c r="C291" s="1" t="s">
        <v>3198</v>
      </c>
      <c r="D291" s="1" t="s">
        <v>38</v>
      </c>
      <c r="E291" s="1" t="s">
        <v>39</v>
      </c>
      <c r="F291" s="1"/>
      <c r="G291" s="1" t="s">
        <v>3199</v>
      </c>
      <c r="H291" s="2">
        <v>45153</v>
      </c>
      <c r="I291" s="2">
        <v>37338</v>
      </c>
      <c r="J291" s="7">
        <f t="shared" ca="1" si="9"/>
        <v>21.616438356164384</v>
      </c>
      <c r="K291" s="1" t="s">
        <v>211</v>
      </c>
      <c r="L291" s="1" t="s">
        <v>42</v>
      </c>
      <c r="M291" s="2">
        <v>44880</v>
      </c>
      <c r="N291" s="1">
        <v>2</v>
      </c>
      <c r="O291" s="2" t="s">
        <v>42</v>
      </c>
      <c r="P291" s="1" t="s">
        <v>42</v>
      </c>
      <c r="Q291" s="1" t="s">
        <v>475</v>
      </c>
      <c r="R291" s="1" t="s">
        <v>42</v>
      </c>
      <c r="S291" s="1"/>
      <c r="T291" s="1" t="s">
        <v>42</v>
      </c>
      <c r="U291" s="2" t="s">
        <v>42</v>
      </c>
      <c r="V291" s="2" t="s">
        <v>42</v>
      </c>
      <c r="W291" s="2" t="s">
        <v>42</v>
      </c>
      <c r="X291" s="1" t="s">
        <v>42</v>
      </c>
      <c r="Y291" s="2" t="s">
        <v>42</v>
      </c>
      <c r="Z291" s="1" t="s">
        <v>3200</v>
      </c>
      <c r="AA291" s="1" t="s">
        <v>3201</v>
      </c>
      <c r="AB291" s="1" t="s">
        <v>3202</v>
      </c>
      <c r="AC291" s="1" t="s">
        <v>129</v>
      </c>
      <c r="AD291" s="1">
        <v>7004853987</v>
      </c>
      <c r="AE291" s="1" t="s">
        <v>471</v>
      </c>
      <c r="AF291" s="1"/>
      <c r="AG291" s="2">
        <v>44961</v>
      </c>
      <c r="AH291" s="1" t="s">
        <v>2985</v>
      </c>
      <c r="AI291" s="1" t="s">
        <v>42</v>
      </c>
      <c r="AJ291" s="1"/>
      <c r="AK291" s="2" t="s">
        <v>42</v>
      </c>
      <c r="AL291" s="1" t="s">
        <v>2806</v>
      </c>
    </row>
    <row r="292" spans="1:38" ht="20.100000000000001" customHeight="1" x14ac:dyDescent="0.2">
      <c r="A292" s="3">
        <f t="shared" si="8"/>
        <v>289</v>
      </c>
      <c r="B292" s="1" t="s">
        <v>3203</v>
      </c>
      <c r="C292" s="1" t="s">
        <v>3204</v>
      </c>
      <c r="D292" s="1" t="s">
        <v>38</v>
      </c>
      <c r="E292" s="1" t="s">
        <v>54</v>
      </c>
      <c r="F292" s="1"/>
      <c r="G292" s="1" t="s">
        <v>3205</v>
      </c>
      <c r="H292" s="2">
        <v>45132</v>
      </c>
      <c r="I292" s="2">
        <v>31870</v>
      </c>
      <c r="J292" s="7">
        <f t="shared" ca="1" si="9"/>
        <v>36.597260273972601</v>
      </c>
      <c r="K292" s="1" t="s">
        <v>195</v>
      </c>
      <c r="L292" s="1" t="s">
        <v>813</v>
      </c>
      <c r="M292" s="2">
        <v>44884</v>
      </c>
      <c r="N292" s="1">
        <v>2</v>
      </c>
      <c r="O292" s="2" t="s">
        <v>42</v>
      </c>
      <c r="P292" s="1" t="s">
        <v>44</v>
      </c>
      <c r="Q292" s="1" t="s">
        <v>45</v>
      </c>
      <c r="R292" s="1" t="s">
        <v>42</v>
      </c>
      <c r="S292" s="1" t="s">
        <v>156</v>
      </c>
      <c r="T292" s="1" t="s">
        <v>42</v>
      </c>
      <c r="U292" s="2" t="s">
        <v>42</v>
      </c>
      <c r="V292" s="2" t="s">
        <v>42</v>
      </c>
      <c r="W292" s="2" t="s">
        <v>42</v>
      </c>
      <c r="X292" s="1" t="s">
        <v>42</v>
      </c>
      <c r="Y292" s="2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/>
      <c r="AE292" s="1" t="s">
        <v>42</v>
      </c>
      <c r="AF292" s="1"/>
      <c r="AG292" s="2" t="s">
        <v>42</v>
      </c>
      <c r="AH292" s="1" t="s">
        <v>2805</v>
      </c>
      <c r="AI292" s="1" t="s">
        <v>42</v>
      </c>
      <c r="AJ292" s="1"/>
      <c r="AK292" s="2" t="s">
        <v>42</v>
      </c>
      <c r="AL292" s="1" t="s">
        <v>2806</v>
      </c>
    </row>
    <row r="293" spans="1:38" ht="20.100000000000001" customHeight="1" x14ac:dyDescent="0.2">
      <c r="A293" s="3">
        <f t="shared" si="8"/>
        <v>290</v>
      </c>
      <c r="B293" s="1" t="s">
        <v>3206</v>
      </c>
      <c r="C293" s="1" t="s">
        <v>3207</v>
      </c>
      <c r="D293" s="1" t="s">
        <v>38</v>
      </c>
      <c r="E293" s="1" t="s">
        <v>150</v>
      </c>
      <c r="F293" s="1"/>
      <c r="G293" s="1" t="s">
        <v>3208</v>
      </c>
      <c r="H293" s="2">
        <v>44997</v>
      </c>
      <c r="I293" s="2">
        <v>31490</v>
      </c>
      <c r="J293" s="7">
        <f t="shared" ca="1" si="9"/>
        <v>37.638356164383559</v>
      </c>
      <c r="K293" s="1" t="s">
        <v>3209</v>
      </c>
      <c r="L293" s="1" t="s">
        <v>3210</v>
      </c>
      <c r="M293" s="2">
        <v>44886</v>
      </c>
      <c r="N293" s="1">
        <v>2</v>
      </c>
      <c r="O293" s="2" t="s">
        <v>42</v>
      </c>
      <c r="P293" s="1" t="s">
        <v>44</v>
      </c>
      <c r="Q293" s="1" t="s">
        <v>431</v>
      </c>
      <c r="R293" s="1" t="s">
        <v>42</v>
      </c>
      <c r="S293" s="1" t="s">
        <v>156</v>
      </c>
      <c r="T293" s="1">
        <v>8</v>
      </c>
      <c r="U293" s="2">
        <v>44886</v>
      </c>
      <c r="V293" s="2">
        <v>45250</v>
      </c>
      <c r="W293" s="2">
        <v>45085</v>
      </c>
      <c r="X293" s="1" t="s">
        <v>42</v>
      </c>
      <c r="Y293" s="2" t="s">
        <v>42</v>
      </c>
      <c r="Z293" s="1" t="s">
        <v>3211</v>
      </c>
      <c r="AA293" s="1" t="s">
        <v>3212</v>
      </c>
      <c r="AB293" s="1" t="s">
        <v>3213</v>
      </c>
      <c r="AC293" s="1" t="s">
        <v>50</v>
      </c>
      <c r="AD293" s="1">
        <v>7009073037</v>
      </c>
      <c r="AE293" s="1" t="s">
        <v>103</v>
      </c>
      <c r="AF293" s="1"/>
      <c r="AG293" s="2">
        <v>44951</v>
      </c>
      <c r="AH293" s="1" t="s">
        <v>2812</v>
      </c>
      <c r="AI293" s="1" t="s">
        <v>42</v>
      </c>
      <c r="AJ293" s="1"/>
      <c r="AK293" s="2" t="s">
        <v>42</v>
      </c>
      <c r="AL293" s="1" t="s">
        <v>2806</v>
      </c>
    </row>
    <row r="294" spans="1:38" ht="20.100000000000001" customHeight="1" x14ac:dyDescent="0.2">
      <c r="A294" s="3">
        <f t="shared" si="8"/>
        <v>291</v>
      </c>
      <c r="B294" s="1" t="s">
        <v>1510</v>
      </c>
      <c r="C294" s="1" t="s">
        <v>1511</v>
      </c>
      <c r="D294" s="1" t="s">
        <v>38</v>
      </c>
      <c r="E294" s="1" t="s">
        <v>811</v>
      </c>
      <c r="F294" s="1" t="s">
        <v>55</v>
      </c>
      <c r="G294" s="1" t="s">
        <v>1512</v>
      </c>
      <c r="H294" s="2">
        <v>45585</v>
      </c>
      <c r="I294" s="2">
        <v>31413</v>
      </c>
      <c r="J294" s="7">
        <f t="shared" ca="1" si="9"/>
        <v>37.849315068493148</v>
      </c>
      <c r="K294" s="1" t="s">
        <v>1513</v>
      </c>
      <c r="L294" s="1" t="s">
        <v>1513</v>
      </c>
      <c r="M294" s="2">
        <v>44884</v>
      </c>
      <c r="N294" s="1">
        <v>2</v>
      </c>
      <c r="O294" s="2" t="s">
        <v>42</v>
      </c>
      <c r="P294" s="1" t="s">
        <v>221</v>
      </c>
      <c r="Q294" s="1" t="s">
        <v>222</v>
      </c>
      <c r="R294" s="1" t="s">
        <v>60</v>
      </c>
      <c r="S294" s="1" t="s">
        <v>47</v>
      </c>
      <c r="T294" s="1">
        <v>12</v>
      </c>
      <c r="U294" s="2">
        <v>44884</v>
      </c>
      <c r="V294" s="2">
        <v>45614</v>
      </c>
      <c r="W294" s="2" t="s">
        <v>42</v>
      </c>
      <c r="X294" s="1" t="s">
        <v>42</v>
      </c>
      <c r="Y294" s="2" t="s">
        <v>42</v>
      </c>
      <c r="Z294" s="1" t="s">
        <v>1514</v>
      </c>
      <c r="AA294" s="1" t="s">
        <v>1515</v>
      </c>
      <c r="AB294" s="1" t="s">
        <v>1516</v>
      </c>
      <c r="AC294" s="1" t="s">
        <v>50</v>
      </c>
      <c r="AD294" s="1">
        <v>7021202564</v>
      </c>
      <c r="AE294" s="1" t="s">
        <v>567</v>
      </c>
      <c r="AF294" s="1" t="s">
        <v>227</v>
      </c>
      <c r="AG294" s="2" t="s">
        <v>42</v>
      </c>
      <c r="AH294" s="1"/>
      <c r="AI294" s="1" t="s">
        <v>42</v>
      </c>
      <c r="AJ294" s="1"/>
      <c r="AK294" s="2" t="s">
        <v>42</v>
      </c>
      <c r="AL294" s="1" t="s">
        <v>3507</v>
      </c>
    </row>
    <row r="295" spans="1:38" ht="20.100000000000001" customHeight="1" x14ac:dyDescent="0.2">
      <c r="A295" s="3">
        <f t="shared" si="8"/>
        <v>292</v>
      </c>
      <c r="B295" s="1" t="s">
        <v>1517</v>
      </c>
      <c r="C295" s="1" t="s">
        <v>1518</v>
      </c>
      <c r="D295" s="1" t="s">
        <v>38</v>
      </c>
      <c r="E295" s="1" t="s">
        <v>150</v>
      </c>
      <c r="F295" s="1" t="s">
        <v>70</v>
      </c>
      <c r="G295" s="1" t="s">
        <v>1519</v>
      </c>
      <c r="H295" s="2">
        <v>45282</v>
      </c>
      <c r="I295" s="2">
        <v>45282</v>
      </c>
      <c r="J295" s="7">
        <f t="shared" ca="1" si="9"/>
        <v>-0.14794520547945206</v>
      </c>
      <c r="K295" s="1" t="s">
        <v>152</v>
      </c>
      <c r="L295" s="1" t="s">
        <v>1520</v>
      </c>
      <c r="M295" s="2">
        <v>44888</v>
      </c>
      <c r="N295" s="1">
        <v>2</v>
      </c>
      <c r="O295" s="2" t="s">
        <v>42</v>
      </c>
      <c r="P295" s="1" t="s">
        <v>44</v>
      </c>
      <c r="Q295" s="1" t="s">
        <v>154</v>
      </c>
      <c r="R295" s="1" t="s">
        <v>155</v>
      </c>
      <c r="S295" s="1" t="s">
        <v>47</v>
      </c>
      <c r="T295" s="1">
        <v>8</v>
      </c>
      <c r="U295" s="2">
        <v>44888</v>
      </c>
      <c r="V295" s="2">
        <v>45252</v>
      </c>
      <c r="W295" s="2" t="s">
        <v>42</v>
      </c>
      <c r="X295" s="1" t="s">
        <v>42</v>
      </c>
      <c r="Y295" s="2" t="s">
        <v>42</v>
      </c>
      <c r="Z295" s="1" t="s">
        <v>1521</v>
      </c>
      <c r="AA295" s="1" t="s">
        <v>1522</v>
      </c>
      <c r="AB295" s="1" t="s">
        <v>1523</v>
      </c>
      <c r="AC295" s="1" t="s">
        <v>50</v>
      </c>
      <c r="AD295" s="1">
        <v>7009073037</v>
      </c>
      <c r="AE295" s="1" t="s">
        <v>103</v>
      </c>
      <c r="AF295" s="1"/>
      <c r="AG295" s="2" t="s">
        <v>42</v>
      </c>
      <c r="AH295" s="1" t="s">
        <v>42</v>
      </c>
      <c r="AI295" s="1" t="s">
        <v>42</v>
      </c>
      <c r="AJ295" s="1"/>
      <c r="AK295" s="2" t="s">
        <v>42</v>
      </c>
      <c r="AL295" s="1" t="s">
        <v>3507</v>
      </c>
    </row>
    <row r="296" spans="1:38" ht="20.100000000000001" customHeight="1" x14ac:dyDescent="0.2">
      <c r="A296" s="3">
        <f t="shared" si="8"/>
        <v>293</v>
      </c>
      <c r="B296" s="1" t="s">
        <v>1524</v>
      </c>
      <c r="C296" s="1" t="s">
        <v>1525</v>
      </c>
      <c r="D296" s="1" t="s">
        <v>38</v>
      </c>
      <c r="E296" s="1" t="s">
        <v>54</v>
      </c>
      <c r="F296" s="1" t="s">
        <v>55</v>
      </c>
      <c r="G296" s="1" t="s">
        <v>1526</v>
      </c>
      <c r="H296" s="2">
        <v>45333</v>
      </c>
      <c r="I296" s="2">
        <v>33217</v>
      </c>
      <c r="J296" s="7">
        <f t="shared" ca="1" si="9"/>
        <v>32.906849315068492</v>
      </c>
      <c r="K296" s="1" t="s">
        <v>133</v>
      </c>
      <c r="L296" s="1" t="s">
        <v>134</v>
      </c>
      <c r="M296" s="2">
        <v>44891</v>
      </c>
      <c r="N296" s="1">
        <v>2</v>
      </c>
      <c r="O296" s="2" t="s">
        <v>42</v>
      </c>
      <c r="P296" s="1" t="s">
        <v>578</v>
      </c>
      <c r="Q296" s="1" t="s">
        <v>45</v>
      </c>
      <c r="R296" s="1" t="s">
        <v>60</v>
      </c>
      <c r="S296" s="1" t="s">
        <v>47</v>
      </c>
      <c r="T296" s="1">
        <v>12</v>
      </c>
      <c r="U296" s="2">
        <v>44891</v>
      </c>
      <c r="V296" s="2">
        <v>45621</v>
      </c>
      <c r="W296" s="2">
        <v>45327</v>
      </c>
      <c r="X296" s="1" t="s">
        <v>42</v>
      </c>
      <c r="Y296" s="2" t="s">
        <v>42</v>
      </c>
      <c r="Z296" s="1" t="s">
        <v>1527</v>
      </c>
      <c r="AA296" s="1" t="s">
        <v>264</v>
      </c>
      <c r="AB296" s="1" t="s">
        <v>1528</v>
      </c>
      <c r="AC296" s="1" t="s">
        <v>129</v>
      </c>
      <c r="AD296" s="1">
        <v>7014477116</v>
      </c>
      <c r="AE296" s="1" t="s">
        <v>65</v>
      </c>
      <c r="AF296" s="1"/>
      <c r="AG296" s="2" t="s">
        <v>42</v>
      </c>
      <c r="AH296" s="1"/>
      <c r="AI296" s="1" t="s">
        <v>42</v>
      </c>
      <c r="AJ296" s="1"/>
      <c r="AK296" s="2" t="s">
        <v>42</v>
      </c>
      <c r="AL296" s="1" t="s">
        <v>3507</v>
      </c>
    </row>
    <row r="297" spans="1:38" ht="20.100000000000001" customHeight="1" x14ac:dyDescent="0.2">
      <c r="A297" s="3">
        <f t="shared" si="8"/>
        <v>294</v>
      </c>
      <c r="B297" s="1" t="s">
        <v>1529</v>
      </c>
      <c r="C297" s="1" t="s">
        <v>1530</v>
      </c>
      <c r="D297" s="1" t="s">
        <v>38</v>
      </c>
      <c r="E297" s="1" t="s">
        <v>69</v>
      </c>
      <c r="F297" s="1" t="s">
        <v>70</v>
      </c>
      <c r="G297" s="1" t="s">
        <v>1531</v>
      </c>
      <c r="H297" s="2">
        <v>45317</v>
      </c>
      <c r="I297" s="2">
        <v>36465</v>
      </c>
      <c r="J297" s="7">
        <f t="shared" ca="1" si="9"/>
        <v>24.008219178082193</v>
      </c>
      <c r="K297" s="1" t="s">
        <v>134</v>
      </c>
      <c r="L297" s="1" t="s">
        <v>134</v>
      </c>
      <c r="M297" s="2">
        <v>44891</v>
      </c>
      <c r="N297" s="1">
        <v>2</v>
      </c>
      <c r="O297" s="2" t="s">
        <v>42</v>
      </c>
      <c r="P297" s="1" t="s">
        <v>44</v>
      </c>
      <c r="Q297" s="1" t="s">
        <v>744</v>
      </c>
      <c r="R297" s="1" t="s">
        <v>60</v>
      </c>
      <c r="S297" s="1" t="s">
        <v>47</v>
      </c>
      <c r="T297" s="1">
        <v>12</v>
      </c>
      <c r="U297" s="2">
        <v>44891</v>
      </c>
      <c r="V297" s="2">
        <v>45621</v>
      </c>
      <c r="W297" s="2" t="s">
        <v>42</v>
      </c>
      <c r="X297" s="1" t="s">
        <v>42</v>
      </c>
      <c r="Y297" s="2" t="s">
        <v>42</v>
      </c>
      <c r="Z297" s="1" t="s">
        <v>1532</v>
      </c>
      <c r="AA297" s="1" t="s">
        <v>1533</v>
      </c>
      <c r="AB297" s="1" t="s">
        <v>1534</v>
      </c>
      <c r="AC297" s="1" t="s">
        <v>617</v>
      </c>
      <c r="AD297" s="1">
        <v>7015572543</v>
      </c>
      <c r="AE297" s="1" t="s">
        <v>3506</v>
      </c>
      <c r="AF297" s="1" t="s">
        <v>66</v>
      </c>
      <c r="AG297" s="2" t="s">
        <v>42</v>
      </c>
      <c r="AH297" s="1"/>
      <c r="AI297" s="1" t="s">
        <v>42</v>
      </c>
      <c r="AJ297" s="1"/>
      <c r="AK297" s="2" t="s">
        <v>42</v>
      </c>
      <c r="AL297" s="1" t="s">
        <v>3507</v>
      </c>
    </row>
    <row r="298" spans="1:38" ht="20.100000000000001" customHeight="1" x14ac:dyDescent="0.2">
      <c r="A298" s="3">
        <f t="shared" si="8"/>
        <v>295</v>
      </c>
      <c r="B298" s="1" t="s">
        <v>3214</v>
      </c>
      <c r="C298" s="1" t="s">
        <v>3215</v>
      </c>
      <c r="D298" s="1" t="s">
        <v>38</v>
      </c>
      <c r="E298" s="1" t="s">
        <v>39</v>
      </c>
      <c r="F298" s="1"/>
      <c r="G298" s="1" t="s">
        <v>3216</v>
      </c>
      <c r="H298" s="2">
        <v>46659</v>
      </c>
      <c r="I298" s="2">
        <v>37789</v>
      </c>
      <c r="J298" s="7">
        <f t="shared" ca="1" si="9"/>
        <v>20.38082191780822</v>
      </c>
      <c r="K298" s="1" t="s">
        <v>42</v>
      </c>
      <c r="L298" s="1" t="s">
        <v>1213</v>
      </c>
      <c r="M298" s="2">
        <v>44891</v>
      </c>
      <c r="N298" s="1">
        <v>2</v>
      </c>
      <c r="O298" s="2" t="s">
        <v>42</v>
      </c>
      <c r="P298" s="1" t="s">
        <v>44</v>
      </c>
      <c r="Q298" s="1" t="s">
        <v>431</v>
      </c>
      <c r="R298" s="1" t="s">
        <v>42</v>
      </c>
      <c r="S298" s="1" t="s">
        <v>47</v>
      </c>
      <c r="T298" s="1">
        <v>8</v>
      </c>
      <c r="U298" s="2">
        <v>44891</v>
      </c>
      <c r="V298" s="2">
        <v>45256</v>
      </c>
      <c r="W298" s="2" t="s">
        <v>42</v>
      </c>
      <c r="X298" s="1" t="s">
        <v>42</v>
      </c>
      <c r="Y298" s="2" t="s">
        <v>42</v>
      </c>
      <c r="Z298" s="1" t="s">
        <v>3217</v>
      </c>
      <c r="AA298" s="1" t="s">
        <v>3218</v>
      </c>
      <c r="AB298" s="1" t="s">
        <v>3219</v>
      </c>
      <c r="AC298" s="1" t="s">
        <v>129</v>
      </c>
      <c r="AD298" s="1">
        <v>7009073037</v>
      </c>
      <c r="AE298" s="1" t="s">
        <v>103</v>
      </c>
      <c r="AF298" s="1"/>
      <c r="AG298" s="2">
        <v>44961</v>
      </c>
      <c r="AH298" s="1" t="s">
        <v>2812</v>
      </c>
      <c r="AI298" s="1" t="s">
        <v>42</v>
      </c>
      <c r="AJ298" s="1"/>
      <c r="AK298" s="2" t="s">
        <v>42</v>
      </c>
      <c r="AL298" s="1" t="s">
        <v>2806</v>
      </c>
    </row>
    <row r="299" spans="1:38" ht="20.100000000000001" customHeight="1" x14ac:dyDescent="0.2">
      <c r="A299" s="3">
        <f t="shared" si="8"/>
        <v>296</v>
      </c>
      <c r="B299" s="1" t="s">
        <v>1535</v>
      </c>
      <c r="C299" s="1" t="s">
        <v>1536</v>
      </c>
      <c r="D299" s="1" t="s">
        <v>38</v>
      </c>
      <c r="E299" s="1" t="s">
        <v>1147</v>
      </c>
      <c r="F299" s="1" t="s">
        <v>70</v>
      </c>
      <c r="G299" s="1" t="s">
        <v>1537</v>
      </c>
      <c r="H299" s="2">
        <v>45435</v>
      </c>
      <c r="I299" s="2">
        <v>31981</v>
      </c>
      <c r="J299" s="7">
        <f t="shared" ca="1" si="9"/>
        <v>36.293150684931504</v>
      </c>
      <c r="K299" s="1" t="s">
        <v>1149</v>
      </c>
      <c r="L299" s="1" t="s">
        <v>1538</v>
      </c>
      <c r="M299" s="2">
        <v>44895</v>
      </c>
      <c r="N299" s="1">
        <v>2</v>
      </c>
      <c r="O299" s="2" t="s">
        <v>42</v>
      </c>
      <c r="P299" s="1" t="s">
        <v>44</v>
      </c>
      <c r="Q299" s="1" t="s">
        <v>154</v>
      </c>
      <c r="R299" s="1" t="s">
        <v>606</v>
      </c>
      <c r="S299" s="1" t="s">
        <v>47</v>
      </c>
      <c r="T299" s="1">
        <v>12</v>
      </c>
      <c r="U299" s="2">
        <v>44895</v>
      </c>
      <c r="V299" s="2">
        <v>45259</v>
      </c>
      <c r="W299" s="2" t="s">
        <v>42</v>
      </c>
      <c r="X299" s="1" t="s">
        <v>1539</v>
      </c>
      <c r="Y299" s="2">
        <v>45323</v>
      </c>
      <c r="Z299" s="1" t="s">
        <v>1540</v>
      </c>
      <c r="AA299" s="1" t="s">
        <v>1541</v>
      </c>
      <c r="AB299" s="1" t="s">
        <v>1542</v>
      </c>
      <c r="AC299" s="1" t="s">
        <v>129</v>
      </c>
      <c r="AD299" s="1">
        <v>7009073037</v>
      </c>
      <c r="AE299" s="1" t="s">
        <v>103</v>
      </c>
      <c r="AF299" s="1"/>
      <c r="AG299" s="2" t="s">
        <v>42</v>
      </c>
      <c r="AH299" s="1"/>
      <c r="AI299" s="1" t="s">
        <v>42</v>
      </c>
      <c r="AJ299" s="1"/>
      <c r="AK299" s="2" t="s">
        <v>42</v>
      </c>
      <c r="AL299" s="1" t="s">
        <v>3507</v>
      </c>
    </row>
    <row r="300" spans="1:38" ht="20.100000000000001" customHeight="1" x14ac:dyDescent="0.2">
      <c r="A300" s="3">
        <f t="shared" si="8"/>
        <v>297</v>
      </c>
      <c r="B300" s="1" t="s">
        <v>3220</v>
      </c>
      <c r="C300" s="1" t="s">
        <v>3221</v>
      </c>
      <c r="D300" s="1" t="s">
        <v>121</v>
      </c>
      <c r="E300" s="1" t="s">
        <v>39</v>
      </c>
      <c r="F300" s="1"/>
      <c r="G300" s="1" t="s">
        <v>3222</v>
      </c>
      <c r="H300" s="2">
        <v>46512</v>
      </c>
      <c r="I300" s="2">
        <v>36718</v>
      </c>
      <c r="J300" s="7">
        <f t="shared" ca="1" si="9"/>
        <v>23.315068493150687</v>
      </c>
      <c r="K300" s="1" t="s">
        <v>42</v>
      </c>
      <c r="L300" s="1" t="s">
        <v>1213</v>
      </c>
      <c r="M300" s="2">
        <v>44897</v>
      </c>
      <c r="N300" s="1">
        <v>2</v>
      </c>
      <c r="O300" s="2" t="s">
        <v>42</v>
      </c>
      <c r="P300" s="1" t="s">
        <v>44</v>
      </c>
      <c r="Q300" s="1" t="s">
        <v>431</v>
      </c>
      <c r="R300" s="1" t="s">
        <v>42</v>
      </c>
      <c r="S300" s="1" t="s">
        <v>47</v>
      </c>
      <c r="T300" s="1">
        <v>8</v>
      </c>
      <c r="U300" s="2">
        <v>44897</v>
      </c>
      <c r="V300" s="2">
        <v>45263</v>
      </c>
      <c r="W300" s="2" t="s">
        <v>42</v>
      </c>
      <c r="X300" s="1" t="s">
        <v>42</v>
      </c>
      <c r="Y300" s="2" t="s">
        <v>42</v>
      </c>
      <c r="Z300" s="1" t="s">
        <v>3223</v>
      </c>
      <c r="AA300" s="1" t="s">
        <v>3224</v>
      </c>
      <c r="AB300" s="1" t="s">
        <v>3225</v>
      </c>
      <c r="AC300" s="1" t="s">
        <v>617</v>
      </c>
      <c r="AD300" s="1">
        <v>7009073037</v>
      </c>
      <c r="AE300" s="1" t="s">
        <v>103</v>
      </c>
      <c r="AF300" s="1"/>
      <c r="AG300" s="2">
        <v>44897</v>
      </c>
      <c r="AH300" s="1" t="s">
        <v>2812</v>
      </c>
      <c r="AI300" s="1" t="s">
        <v>42</v>
      </c>
      <c r="AJ300" s="1"/>
      <c r="AK300" s="2" t="s">
        <v>42</v>
      </c>
      <c r="AL300" s="1" t="s">
        <v>2806</v>
      </c>
    </row>
    <row r="301" spans="1:38" ht="20.100000000000001" customHeight="1" x14ac:dyDescent="0.2">
      <c r="A301" s="3">
        <f t="shared" si="8"/>
        <v>298</v>
      </c>
      <c r="B301" s="1" t="s">
        <v>3226</v>
      </c>
      <c r="C301" s="1" t="s">
        <v>3227</v>
      </c>
      <c r="D301" s="1" t="s">
        <v>38</v>
      </c>
      <c r="E301" s="1" t="s">
        <v>39</v>
      </c>
      <c r="F301" s="1" t="s">
        <v>40</v>
      </c>
      <c r="G301" s="1" t="s">
        <v>3228</v>
      </c>
      <c r="H301" s="2">
        <v>45904</v>
      </c>
      <c r="I301" s="2">
        <v>35455</v>
      </c>
      <c r="J301" s="7">
        <f t="shared" ca="1" si="9"/>
        <v>26.775342465753425</v>
      </c>
      <c r="K301" s="1" t="s">
        <v>42</v>
      </c>
      <c r="L301" s="1" t="s">
        <v>211</v>
      </c>
      <c r="M301" s="2">
        <v>44896</v>
      </c>
      <c r="N301" s="1">
        <v>2</v>
      </c>
      <c r="O301" s="2" t="s">
        <v>42</v>
      </c>
      <c r="P301" s="1" t="s">
        <v>44</v>
      </c>
      <c r="Q301" s="1" t="s">
        <v>306</v>
      </c>
      <c r="R301" s="1" t="s">
        <v>60</v>
      </c>
      <c r="S301" s="1" t="s">
        <v>47</v>
      </c>
      <c r="T301" s="1">
        <v>8</v>
      </c>
      <c r="U301" s="2">
        <v>44896</v>
      </c>
      <c r="V301" s="2">
        <v>45261</v>
      </c>
      <c r="W301" s="2" t="s">
        <v>42</v>
      </c>
      <c r="X301" s="1" t="s">
        <v>42</v>
      </c>
      <c r="Y301" s="2" t="s">
        <v>42</v>
      </c>
      <c r="Z301" s="1" t="s">
        <v>3229</v>
      </c>
      <c r="AA301" s="1" t="s">
        <v>3230</v>
      </c>
      <c r="AB301" s="1" t="s">
        <v>3231</v>
      </c>
      <c r="AC301" s="1" t="s">
        <v>129</v>
      </c>
      <c r="AD301" s="1">
        <v>7015572543</v>
      </c>
      <c r="AE301" s="1" t="s">
        <v>3506</v>
      </c>
      <c r="AF301" s="1"/>
      <c r="AG301" s="2">
        <v>45096</v>
      </c>
      <c r="AH301" s="1" t="s">
        <v>2812</v>
      </c>
      <c r="AI301" s="1" t="s">
        <v>42</v>
      </c>
      <c r="AJ301" s="1"/>
      <c r="AK301" s="2" t="s">
        <v>42</v>
      </c>
      <c r="AL301" s="1" t="s">
        <v>2806</v>
      </c>
    </row>
    <row r="302" spans="1:38" ht="20.100000000000001" customHeight="1" x14ac:dyDescent="0.2">
      <c r="A302" s="3">
        <f t="shared" si="8"/>
        <v>299</v>
      </c>
      <c r="B302" s="1" t="s">
        <v>1543</v>
      </c>
      <c r="C302" s="1" t="s">
        <v>1544</v>
      </c>
      <c r="D302" s="1" t="s">
        <v>121</v>
      </c>
      <c r="E302" s="1" t="s">
        <v>39</v>
      </c>
      <c r="F302" s="1" t="s">
        <v>40</v>
      </c>
      <c r="G302" s="1" t="s">
        <v>1545</v>
      </c>
      <c r="H302" s="2" t="s">
        <v>42</v>
      </c>
      <c r="I302" s="2">
        <v>32045</v>
      </c>
      <c r="J302" s="7">
        <f t="shared" ca="1" si="9"/>
        <v>36.11780821917808</v>
      </c>
      <c r="K302" s="1" t="s">
        <v>42</v>
      </c>
      <c r="L302" s="1" t="s">
        <v>1415</v>
      </c>
      <c r="M302" s="2">
        <v>44899</v>
      </c>
      <c r="N302" s="1">
        <v>2</v>
      </c>
      <c r="O302" s="2" t="s">
        <v>42</v>
      </c>
      <c r="P302" s="1" t="s">
        <v>44</v>
      </c>
      <c r="Q302" s="1" t="s">
        <v>408</v>
      </c>
      <c r="R302" s="1" t="s">
        <v>124</v>
      </c>
      <c r="S302" s="1" t="s">
        <v>125</v>
      </c>
      <c r="T302" s="1">
        <v>8</v>
      </c>
      <c r="U302" s="2">
        <v>44899</v>
      </c>
      <c r="V302" s="2">
        <v>45264</v>
      </c>
      <c r="W302" s="2" t="s">
        <v>42</v>
      </c>
      <c r="X302" s="1" t="s">
        <v>42</v>
      </c>
      <c r="Y302" s="2" t="s">
        <v>42</v>
      </c>
      <c r="Z302" s="1" t="s">
        <v>1546</v>
      </c>
      <c r="AA302" s="1" t="s">
        <v>1547</v>
      </c>
      <c r="AB302" s="1" t="s">
        <v>1548</v>
      </c>
      <c r="AC302" s="1" t="s">
        <v>129</v>
      </c>
      <c r="AD302" s="1">
        <v>7014477116</v>
      </c>
      <c r="AE302" s="1" t="s">
        <v>65</v>
      </c>
      <c r="AF302" s="1"/>
      <c r="AG302" s="2" t="s">
        <v>42</v>
      </c>
      <c r="AH302" s="1"/>
      <c r="AI302" s="1" t="s">
        <v>42</v>
      </c>
      <c r="AJ302" s="1"/>
      <c r="AK302" s="2" t="s">
        <v>42</v>
      </c>
      <c r="AL302" s="1" t="s">
        <v>3507</v>
      </c>
    </row>
    <row r="303" spans="1:38" ht="20.100000000000001" customHeight="1" x14ac:dyDescent="0.2">
      <c r="A303" s="3">
        <f t="shared" si="8"/>
        <v>300</v>
      </c>
      <c r="B303" s="1" t="s">
        <v>1549</v>
      </c>
      <c r="C303" s="1" t="s">
        <v>1550</v>
      </c>
      <c r="D303" s="1" t="s">
        <v>38</v>
      </c>
      <c r="E303" s="1" t="s">
        <v>150</v>
      </c>
      <c r="F303" s="1" t="s">
        <v>70</v>
      </c>
      <c r="G303" s="1" t="s">
        <v>1551</v>
      </c>
      <c r="H303" s="2">
        <v>45306</v>
      </c>
      <c r="I303" s="2">
        <v>35772</v>
      </c>
      <c r="J303" s="7">
        <f t="shared" ca="1" si="9"/>
        <v>25.906849315068492</v>
      </c>
      <c r="K303" s="1" t="s">
        <v>1552</v>
      </c>
      <c r="L303" s="1" t="s">
        <v>416</v>
      </c>
      <c r="M303" s="2">
        <v>44905</v>
      </c>
      <c r="N303" s="1">
        <v>2</v>
      </c>
      <c r="O303" s="2" t="s">
        <v>42</v>
      </c>
      <c r="P303" s="1" t="s">
        <v>44</v>
      </c>
      <c r="Q303" s="1" t="s">
        <v>66</v>
      </c>
      <c r="R303" s="1" t="s">
        <v>60</v>
      </c>
      <c r="S303" s="1" t="s">
        <v>47</v>
      </c>
      <c r="T303" s="1">
        <v>12</v>
      </c>
      <c r="U303" s="2">
        <v>44905</v>
      </c>
      <c r="V303" s="2">
        <v>45269</v>
      </c>
      <c r="W303" s="2" t="s">
        <v>42</v>
      </c>
      <c r="X303" s="1" t="s">
        <v>42</v>
      </c>
      <c r="Y303" s="2" t="s">
        <v>42</v>
      </c>
      <c r="Z303" s="1" t="s">
        <v>1553</v>
      </c>
      <c r="AA303" s="1" t="s">
        <v>1554</v>
      </c>
      <c r="AB303" s="1" t="s">
        <v>1555</v>
      </c>
      <c r="AC303" s="1" t="s">
        <v>129</v>
      </c>
      <c r="AD303" s="1">
        <v>7014477116</v>
      </c>
      <c r="AE303" s="1" t="s">
        <v>65</v>
      </c>
      <c r="AF303" s="1" t="s">
        <v>66</v>
      </c>
      <c r="AG303" s="2" t="s">
        <v>42</v>
      </c>
      <c r="AH303" s="1"/>
      <c r="AI303" s="1" t="s">
        <v>42</v>
      </c>
      <c r="AJ303" s="1"/>
      <c r="AK303" s="2" t="s">
        <v>42</v>
      </c>
      <c r="AL303" s="1" t="s">
        <v>3507</v>
      </c>
    </row>
    <row r="304" spans="1:38" ht="20.100000000000001" customHeight="1" x14ac:dyDescent="0.2">
      <c r="A304" s="3">
        <f t="shared" si="8"/>
        <v>301</v>
      </c>
      <c r="B304" s="1" t="s">
        <v>3232</v>
      </c>
      <c r="C304" s="1" t="s">
        <v>3233</v>
      </c>
      <c r="D304" s="1" t="s">
        <v>38</v>
      </c>
      <c r="E304" s="1" t="s">
        <v>39</v>
      </c>
      <c r="F304" s="1" t="s">
        <v>40</v>
      </c>
      <c r="G304" s="1" t="s">
        <v>3234</v>
      </c>
      <c r="H304" s="2">
        <v>46611</v>
      </c>
      <c r="I304" s="2">
        <v>34808</v>
      </c>
      <c r="J304" s="7">
        <f t="shared" ca="1" si="9"/>
        <v>28.547945205479451</v>
      </c>
      <c r="K304" s="1" t="s">
        <v>42</v>
      </c>
      <c r="L304" s="1" t="s">
        <v>211</v>
      </c>
      <c r="M304" s="2">
        <v>44901</v>
      </c>
      <c r="N304" s="1">
        <v>2</v>
      </c>
      <c r="O304" s="2" t="s">
        <v>42</v>
      </c>
      <c r="P304" s="1" t="s">
        <v>44</v>
      </c>
      <c r="Q304" s="1" t="s">
        <v>466</v>
      </c>
      <c r="R304" s="1" t="s">
        <v>60</v>
      </c>
      <c r="S304" s="1" t="s">
        <v>47</v>
      </c>
      <c r="T304" s="1">
        <v>8</v>
      </c>
      <c r="U304" s="2">
        <v>44901</v>
      </c>
      <c r="V304" s="2">
        <v>45266</v>
      </c>
      <c r="W304" s="2" t="s">
        <v>42</v>
      </c>
      <c r="X304" s="1" t="s">
        <v>42</v>
      </c>
      <c r="Y304" s="2" t="s">
        <v>42</v>
      </c>
      <c r="Z304" s="1" t="s">
        <v>3235</v>
      </c>
      <c r="AA304" s="1" t="s">
        <v>3236</v>
      </c>
      <c r="AB304" s="1" t="s">
        <v>3237</v>
      </c>
      <c r="AC304" s="1" t="s">
        <v>42</v>
      </c>
      <c r="AD304" s="1">
        <v>7004853987</v>
      </c>
      <c r="AE304" s="1" t="s">
        <v>471</v>
      </c>
      <c r="AF304" s="1"/>
      <c r="AG304" s="2" t="s">
        <v>42</v>
      </c>
      <c r="AH304" s="1"/>
      <c r="AI304" s="1" t="s">
        <v>42</v>
      </c>
      <c r="AJ304" s="1"/>
      <c r="AK304" s="2" t="s">
        <v>42</v>
      </c>
      <c r="AL304" s="1" t="s">
        <v>2806</v>
      </c>
    </row>
    <row r="305" spans="1:38" ht="20.100000000000001" customHeight="1" x14ac:dyDescent="0.2">
      <c r="A305" s="3">
        <f t="shared" si="8"/>
        <v>302</v>
      </c>
      <c r="B305" s="1" t="s">
        <v>3238</v>
      </c>
      <c r="C305" s="1" t="s">
        <v>3239</v>
      </c>
      <c r="D305" s="1" t="s">
        <v>121</v>
      </c>
      <c r="E305" s="1" t="s">
        <v>39</v>
      </c>
      <c r="F305" s="1" t="s">
        <v>40</v>
      </c>
      <c r="G305" s="1" t="s">
        <v>3240</v>
      </c>
      <c r="H305" s="2">
        <v>45968</v>
      </c>
      <c r="I305" s="2">
        <v>35380</v>
      </c>
      <c r="J305" s="7">
        <f t="shared" ca="1" si="9"/>
        <v>26.980821917808218</v>
      </c>
      <c r="K305" s="1" t="s">
        <v>42</v>
      </c>
      <c r="L305" s="1" t="s">
        <v>1415</v>
      </c>
      <c r="M305" s="2">
        <v>44902</v>
      </c>
      <c r="N305" s="1">
        <v>2</v>
      </c>
      <c r="O305" s="2" t="s">
        <v>42</v>
      </c>
      <c r="P305" s="1" t="s">
        <v>44</v>
      </c>
      <c r="Q305" s="1" t="s">
        <v>408</v>
      </c>
      <c r="R305" s="1" t="s">
        <v>124</v>
      </c>
      <c r="S305" s="1" t="s">
        <v>125</v>
      </c>
      <c r="T305" s="1">
        <v>0</v>
      </c>
      <c r="U305" s="2">
        <v>44902</v>
      </c>
      <c r="V305" s="2">
        <v>45267</v>
      </c>
      <c r="W305" s="2" t="s">
        <v>42</v>
      </c>
      <c r="X305" s="1" t="s">
        <v>42</v>
      </c>
      <c r="Y305" s="2" t="s">
        <v>42</v>
      </c>
      <c r="Z305" s="1" t="s">
        <v>3241</v>
      </c>
      <c r="AA305" s="1" t="s">
        <v>3242</v>
      </c>
      <c r="AB305" s="1" t="s">
        <v>3243</v>
      </c>
      <c r="AC305" s="1" t="s">
        <v>617</v>
      </c>
      <c r="AD305" s="1">
        <v>7014477116</v>
      </c>
      <c r="AE305" s="1" t="s">
        <v>65</v>
      </c>
      <c r="AF305" s="1"/>
      <c r="AG305" s="2">
        <v>45153</v>
      </c>
      <c r="AH305" s="1" t="s">
        <v>2812</v>
      </c>
      <c r="AI305" s="1" t="s">
        <v>42</v>
      </c>
      <c r="AJ305" s="1"/>
      <c r="AK305" s="2" t="s">
        <v>42</v>
      </c>
      <c r="AL305" s="1" t="s">
        <v>2806</v>
      </c>
    </row>
    <row r="306" spans="1:38" ht="20.100000000000001" customHeight="1" x14ac:dyDescent="0.2">
      <c r="A306" s="3">
        <f t="shared" si="8"/>
        <v>303</v>
      </c>
      <c r="B306" s="1" t="s">
        <v>1556</v>
      </c>
      <c r="C306" s="1" t="s">
        <v>1557</v>
      </c>
      <c r="D306" s="1" t="s">
        <v>121</v>
      </c>
      <c r="E306" s="1" t="s">
        <v>39</v>
      </c>
      <c r="F306" s="1" t="s">
        <v>40</v>
      </c>
      <c r="G306" s="1" t="s">
        <v>1558</v>
      </c>
      <c r="H306" s="2">
        <v>45663</v>
      </c>
      <c r="I306" s="2">
        <v>29745</v>
      </c>
      <c r="J306" s="7">
        <f t="shared" ca="1" si="9"/>
        <v>42.419178082191777</v>
      </c>
      <c r="K306" s="1" t="s">
        <v>42</v>
      </c>
      <c r="L306" s="1" t="s">
        <v>1415</v>
      </c>
      <c r="M306" s="2">
        <v>44902</v>
      </c>
      <c r="N306" s="1">
        <v>2</v>
      </c>
      <c r="O306" s="2" t="s">
        <v>42</v>
      </c>
      <c r="P306" s="1" t="s">
        <v>44</v>
      </c>
      <c r="Q306" s="1" t="s">
        <v>408</v>
      </c>
      <c r="R306" s="1" t="s">
        <v>124</v>
      </c>
      <c r="S306" s="1" t="s">
        <v>125</v>
      </c>
      <c r="T306" s="1">
        <v>0</v>
      </c>
      <c r="U306" s="2">
        <v>44902</v>
      </c>
      <c r="V306" s="2">
        <v>45267</v>
      </c>
      <c r="W306" s="2" t="s">
        <v>42</v>
      </c>
      <c r="X306" s="1" t="s">
        <v>42</v>
      </c>
      <c r="Y306" s="2" t="s">
        <v>42</v>
      </c>
      <c r="Z306" s="1" t="s">
        <v>1559</v>
      </c>
      <c r="AA306" s="1" t="s">
        <v>1560</v>
      </c>
      <c r="AB306" s="1" t="s">
        <v>1561</v>
      </c>
      <c r="AC306" s="1" t="s">
        <v>129</v>
      </c>
      <c r="AD306" s="1">
        <v>7014477116</v>
      </c>
      <c r="AE306" s="1" t="s">
        <v>65</v>
      </c>
      <c r="AF306" s="1"/>
      <c r="AG306" s="2" t="s">
        <v>42</v>
      </c>
      <c r="AH306" s="1"/>
      <c r="AI306" s="1" t="s">
        <v>42</v>
      </c>
      <c r="AJ306" s="1"/>
      <c r="AK306" s="2" t="s">
        <v>42</v>
      </c>
      <c r="AL306" s="1" t="s">
        <v>3507</v>
      </c>
    </row>
    <row r="307" spans="1:38" ht="20.100000000000001" customHeight="1" x14ac:dyDescent="0.2">
      <c r="A307" s="3">
        <f t="shared" si="8"/>
        <v>304</v>
      </c>
      <c r="B307" s="1" t="s">
        <v>3244</v>
      </c>
      <c r="C307" s="1" t="s">
        <v>3245</v>
      </c>
      <c r="D307" s="1" t="s">
        <v>38</v>
      </c>
      <c r="E307" s="1" t="s">
        <v>39</v>
      </c>
      <c r="F307" s="1"/>
      <c r="G307" s="1" t="s">
        <v>3246</v>
      </c>
      <c r="H307" s="2" t="s">
        <v>42</v>
      </c>
      <c r="I307" s="2" t="s">
        <v>42</v>
      </c>
      <c r="J307" s="7"/>
      <c r="K307" s="1" t="s">
        <v>42</v>
      </c>
      <c r="L307" s="1" t="s">
        <v>211</v>
      </c>
      <c r="M307" s="2">
        <v>44891</v>
      </c>
      <c r="N307" s="1">
        <v>2</v>
      </c>
      <c r="O307" s="2" t="s">
        <v>42</v>
      </c>
      <c r="P307" s="1" t="s">
        <v>44</v>
      </c>
      <c r="Q307" s="1" t="s">
        <v>466</v>
      </c>
      <c r="R307" s="1" t="s">
        <v>42</v>
      </c>
      <c r="S307" s="1" t="s">
        <v>47</v>
      </c>
      <c r="T307" s="1" t="s">
        <v>42</v>
      </c>
      <c r="U307" s="2" t="s">
        <v>42</v>
      </c>
      <c r="V307" s="2" t="s">
        <v>42</v>
      </c>
      <c r="W307" s="2" t="s">
        <v>42</v>
      </c>
      <c r="X307" s="1" t="s">
        <v>42</v>
      </c>
      <c r="Y307" s="2" t="s">
        <v>42</v>
      </c>
      <c r="Z307" s="1" t="s">
        <v>3247</v>
      </c>
      <c r="AA307" s="1" t="s">
        <v>3248</v>
      </c>
      <c r="AB307" s="1" t="s">
        <v>3249</v>
      </c>
      <c r="AC307" s="1" t="s">
        <v>129</v>
      </c>
      <c r="AD307" s="1">
        <v>7004853987</v>
      </c>
      <c r="AE307" s="1" t="s">
        <v>471</v>
      </c>
      <c r="AF307" s="1"/>
      <c r="AG307" s="2">
        <v>44893</v>
      </c>
      <c r="AH307" s="1" t="s">
        <v>2812</v>
      </c>
      <c r="AI307" s="1" t="s">
        <v>42</v>
      </c>
      <c r="AJ307" s="1"/>
      <c r="AK307" s="2" t="s">
        <v>42</v>
      </c>
      <c r="AL307" s="1" t="s">
        <v>2806</v>
      </c>
    </row>
    <row r="308" spans="1:38" ht="20.100000000000001" customHeight="1" x14ac:dyDescent="0.2">
      <c r="A308" s="3">
        <f t="shared" si="8"/>
        <v>305</v>
      </c>
      <c r="B308" s="1" t="s">
        <v>1562</v>
      </c>
      <c r="C308" s="1" t="s">
        <v>1563</v>
      </c>
      <c r="D308" s="1" t="s">
        <v>38</v>
      </c>
      <c r="E308" s="1" t="s">
        <v>39</v>
      </c>
      <c r="F308" s="1" t="s">
        <v>40</v>
      </c>
      <c r="G308" s="1" t="s">
        <v>1564</v>
      </c>
      <c r="H308" s="2">
        <v>46219</v>
      </c>
      <c r="I308" s="2">
        <v>36559</v>
      </c>
      <c r="J308" s="7">
        <f t="shared" ca="1" si="9"/>
        <v>23.75068493150685</v>
      </c>
      <c r="K308" s="1" t="s">
        <v>42</v>
      </c>
      <c r="L308" s="1" t="s">
        <v>211</v>
      </c>
      <c r="M308" s="2">
        <v>44897</v>
      </c>
      <c r="N308" s="1">
        <v>2</v>
      </c>
      <c r="O308" s="2" t="s">
        <v>42</v>
      </c>
      <c r="P308" s="1" t="s">
        <v>44</v>
      </c>
      <c r="Q308" s="1" t="s">
        <v>475</v>
      </c>
      <c r="R308" s="1" t="s">
        <v>60</v>
      </c>
      <c r="S308" s="1" t="s">
        <v>47</v>
      </c>
      <c r="T308" s="1">
        <v>8</v>
      </c>
      <c r="U308" s="2" t="s">
        <v>42</v>
      </c>
      <c r="V308" s="2" t="s">
        <v>42</v>
      </c>
      <c r="W308" s="2" t="s">
        <v>42</v>
      </c>
      <c r="X308" s="1" t="s">
        <v>42</v>
      </c>
      <c r="Y308" s="2" t="s">
        <v>42</v>
      </c>
      <c r="Z308" s="1" t="s">
        <v>1565</v>
      </c>
      <c r="AA308" s="1" t="s">
        <v>1566</v>
      </c>
      <c r="AB308" s="1" t="s">
        <v>1567</v>
      </c>
      <c r="AC308" s="1" t="s">
        <v>129</v>
      </c>
      <c r="AD308" s="1">
        <v>7004853987</v>
      </c>
      <c r="AE308" s="1" t="s">
        <v>471</v>
      </c>
      <c r="AF308" s="1" t="s">
        <v>66</v>
      </c>
      <c r="AG308" s="2" t="s">
        <v>42</v>
      </c>
      <c r="AH308" s="1"/>
      <c r="AI308" s="1" t="s">
        <v>42</v>
      </c>
      <c r="AJ308" s="1"/>
      <c r="AK308" s="2" t="s">
        <v>42</v>
      </c>
      <c r="AL308" s="1" t="s">
        <v>3507</v>
      </c>
    </row>
    <row r="309" spans="1:38" ht="20.100000000000001" customHeight="1" x14ac:dyDescent="0.2">
      <c r="A309" s="3">
        <f t="shared" si="8"/>
        <v>306</v>
      </c>
      <c r="B309" s="1" t="s">
        <v>3250</v>
      </c>
      <c r="C309" s="1" t="s">
        <v>3251</v>
      </c>
      <c r="D309" s="1" t="s">
        <v>121</v>
      </c>
      <c r="E309" s="1" t="s">
        <v>39</v>
      </c>
      <c r="F309" s="1"/>
      <c r="G309" s="1" t="s">
        <v>3252</v>
      </c>
      <c r="H309" s="2">
        <v>47298</v>
      </c>
      <c r="I309" s="2">
        <v>32680</v>
      </c>
      <c r="J309" s="7">
        <f t="shared" ca="1" si="9"/>
        <v>34.37808219178082</v>
      </c>
      <c r="K309" s="1" t="s">
        <v>42</v>
      </c>
      <c r="L309" s="1" t="s">
        <v>211</v>
      </c>
      <c r="M309" s="2">
        <v>44900</v>
      </c>
      <c r="N309" s="1">
        <v>2</v>
      </c>
      <c r="O309" s="2" t="s">
        <v>42</v>
      </c>
      <c r="P309" s="1" t="s">
        <v>44</v>
      </c>
      <c r="Q309" s="1" t="s">
        <v>203</v>
      </c>
      <c r="R309" s="1" t="s">
        <v>42</v>
      </c>
      <c r="S309" s="1" t="s">
        <v>47</v>
      </c>
      <c r="T309" s="1">
        <v>8</v>
      </c>
      <c r="U309" s="2">
        <v>44900</v>
      </c>
      <c r="V309" s="2">
        <v>45265</v>
      </c>
      <c r="W309" s="2" t="s">
        <v>42</v>
      </c>
      <c r="X309" s="1" t="s">
        <v>42</v>
      </c>
      <c r="Y309" s="2" t="s">
        <v>42</v>
      </c>
      <c r="Z309" s="1" t="s">
        <v>3253</v>
      </c>
      <c r="AA309" s="1" t="s">
        <v>42</v>
      </c>
      <c r="AB309" s="1" t="s">
        <v>3254</v>
      </c>
      <c r="AC309" s="1" t="s">
        <v>129</v>
      </c>
      <c r="AD309" s="1">
        <v>7014477116</v>
      </c>
      <c r="AE309" s="1" t="s">
        <v>65</v>
      </c>
      <c r="AF309" s="1"/>
      <c r="AG309" s="2">
        <v>44919</v>
      </c>
      <c r="AH309" s="1" t="s">
        <v>2985</v>
      </c>
      <c r="AI309" s="1" t="s">
        <v>42</v>
      </c>
      <c r="AJ309" s="1"/>
      <c r="AK309" s="2" t="s">
        <v>42</v>
      </c>
      <c r="AL309" s="1" t="s">
        <v>2806</v>
      </c>
    </row>
    <row r="310" spans="1:38" ht="20.100000000000001" customHeight="1" x14ac:dyDescent="0.2">
      <c r="A310" s="3">
        <f t="shared" si="8"/>
        <v>307</v>
      </c>
      <c r="B310" s="1" t="s">
        <v>1568</v>
      </c>
      <c r="C310" s="1" t="s">
        <v>1569</v>
      </c>
      <c r="D310" s="1" t="s">
        <v>121</v>
      </c>
      <c r="E310" s="1" t="s">
        <v>39</v>
      </c>
      <c r="F310" s="1" t="s">
        <v>40</v>
      </c>
      <c r="G310" s="1" t="s">
        <v>1570</v>
      </c>
      <c r="H310" s="2">
        <v>46394</v>
      </c>
      <c r="I310" s="2">
        <v>29570</v>
      </c>
      <c r="J310" s="7">
        <f t="shared" ca="1" si="9"/>
        <v>42.898630136986299</v>
      </c>
      <c r="K310" s="1" t="s">
        <v>42</v>
      </c>
      <c r="L310" s="1" t="s">
        <v>1415</v>
      </c>
      <c r="M310" s="2">
        <v>44910</v>
      </c>
      <c r="N310" s="1">
        <v>2</v>
      </c>
      <c r="O310" s="2" t="s">
        <v>42</v>
      </c>
      <c r="P310" s="1" t="s">
        <v>44</v>
      </c>
      <c r="Q310" s="1" t="s">
        <v>408</v>
      </c>
      <c r="R310" s="1" t="s">
        <v>124</v>
      </c>
      <c r="S310" s="1" t="s">
        <v>125</v>
      </c>
      <c r="T310" s="1">
        <v>0</v>
      </c>
      <c r="U310" s="2">
        <v>44910</v>
      </c>
      <c r="V310" s="2">
        <v>45275</v>
      </c>
      <c r="W310" s="2" t="s">
        <v>42</v>
      </c>
      <c r="X310" s="1" t="s">
        <v>42</v>
      </c>
      <c r="Y310" s="2" t="s">
        <v>42</v>
      </c>
      <c r="Z310" s="1" t="s">
        <v>1571</v>
      </c>
      <c r="AA310" s="1" t="s">
        <v>1572</v>
      </c>
      <c r="AB310" s="1" t="s">
        <v>1573</v>
      </c>
      <c r="AC310" s="1" t="s">
        <v>129</v>
      </c>
      <c r="AD310" s="1">
        <v>7014477116</v>
      </c>
      <c r="AE310" s="1" t="s">
        <v>65</v>
      </c>
      <c r="AF310" s="1"/>
      <c r="AG310" s="2" t="s">
        <v>42</v>
      </c>
      <c r="AH310" s="1"/>
      <c r="AI310" s="1" t="s">
        <v>42</v>
      </c>
      <c r="AJ310" s="1"/>
      <c r="AK310" s="2" t="s">
        <v>42</v>
      </c>
      <c r="AL310" s="1" t="s">
        <v>3507</v>
      </c>
    </row>
    <row r="311" spans="1:38" ht="20.100000000000001" customHeight="1" x14ac:dyDescent="0.2">
      <c r="A311" s="3">
        <f t="shared" si="8"/>
        <v>308</v>
      </c>
      <c r="B311" s="1" t="s">
        <v>1574</v>
      </c>
      <c r="C311" s="1" t="s">
        <v>1575</v>
      </c>
      <c r="D311" s="1" t="s">
        <v>121</v>
      </c>
      <c r="E311" s="1" t="s">
        <v>39</v>
      </c>
      <c r="F311" s="1" t="s">
        <v>40</v>
      </c>
      <c r="G311" s="1" t="s">
        <v>1576</v>
      </c>
      <c r="H311" s="2">
        <v>46310</v>
      </c>
      <c r="I311" s="2">
        <v>25458</v>
      </c>
      <c r="J311" s="7">
        <f t="shared" ca="1" si="9"/>
        <v>54.164383561643838</v>
      </c>
      <c r="K311" s="1" t="s">
        <v>42</v>
      </c>
      <c r="L311" s="1" t="s">
        <v>1415</v>
      </c>
      <c r="M311" s="2">
        <v>44910</v>
      </c>
      <c r="N311" s="1">
        <v>2</v>
      </c>
      <c r="O311" s="2" t="s">
        <v>42</v>
      </c>
      <c r="P311" s="1" t="s">
        <v>44</v>
      </c>
      <c r="Q311" s="1" t="s">
        <v>408</v>
      </c>
      <c r="R311" s="1" t="s">
        <v>124</v>
      </c>
      <c r="S311" s="1" t="s">
        <v>125</v>
      </c>
      <c r="T311" s="1">
        <v>0</v>
      </c>
      <c r="U311" s="2">
        <v>44910</v>
      </c>
      <c r="V311" s="2">
        <v>45275</v>
      </c>
      <c r="W311" s="2" t="s">
        <v>42</v>
      </c>
      <c r="X311" s="1" t="s">
        <v>42</v>
      </c>
      <c r="Y311" s="2" t="s">
        <v>42</v>
      </c>
      <c r="Z311" s="1" t="s">
        <v>1577</v>
      </c>
      <c r="AA311" s="1" t="s">
        <v>1578</v>
      </c>
      <c r="AB311" s="1" t="s">
        <v>1579</v>
      </c>
      <c r="AC311" s="1" t="s">
        <v>129</v>
      </c>
      <c r="AD311" s="1">
        <v>7014477116</v>
      </c>
      <c r="AE311" s="1" t="s">
        <v>65</v>
      </c>
      <c r="AF311" s="1"/>
      <c r="AG311" s="2" t="s">
        <v>42</v>
      </c>
      <c r="AH311" s="1"/>
      <c r="AI311" s="1" t="s">
        <v>42</v>
      </c>
      <c r="AJ311" s="1"/>
      <c r="AK311" s="2" t="s">
        <v>42</v>
      </c>
      <c r="AL311" s="1" t="s">
        <v>3507</v>
      </c>
    </row>
    <row r="312" spans="1:38" ht="20.100000000000001" customHeight="1" x14ac:dyDescent="0.2">
      <c r="A312" s="3">
        <f t="shared" si="8"/>
        <v>309</v>
      </c>
      <c r="B312" s="1" t="s">
        <v>1580</v>
      </c>
      <c r="C312" s="1" t="s">
        <v>1581</v>
      </c>
      <c r="D312" s="1" t="s">
        <v>121</v>
      </c>
      <c r="E312" s="1" t="s">
        <v>39</v>
      </c>
      <c r="F312" s="1" t="s">
        <v>40</v>
      </c>
      <c r="G312" s="1" t="s">
        <v>1582</v>
      </c>
      <c r="H312" s="2">
        <v>46279</v>
      </c>
      <c r="I312" s="2">
        <v>35523</v>
      </c>
      <c r="J312" s="7">
        <f t="shared" ca="1" si="9"/>
        <v>26.589041095890412</v>
      </c>
      <c r="K312" s="1" t="s">
        <v>42</v>
      </c>
      <c r="L312" s="1" t="s">
        <v>1415</v>
      </c>
      <c r="M312" s="2">
        <v>44910</v>
      </c>
      <c r="N312" s="1">
        <v>2</v>
      </c>
      <c r="O312" s="2" t="s">
        <v>42</v>
      </c>
      <c r="P312" s="1" t="s">
        <v>44</v>
      </c>
      <c r="Q312" s="1" t="s">
        <v>408</v>
      </c>
      <c r="R312" s="1" t="s">
        <v>124</v>
      </c>
      <c r="S312" s="1" t="s">
        <v>125</v>
      </c>
      <c r="T312" s="1">
        <v>0</v>
      </c>
      <c r="U312" s="2">
        <v>44910</v>
      </c>
      <c r="V312" s="2">
        <v>45275</v>
      </c>
      <c r="W312" s="2" t="s">
        <v>42</v>
      </c>
      <c r="X312" s="1" t="s">
        <v>42</v>
      </c>
      <c r="Y312" s="2" t="s">
        <v>42</v>
      </c>
      <c r="Z312" s="1" t="s">
        <v>1583</v>
      </c>
      <c r="AA312" s="1" t="s">
        <v>1584</v>
      </c>
      <c r="AB312" s="1" t="s">
        <v>1585</v>
      </c>
      <c r="AC312" s="1" t="s">
        <v>617</v>
      </c>
      <c r="AD312" s="1">
        <v>7014477116</v>
      </c>
      <c r="AE312" s="1" t="s">
        <v>65</v>
      </c>
      <c r="AF312" s="1"/>
      <c r="AG312" s="2" t="s">
        <v>42</v>
      </c>
      <c r="AH312" s="1"/>
      <c r="AI312" s="1" t="s">
        <v>42</v>
      </c>
      <c r="AJ312" s="1"/>
      <c r="AK312" s="2" t="s">
        <v>42</v>
      </c>
      <c r="AL312" s="1" t="s">
        <v>3507</v>
      </c>
    </row>
    <row r="313" spans="1:38" ht="20.100000000000001" customHeight="1" x14ac:dyDescent="0.2">
      <c r="A313" s="3">
        <f t="shared" si="8"/>
        <v>310</v>
      </c>
      <c r="B313" s="1" t="s">
        <v>1586</v>
      </c>
      <c r="C313" s="1" t="s">
        <v>1587</v>
      </c>
      <c r="D313" s="1" t="s">
        <v>38</v>
      </c>
      <c r="E313" s="1" t="s">
        <v>69</v>
      </c>
      <c r="F313" s="1" t="s">
        <v>70</v>
      </c>
      <c r="G313" s="1" t="s">
        <v>1588</v>
      </c>
      <c r="H313" s="2" t="s">
        <v>42</v>
      </c>
      <c r="I313" s="2">
        <v>36628</v>
      </c>
      <c r="J313" s="7">
        <f t="shared" ca="1" si="9"/>
        <v>23.561643835616437</v>
      </c>
      <c r="K313" s="1" t="s">
        <v>1589</v>
      </c>
      <c r="L313" s="1" t="s">
        <v>134</v>
      </c>
      <c r="M313" s="2">
        <v>44905</v>
      </c>
      <c r="N313" s="1">
        <v>2</v>
      </c>
      <c r="O313" s="2" t="s">
        <v>42</v>
      </c>
      <c r="P313" s="1" t="s">
        <v>44</v>
      </c>
      <c r="Q313" s="1" t="s">
        <v>578</v>
      </c>
      <c r="R313" s="1" t="s">
        <v>60</v>
      </c>
      <c r="S313" s="1" t="s">
        <v>156</v>
      </c>
      <c r="T313" s="1" t="s">
        <v>42</v>
      </c>
      <c r="U313" s="2">
        <v>44905</v>
      </c>
      <c r="V313" s="2">
        <v>45635</v>
      </c>
      <c r="W313" s="2" t="s">
        <v>42</v>
      </c>
      <c r="X313" s="1" t="s">
        <v>1590</v>
      </c>
      <c r="Y313" s="2">
        <v>46995</v>
      </c>
      <c r="Z313" s="1" t="s">
        <v>1591</v>
      </c>
      <c r="AA313" s="1" t="s">
        <v>42</v>
      </c>
      <c r="AB313" s="1" t="s">
        <v>1592</v>
      </c>
      <c r="AC313" s="1" t="s">
        <v>129</v>
      </c>
      <c r="AD313" s="1">
        <v>7034664628</v>
      </c>
      <c r="AE313" s="1" t="s">
        <v>443</v>
      </c>
      <c r="AF313" s="1" t="s">
        <v>66</v>
      </c>
      <c r="AG313" s="2" t="s">
        <v>42</v>
      </c>
      <c r="AH313" s="1"/>
      <c r="AI313" s="1" t="s">
        <v>42</v>
      </c>
      <c r="AJ313" s="1"/>
      <c r="AK313" s="2" t="s">
        <v>42</v>
      </c>
      <c r="AL313" s="1" t="s">
        <v>3507</v>
      </c>
    </row>
    <row r="314" spans="1:38" ht="20.100000000000001" customHeight="1" x14ac:dyDescent="0.2">
      <c r="A314" s="3">
        <f t="shared" si="8"/>
        <v>311</v>
      </c>
      <c r="B314" s="1" t="s">
        <v>3255</v>
      </c>
      <c r="C314" s="1" t="s">
        <v>3256</v>
      </c>
      <c r="D314" s="1" t="s">
        <v>38</v>
      </c>
      <c r="E314" s="1" t="s">
        <v>69</v>
      </c>
      <c r="F314" s="1"/>
      <c r="G314" s="1" t="s">
        <v>3257</v>
      </c>
      <c r="H314" s="2">
        <v>45315</v>
      </c>
      <c r="I314" s="2">
        <v>33613</v>
      </c>
      <c r="J314" s="7">
        <f t="shared" ca="1" si="9"/>
        <v>31.82191780821918</v>
      </c>
      <c r="K314" s="1" t="s">
        <v>1496</v>
      </c>
      <c r="L314" s="1" t="s">
        <v>798</v>
      </c>
      <c r="M314" s="2">
        <v>44907</v>
      </c>
      <c r="N314" s="1">
        <v>2</v>
      </c>
      <c r="O314" s="2" t="s">
        <v>42</v>
      </c>
      <c r="P314" s="1" t="s">
        <v>44</v>
      </c>
      <c r="Q314" s="1" t="s">
        <v>222</v>
      </c>
      <c r="R314" s="1" t="s">
        <v>60</v>
      </c>
      <c r="S314" s="1" t="s">
        <v>156</v>
      </c>
      <c r="T314" s="1">
        <v>8</v>
      </c>
      <c r="U314" s="2">
        <v>44907</v>
      </c>
      <c r="V314" s="2">
        <v>45271</v>
      </c>
      <c r="W314" s="2" t="s">
        <v>42</v>
      </c>
      <c r="X314" s="1" t="s">
        <v>3258</v>
      </c>
      <c r="Y314" s="2">
        <v>45909</v>
      </c>
      <c r="Z314" s="1" t="s">
        <v>3259</v>
      </c>
      <c r="AA314" s="1" t="s">
        <v>3260</v>
      </c>
      <c r="AB314" s="1" t="s">
        <v>3261</v>
      </c>
      <c r="AC314" s="1" t="s">
        <v>42</v>
      </c>
      <c r="AD314" s="1"/>
      <c r="AE314" s="1" t="s">
        <v>42</v>
      </c>
      <c r="AF314" s="1"/>
      <c r="AG314" s="2" t="s">
        <v>42</v>
      </c>
      <c r="AH314" s="1" t="s">
        <v>2812</v>
      </c>
      <c r="AI314" s="1" t="s">
        <v>42</v>
      </c>
      <c r="AJ314" s="1"/>
      <c r="AK314" s="2" t="s">
        <v>42</v>
      </c>
      <c r="AL314" s="1" t="s">
        <v>2806</v>
      </c>
    </row>
    <row r="315" spans="1:38" ht="20.100000000000001" customHeight="1" x14ac:dyDescent="0.2">
      <c r="A315" s="3">
        <f t="shared" si="8"/>
        <v>312</v>
      </c>
      <c r="B315" s="1" t="s">
        <v>1593</v>
      </c>
      <c r="C315" s="1" t="s">
        <v>1594</v>
      </c>
      <c r="D315" s="1" t="s">
        <v>38</v>
      </c>
      <c r="E315" s="1" t="s">
        <v>150</v>
      </c>
      <c r="F315" s="1" t="s">
        <v>70</v>
      </c>
      <c r="G315" s="1" t="s">
        <v>1595</v>
      </c>
      <c r="H315" s="2">
        <v>45469</v>
      </c>
      <c r="I315" s="2">
        <v>34198</v>
      </c>
      <c r="J315" s="7">
        <f t="shared" ca="1" si="9"/>
        <v>30.219178082191782</v>
      </c>
      <c r="K315" s="1" t="s">
        <v>1596</v>
      </c>
      <c r="L315" s="1" t="s">
        <v>58</v>
      </c>
      <c r="M315" s="2">
        <v>44918</v>
      </c>
      <c r="N315" s="1">
        <v>2</v>
      </c>
      <c r="O315" s="2" t="s">
        <v>42</v>
      </c>
      <c r="P315" s="1" t="s">
        <v>44</v>
      </c>
      <c r="Q315" s="1" t="s">
        <v>431</v>
      </c>
      <c r="R315" s="1" t="s">
        <v>504</v>
      </c>
      <c r="S315" s="1" t="s">
        <v>47</v>
      </c>
      <c r="T315" s="1">
        <v>10</v>
      </c>
      <c r="U315" s="2">
        <v>44918</v>
      </c>
      <c r="V315" s="2">
        <v>45282</v>
      </c>
      <c r="W315" s="2" t="s">
        <v>42</v>
      </c>
      <c r="X315" s="1" t="s">
        <v>42</v>
      </c>
      <c r="Y315" s="2" t="s">
        <v>42</v>
      </c>
      <c r="Z315" s="1" t="s">
        <v>1597</v>
      </c>
      <c r="AA315" s="1" t="s">
        <v>1598</v>
      </c>
      <c r="AB315" s="1" t="s">
        <v>1599</v>
      </c>
      <c r="AC315" s="1" t="s">
        <v>551</v>
      </c>
      <c r="AD315" s="1">
        <v>7009073037</v>
      </c>
      <c r="AE315" s="1" t="s">
        <v>103</v>
      </c>
      <c r="AF315" s="1" t="s">
        <v>436</v>
      </c>
      <c r="AG315" s="2" t="s">
        <v>42</v>
      </c>
      <c r="AH315" s="1"/>
      <c r="AI315" s="1" t="s">
        <v>42</v>
      </c>
      <c r="AJ315" s="1"/>
      <c r="AK315" s="2" t="s">
        <v>42</v>
      </c>
      <c r="AL315" s="1" t="s">
        <v>3507</v>
      </c>
    </row>
    <row r="316" spans="1:38" ht="20.100000000000001" customHeight="1" x14ac:dyDescent="0.2">
      <c r="A316" s="3">
        <f t="shared" si="8"/>
        <v>313</v>
      </c>
      <c r="B316" s="1" t="s">
        <v>3262</v>
      </c>
      <c r="C316" s="1" t="s">
        <v>3263</v>
      </c>
      <c r="D316" s="1" t="s">
        <v>38</v>
      </c>
      <c r="E316" s="1" t="s">
        <v>39</v>
      </c>
      <c r="F316" s="1"/>
      <c r="G316" s="1" t="s">
        <v>3264</v>
      </c>
      <c r="H316" s="2">
        <v>47278</v>
      </c>
      <c r="I316" s="2">
        <v>29909</v>
      </c>
      <c r="J316" s="7">
        <f t="shared" ca="1" si="9"/>
        <v>41.969863013698628</v>
      </c>
      <c r="K316" s="1" t="s">
        <v>42</v>
      </c>
      <c r="L316" s="1" t="s">
        <v>211</v>
      </c>
      <c r="M316" s="2">
        <v>44919</v>
      </c>
      <c r="N316" s="1">
        <v>2</v>
      </c>
      <c r="O316" s="2" t="s">
        <v>42</v>
      </c>
      <c r="P316" s="1" t="s">
        <v>44</v>
      </c>
      <c r="Q316" s="1" t="s">
        <v>466</v>
      </c>
      <c r="R316" s="1" t="s">
        <v>42</v>
      </c>
      <c r="S316" s="1" t="s">
        <v>156</v>
      </c>
      <c r="T316" s="1">
        <v>8</v>
      </c>
      <c r="U316" s="2" t="s">
        <v>42</v>
      </c>
      <c r="V316" s="2" t="s">
        <v>42</v>
      </c>
      <c r="W316" s="2" t="s">
        <v>42</v>
      </c>
      <c r="X316" s="1" t="s">
        <v>42</v>
      </c>
      <c r="Y316" s="2" t="s">
        <v>42</v>
      </c>
      <c r="Z316" s="1" t="s">
        <v>42</v>
      </c>
      <c r="AA316" s="1" t="s">
        <v>42</v>
      </c>
      <c r="AB316" s="1" t="s">
        <v>3265</v>
      </c>
      <c r="AC316" s="1" t="s">
        <v>129</v>
      </c>
      <c r="AD316" s="1">
        <v>7004853987</v>
      </c>
      <c r="AE316" s="1" t="s">
        <v>471</v>
      </c>
      <c r="AF316" s="1"/>
      <c r="AG316" s="2">
        <v>44920</v>
      </c>
      <c r="AH316" s="1" t="s">
        <v>2985</v>
      </c>
      <c r="AI316" s="1" t="s">
        <v>42</v>
      </c>
      <c r="AJ316" s="1"/>
      <c r="AK316" s="2" t="s">
        <v>42</v>
      </c>
      <c r="AL316" s="1" t="s">
        <v>2806</v>
      </c>
    </row>
    <row r="317" spans="1:38" ht="20.100000000000001" customHeight="1" x14ac:dyDescent="0.2">
      <c r="A317" s="3">
        <f t="shared" si="8"/>
        <v>314</v>
      </c>
      <c r="B317" s="1" t="s">
        <v>3266</v>
      </c>
      <c r="C317" s="1" t="s">
        <v>3267</v>
      </c>
      <c r="D317" s="1" t="s">
        <v>38</v>
      </c>
      <c r="E317" s="1" t="s">
        <v>39</v>
      </c>
      <c r="F317" s="1"/>
      <c r="G317" s="1" t="s">
        <v>3268</v>
      </c>
      <c r="H317" s="2">
        <v>45054</v>
      </c>
      <c r="I317" s="2">
        <v>37526</v>
      </c>
      <c r="J317" s="7">
        <f t="shared" ca="1" si="9"/>
        <v>21.101369863013698</v>
      </c>
      <c r="K317" s="1" t="s">
        <v>42</v>
      </c>
      <c r="L317" s="1" t="s">
        <v>211</v>
      </c>
      <c r="M317" s="2">
        <v>44906</v>
      </c>
      <c r="N317" s="1">
        <v>2</v>
      </c>
      <c r="O317" s="2" t="s">
        <v>42</v>
      </c>
      <c r="P317" s="1" t="s">
        <v>44</v>
      </c>
      <c r="Q317" s="1" t="s">
        <v>466</v>
      </c>
      <c r="R317" s="1" t="s">
        <v>42</v>
      </c>
      <c r="S317" s="1" t="s">
        <v>156</v>
      </c>
      <c r="T317" s="1">
        <v>8</v>
      </c>
      <c r="U317" s="2" t="s">
        <v>42</v>
      </c>
      <c r="V317" s="2" t="s">
        <v>42</v>
      </c>
      <c r="W317" s="2" t="s">
        <v>42</v>
      </c>
      <c r="X317" s="1" t="s">
        <v>42</v>
      </c>
      <c r="Y317" s="2" t="s">
        <v>42</v>
      </c>
      <c r="Z317" s="1" t="s">
        <v>42</v>
      </c>
      <c r="AA317" s="1" t="s">
        <v>42</v>
      </c>
      <c r="AB317" s="1" t="s">
        <v>3269</v>
      </c>
      <c r="AC317" s="1" t="s">
        <v>42</v>
      </c>
      <c r="AD317" s="1">
        <v>7004853987</v>
      </c>
      <c r="AE317" s="1" t="s">
        <v>471</v>
      </c>
      <c r="AF317" s="1"/>
      <c r="AG317" s="2">
        <v>44910</v>
      </c>
      <c r="AH317" s="1" t="s">
        <v>2985</v>
      </c>
      <c r="AI317" s="1" t="s">
        <v>42</v>
      </c>
      <c r="AJ317" s="1"/>
      <c r="AK317" s="2" t="s">
        <v>42</v>
      </c>
      <c r="AL317" s="1" t="s">
        <v>2806</v>
      </c>
    </row>
    <row r="318" spans="1:38" ht="20.100000000000001" customHeight="1" x14ac:dyDescent="0.2">
      <c r="A318" s="3">
        <f t="shared" si="8"/>
        <v>315</v>
      </c>
      <c r="B318" s="1" t="s">
        <v>3270</v>
      </c>
      <c r="C318" s="1" t="s">
        <v>3271</v>
      </c>
      <c r="D318" s="1" t="s">
        <v>121</v>
      </c>
      <c r="E318" s="1" t="s">
        <v>39</v>
      </c>
      <c r="F318" s="1"/>
      <c r="G318" s="1" t="s">
        <v>3272</v>
      </c>
      <c r="H318" s="2">
        <v>45831</v>
      </c>
      <c r="I318" s="2">
        <v>37237</v>
      </c>
      <c r="J318" s="7">
        <f t="shared" ca="1" si="9"/>
        <v>21.893150684931506</v>
      </c>
      <c r="K318" s="1" t="s">
        <v>42</v>
      </c>
      <c r="L318" s="1" t="s">
        <v>211</v>
      </c>
      <c r="M318" s="2">
        <v>44920</v>
      </c>
      <c r="N318" s="1">
        <v>2</v>
      </c>
      <c r="O318" s="2" t="s">
        <v>42</v>
      </c>
      <c r="P318" s="1" t="s">
        <v>165</v>
      </c>
      <c r="Q318" s="1" t="s">
        <v>166</v>
      </c>
      <c r="R318" s="1" t="s">
        <v>60</v>
      </c>
      <c r="S318" s="1" t="s">
        <v>47</v>
      </c>
      <c r="T318" s="1">
        <v>8</v>
      </c>
      <c r="U318" s="2">
        <v>44920</v>
      </c>
      <c r="V318" s="2" t="s">
        <v>42</v>
      </c>
      <c r="W318" s="2" t="s">
        <v>42</v>
      </c>
      <c r="X318" s="1" t="s">
        <v>42</v>
      </c>
      <c r="Y318" s="2" t="s">
        <v>42</v>
      </c>
      <c r="Z318" s="1" t="s">
        <v>3273</v>
      </c>
      <c r="AA318" s="1" t="s">
        <v>3274</v>
      </c>
      <c r="AB318" s="1" t="s">
        <v>3275</v>
      </c>
      <c r="AC318" s="1" t="s">
        <v>129</v>
      </c>
      <c r="AD318" s="1">
        <v>7014477116</v>
      </c>
      <c r="AE318" s="1" t="s">
        <v>65</v>
      </c>
      <c r="AF318" s="1"/>
      <c r="AG318" s="2">
        <v>44994</v>
      </c>
      <c r="AH318" s="1" t="s">
        <v>2812</v>
      </c>
      <c r="AI318" s="1" t="s">
        <v>42</v>
      </c>
      <c r="AJ318" s="1"/>
      <c r="AK318" s="2" t="s">
        <v>42</v>
      </c>
      <c r="AL318" s="1" t="s">
        <v>2806</v>
      </c>
    </row>
    <row r="319" spans="1:38" ht="20.100000000000001" customHeight="1" x14ac:dyDescent="0.2">
      <c r="A319" s="3">
        <f t="shared" si="8"/>
        <v>316</v>
      </c>
      <c r="B319" s="1" t="s">
        <v>1600</v>
      </c>
      <c r="C319" s="1" t="s">
        <v>1601</v>
      </c>
      <c r="D319" s="1" t="s">
        <v>38</v>
      </c>
      <c r="E319" s="1" t="s">
        <v>69</v>
      </c>
      <c r="F319" s="1" t="s">
        <v>70</v>
      </c>
      <c r="G319" s="1" t="s">
        <v>1602</v>
      </c>
      <c r="H319" s="2">
        <v>45576</v>
      </c>
      <c r="I319" s="2">
        <v>32874</v>
      </c>
      <c r="J319" s="7">
        <f t="shared" ca="1" si="9"/>
        <v>33.846575342465755</v>
      </c>
      <c r="K319" s="1" t="s">
        <v>482</v>
      </c>
      <c r="L319" s="1" t="s">
        <v>80</v>
      </c>
      <c r="M319" s="2">
        <v>44930</v>
      </c>
      <c r="N319" s="1">
        <v>2</v>
      </c>
      <c r="O319" s="2" t="s">
        <v>42</v>
      </c>
      <c r="P319" s="1" t="s">
        <v>221</v>
      </c>
      <c r="Q319" s="1" t="s">
        <v>222</v>
      </c>
      <c r="R319" s="1" t="s">
        <v>60</v>
      </c>
      <c r="S319" s="1" t="s">
        <v>47</v>
      </c>
      <c r="T319" s="1" t="s">
        <v>42</v>
      </c>
      <c r="U319" s="2" t="s">
        <v>42</v>
      </c>
      <c r="V319" s="2" t="s">
        <v>42</v>
      </c>
      <c r="W319" s="2" t="s">
        <v>42</v>
      </c>
      <c r="X319" s="1" t="s">
        <v>1603</v>
      </c>
      <c r="Y319" s="2">
        <v>47339</v>
      </c>
      <c r="Z319" s="1" t="s">
        <v>1604</v>
      </c>
      <c r="AA319" s="1" t="s">
        <v>1605</v>
      </c>
      <c r="AB319" s="1" t="s">
        <v>1606</v>
      </c>
      <c r="AC319" s="1" t="s">
        <v>129</v>
      </c>
      <c r="AD319" s="1">
        <v>7021202564</v>
      </c>
      <c r="AE319" s="1" t="s">
        <v>567</v>
      </c>
      <c r="AF319" s="1" t="s">
        <v>227</v>
      </c>
      <c r="AG319" s="2" t="s">
        <v>42</v>
      </c>
      <c r="AH319" s="1"/>
      <c r="AI319" s="1" t="s">
        <v>42</v>
      </c>
      <c r="AJ319" s="1"/>
      <c r="AK319" s="2" t="s">
        <v>42</v>
      </c>
      <c r="AL319" s="1" t="s">
        <v>3507</v>
      </c>
    </row>
    <row r="320" spans="1:38" ht="20.100000000000001" customHeight="1" x14ac:dyDescent="0.2">
      <c r="A320" s="3">
        <f t="shared" si="8"/>
        <v>317</v>
      </c>
      <c r="B320" s="1" t="s">
        <v>1607</v>
      </c>
      <c r="C320" s="1" t="s">
        <v>1608</v>
      </c>
      <c r="D320" s="1" t="s">
        <v>121</v>
      </c>
      <c r="E320" s="1" t="s">
        <v>39</v>
      </c>
      <c r="F320" s="1" t="s">
        <v>40</v>
      </c>
      <c r="G320" s="1" t="s">
        <v>1609</v>
      </c>
      <c r="H320" s="2">
        <v>45937</v>
      </c>
      <c r="I320" s="2">
        <v>33295</v>
      </c>
      <c r="J320" s="7">
        <f t="shared" ca="1" si="9"/>
        <v>32.69315068493151</v>
      </c>
      <c r="K320" s="1" t="s">
        <v>42</v>
      </c>
      <c r="L320" s="1" t="s">
        <v>1610</v>
      </c>
      <c r="M320" s="2">
        <v>44927</v>
      </c>
      <c r="N320" s="1">
        <v>2</v>
      </c>
      <c r="O320" s="2" t="s">
        <v>42</v>
      </c>
      <c r="P320" s="1" t="s">
        <v>44</v>
      </c>
      <c r="Q320" s="1" t="s">
        <v>178</v>
      </c>
      <c r="R320" s="1" t="s">
        <v>179</v>
      </c>
      <c r="S320" s="1" t="s">
        <v>47</v>
      </c>
      <c r="T320" s="1">
        <v>8</v>
      </c>
      <c r="U320" s="2">
        <v>44927</v>
      </c>
      <c r="V320" s="2">
        <v>45657</v>
      </c>
      <c r="W320" s="2" t="s">
        <v>42</v>
      </c>
      <c r="X320" s="1" t="s">
        <v>42</v>
      </c>
      <c r="Y320" s="2" t="s">
        <v>42</v>
      </c>
      <c r="Z320" s="1" t="s">
        <v>1611</v>
      </c>
      <c r="AA320" s="1" t="s">
        <v>1612</v>
      </c>
      <c r="AB320" s="1" t="s">
        <v>1613</v>
      </c>
      <c r="AC320" s="1" t="s">
        <v>129</v>
      </c>
      <c r="AD320" s="1">
        <v>7009073037</v>
      </c>
      <c r="AE320" s="1" t="s">
        <v>103</v>
      </c>
      <c r="AF320" s="1"/>
      <c r="AG320" s="2" t="s">
        <v>42</v>
      </c>
      <c r="AH320" s="1"/>
      <c r="AI320" s="1" t="s">
        <v>42</v>
      </c>
      <c r="AJ320" s="1"/>
      <c r="AK320" s="2" t="s">
        <v>42</v>
      </c>
      <c r="AL320" s="1" t="s">
        <v>3507</v>
      </c>
    </row>
    <row r="321" spans="1:38" ht="20.100000000000001" customHeight="1" x14ac:dyDescent="0.2">
      <c r="A321" s="3">
        <f t="shared" si="8"/>
        <v>318</v>
      </c>
      <c r="B321" s="1" t="s">
        <v>3276</v>
      </c>
      <c r="C321" s="1" t="s">
        <v>3277</v>
      </c>
      <c r="D321" s="1" t="s">
        <v>38</v>
      </c>
      <c r="E321" s="1" t="s">
        <v>69</v>
      </c>
      <c r="F321" s="1"/>
      <c r="G321" s="1" t="s">
        <v>3278</v>
      </c>
      <c r="H321" s="2">
        <v>45132</v>
      </c>
      <c r="I321" s="2">
        <v>36651</v>
      </c>
      <c r="J321" s="7">
        <f t="shared" ca="1" si="9"/>
        <v>23.4986301369863</v>
      </c>
      <c r="K321" s="1" t="s">
        <v>482</v>
      </c>
      <c r="L321" s="1" t="s">
        <v>1256</v>
      </c>
      <c r="M321" s="2">
        <v>44931</v>
      </c>
      <c r="N321" s="1">
        <v>2</v>
      </c>
      <c r="O321" s="2" t="s">
        <v>42</v>
      </c>
      <c r="P321" s="1" t="s">
        <v>44</v>
      </c>
      <c r="Q321" s="1" t="s">
        <v>899</v>
      </c>
      <c r="R321" s="1" t="s">
        <v>42</v>
      </c>
      <c r="S321" s="1" t="s">
        <v>156</v>
      </c>
      <c r="T321" s="1">
        <v>12</v>
      </c>
      <c r="U321" s="2">
        <v>44931</v>
      </c>
      <c r="V321" s="2">
        <v>45661</v>
      </c>
      <c r="W321" s="2" t="s">
        <v>42</v>
      </c>
      <c r="X321" s="1" t="s">
        <v>42</v>
      </c>
      <c r="Y321" s="2" t="s">
        <v>42</v>
      </c>
      <c r="Z321" s="1" t="s">
        <v>3279</v>
      </c>
      <c r="AA321" s="1" t="s">
        <v>3280</v>
      </c>
      <c r="AB321" s="1" t="s">
        <v>42</v>
      </c>
      <c r="AC321" s="1" t="s">
        <v>42</v>
      </c>
      <c r="AD321" s="1"/>
      <c r="AE321" s="1" t="s">
        <v>42</v>
      </c>
      <c r="AF321" s="1"/>
      <c r="AG321" s="2">
        <v>44938</v>
      </c>
      <c r="AH321" s="1" t="s">
        <v>2985</v>
      </c>
      <c r="AI321" s="1" t="s">
        <v>42</v>
      </c>
      <c r="AJ321" s="1"/>
      <c r="AK321" s="2" t="s">
        <v>42</v>
      </c>
      <c r="AL321" s="1" t="s">
        <v>2806</v>
      </c>
    </row>
    <row r="322" spans="1:38" ht="20.100000000000001" customHeight="1" x14ac:dyDescent="0.2">
      <c r="A322" s="3">
        <f t="shared" si="8"/>
        <v>319</v>
      </c>
      <c r="B322" s="1" t="s">
        <v>3281</v>
      </c>
      <c r="C322" s="1" t="s">
        <v>3282</v>
      </c>
      <c r="D322" s="1" t="s">
        <v>38</v>
      </c>
      <c r="E322" s="1" t="s">
        <v>54</v>
      </c>
      <c r="F322" s="1" t="s">
        <v>55</v>
      </c>
      <c r="G322" s="1" t="s">
        <v>3283</v>
      </c>
      <c r="H322" s="2">
        <v>45210</v>
      </c>
      <c r="I322" s="2">
        <v>35134</v>
      </c>
      <c r="J322" s="7">
        <f t="shared" ca="1" si="9"/>
        <v>27.654794520547945</v>
      </c>
      <c r="K322" s="1" t="s">
        <v>482</v>
      </c>
      <c r="L322" s="1" t="s">
        <v>1617</v>
      </c>
      <c r="M322" s="2">
        <v>44930</v>
      </c>
      <c r="N322" s="1">
        <v>2</v>
      </c>
      <c r="O322" s="2" t="s">
        <v>42</v>
      </c>
      <c r="P322" s="1" t="s">
        <v>44</v>
      </c>
      <c r="Q322" s="1" t="s">
        <v>744</v>
      </c>
      <c r="R322" s="1" t="s">
        <v>432</v>
      </c>
      <c r="S322" s="1" t="s">
        <v>47</v>
      </c>
      <c r="T322" s="1">
        <v>10</v>
      </c>
      <c r="U322" s="2">
        <v>44930</v>
      </c>
      <c r="V322" s="2">
        <v>45660</v>
      </c>
      <c r="W322" s="2">
        <v>45082</v>
      </c>
      <c r="X322" s="1" t="s">
        <v>42</v>
      </c>
      <c r="Y322" s="2" t="s">
        <v>42</v>
      </c>
      <c r="Z322" s="1" t="s">
        <v>3284</v>
      </c>
      <c r="AA322" s="1" t="s">
        <v>3285</v>
      </c>
      <c r="AB322" s="1" t="s">
        <v>3286</v>
      </c>
      <c r="AC322" s="1" t="s">
        <v>129</v>
      </c>
      <c r="AD322" s="1">
        <v>7009073037</v>
      </c>
      <c r="AE322" s="1" t="s">
        <v>103</v>
      </c>
      <c r="AF322" s="1"/>
      <c r="AG322" s="2">
        <v>45079</v>
      </c>
      <c r="AH322" s="1" t="s">
        <v>3287</v>
      </c>
      <c r="AI322" s="1" t="s">
        <v>42</v>
      </c>
      <c r="AJ322" s="1"/>
      <c r="AK322" s="2" t="s">
        <v>42</v>
      </c>
      <c r="AL322" s="1" t="s">
        <v>3287</v>
      </c>
    </row>
    <row r="323" spans="1:38" ht="20.100000000000001" customHeight="1" x14ac:dyDescent="0.2">
      <c r="A323" s="3">
        <f t="shared" si="8"/>
        <v>320</v>
      </c>
      <c r="B323" s="1" t="s">
        <v>1614</v>
      </c>
      <c r="C323" s="1" t="s">
        <v>1615</v>
      </c>
      <c r="D323" s="1" t="s">
        <v>38</v>
      </c>
      <c r="E323" s="1" t="s">
        <v>54</v>
      </c>
      <c r="F323" s="1" t="s">
        <v>55</v>
      </c>
      <c r="G323" s="1" t="s">
        <v>1616</v>
      </c>
      <c r="H323" s="2">
        <v>45295</v>
      </c>
      <c r="I323" s="2">
        <v>32924</v>
      </c>
      <c r="J323" s="7">
        <f t="shared" ca="1" si="9"/>
        <v>33.709589041095889</v>
      </c>
      <c r="K323" s="1" t="s">
        <v>133</v>
      </c>
      <c r="L323" s="1" t="s">
        <v>1617</v>
      </c>
      <c r="M323" s="2">
        <v>44931</v>
      </c>
      <c r="N323" s="1">
        <v>2</v>
      </c>
      <c r="O323" s="2" t="s">
        <v>42</v>
      </c>
      <c r="P323" s="1" t="s">
        <v>44</v>
      </c>
      <c r="Q323" s="1" t="s">
        <v>431</v>
      </c>
      <c r="R323" s="1" t="s">
        <v>432</v>
      </c>
      <c r="S323" s="1" t="s">
        <v>47</v>
      </c>
      <c r="T323" s="1">
        <v>10</v>
      </c>
      <c r="U323" s="2">
        <v>44931</v>
      </c>
      <c r="V323" s="2">
        <v>45661</v>
      </c>
      <c r="W323" s="2" t="s">
        <v>42</v>
      </c>
      <c r="X323" s="1" t="s">
        <v>42</v>
      </c>
      <c r="Y323" s="2" t="s">
        <v>42</v>
      </c>
      <c r="Z323" s="1" t="s">
        <v>1618</v>
      </c>
      <c r="AA323" s="1" t="s">
        <v>1619</v>
      </c>
      <c r="AB323" s="1" t="s">
        <v>1620</v>
      </c>
      <c r="AC323" s="1" t="s">
        <v>129</v>
      </c>
      <c r="AD323" s="1">
        <v>7009073037</v>
      </c>
      <c r="AE323" s="1" t="s">
        <v>103</v>
      </c>
      <c r="AF323" s="1" t="s">
        <v>436</v>
      </c>
      <c r="AG323" s="2" t="s">
        <v>42</v>
      </c>
      <c r="AH323" s="1"/>
      <c r="AI323" s="1" t="s">
        <v>42</v>
      </c>
      <c r="AJ323" s="1"/>
      <c r="AK323" s="2" t="s">
        <v>42</v>
      </c>
      <c r="AL323" s="1" t="s">
        <v>3507</v>
      </c>
    </row>
    <row r="324" spans="1:38" ht="20.100000000000001" customHeight="1" x14ac:dyDescent="0.2">
      <c r="A324" s="3">
        <f t="shared" ref="A324:A387" si="10">ROW()-3</f>
        <v>321</v>
      </c>
      <c r="B324" s="1" t="s">
        <v>1621</v>
      </c>
      <c r="C324" s="1" t="s">
        <v>1622</v>
      </c>
      <c r="D324" s="1" t="s">
        <v>38</v>
      </c>
      <c r="E324" s="1" t="s">
        <v>54</v>
      </c>
      <c r="F324" s="1" t="s">
        <v>55</v>
      </c>
      <c r="G324" s="1" t="s">
        <v>1623</v>
      </c>
      <c r="H324" s="2">
        <v>45468</v>
      </c>
      <c r="I324" s="2">
        <v>36373</v>
      </c>
      <c r="J324" s="7">
        <f t="shared" ca="1" si="9"/>
        <v>24.260273972602739</v>
      </c>
      <c r="K324" s="1" t="s">
        <v>133</v>
      </c>
      <c r="L324" s="1" t="s">
        <v>1617</v>
      </c>
      <c r="M324" s="2">
        <v>44932</v>
      </c>
      <c r="N324" s="1">
        <v>2</v>
      </c>
      <c r="O324" s="2" t="s">
        <v>42</v>
      </c>
      <c r="P324" s="1" t="s">
        <v>44</v>
      </c>
      <c r="Q324" s="1" t="s">
        <v>431</v>
      </c>
      <c r="R324" s="1" t="s">
        <v>432</v>
      </c>
      <c r="S324" s="1" t="s">
        <v>47</v>
      </c>
      <c r="T324" s="1">
        <v>10</v>
      </c>
      <c r="U324" s="2">
        <v>44932</v>
      </c>
      <c r="V324" s="2">
        <v>45662</v>
      </c>
      <c r="W324" s="2">
        <v>45281</v>
      </c>
      <c r="X324" s="1" t="s">
        <v>42</v>
      </c>
      <c r="Y324" s="2" t="s">
        <v>42</v>
      </c>
      <c r="Z324" s="1" t="s">
        <v>1624</v>
      </c>
      <c r="AA324" s="1" t="s">
        <v>1625</v>
      </c>
      <c r="AB324" s="1" t="s">
        <v>1626</v>
      </c>
      <c r="AC324" s="1" t="s">
        <v>129</v>
      </c>
      <c r="AD324" s="1">
        <v>7009073037</v>
      </c>
      <c r="AE324" s="1" t="s">
        <v>103</v>
      </c>
      <c r="AF324" s="1" t="s">
        <v>436</v>
      </c>
      <c r="AG324" s="2" t="s">
        <v>42</v>
      </c>
      <c r="AH324" s="1"/>
      <c r="AI324" s="1" t="s">
        <v>42</v>
      </c>
      <c r="AJ324" s="1"/>
      <c r="AK324" s="2" t="s">
        <v>42</v>
      </c>
      <c r="AL324" s="1" t="s">
        <v>3507</v>
      </c>
    </row>
    <row r="325" spans="1:38" ht="20.100000000000001" customHeight="1" x14ac:dyDescent="0.2">
      <c r="A325" s="3">
        <f t="shared" si="10"/>
        <v>322</v>
      </c>
      <c r="B325" s="1" t="s">
        <v>3288</v>
      </c>
      <c r="C325" s="1" t="s">
        <v>3289</v>
      </c>
      <c r="D325" s="1" t="s">
        <v>121</v>
      </c>
      <c r="E325" s="1" t="s">
        <v>39</v>
      </c>
      <c r="F325" s="1"/>
      <c r="G325" s="1" t="s">
        <v>3290</v>
      </c>
      <c r="H325" s="2">
        <v>44957</v>
      </c>
      <c r="I325" s="2">
        <v>33506</v>
      </c>
      <c r="J325" s="7">
        <f t="shared" ref="J325:J388" ca="1" si="11">($H$1-I325)/365</f>
        <v>32.115068493150687</v>
      </c>
      <c r="K325" s="1" t="s">
        <v>42</v>
      </c>
      <c r="L325" s="1" t="s">
        <v>211</v>
      </c>
      <c r="M325" s="2">
        <v>44923</v>
      </c>
      <c r="N325" s="1">
        <v>2</v>
      </c>
      <c r="O325" s="2" t="s">
        <v>42</v>
      </c>
      <c r="P325" s="1" t="s">
        <v>44</v>
      </c>
      <c r="Q325" s="1" t="s">
        <v>203</v>
      </c>
      <c r="R325" s="1" t="s">
        <v>42</v>
      </c>
      <c r="S325" s="1" t="s">
        <v>47</v>
      </c>
      <c r="T325" s="1">
        <v>8</v>
      </c>
      <c r="U325" s="2" t="s">
        <v>42</v>
      </c>
      <c r="V325" s="2" t="s">
        <v>42</v>
      </c>
      <c r="W325" s="2" t="s">
        <v>42</v>
      </c>
      <c r="X325" s="1" t="s">
        <v>42</v>
      </c>
      <c r="Y325" s="2" t="s">
        <v>42</v>
      </c>
      <c r="Z325" s="1" t="s">
        <v>3291</v>
      </c>
      <c r="AA325" s="1" t="s">
        <v>42</v>
      </c>
      <c r="AB325" s="1" t="s">
        <v>3292</v>
      </c>
      <c r="AC325" s="1" t="s">
        <v>50</v>
      </c>
      <c r="AD325" s="1">
        <v>7014477116</v>
      </c>
      <c r="AE325" s="1" t="s">
        <v>65</v>
      </c>
      <c r="AF325" s="1"/>
      <c r="AG325" s="2">
        <v>44928</v>
      </c>
      <c r="AH325" s="1" t="s">
        <v>2812</v>
      </c>
      <c r="AI325" s="1" t="s">
        <v>42</v>
      </c>
      <c r="AJ325" s="1"/>
      <c r="AK325" s="2" t="s">
        <v>42</v>
      </c>
      <c r="AL325" s="1" t="s">
        <v>2806</v>
      </c>
    </row>
    <row r="326" spans="1:38" ht="20.100000000000001" customHeight="1" x14ac:dyDescent="0.2">
      <c r="A326" s="3">
        <f t="shared" si="10"/>
        <v>323</v>
      </c>
      <c r="B326" s="1" t="s">
        <v>1627</v>
      </c>
      <c r="C326" s="1" t="s">
        <v>1628</v>
      </c>
      <c r="D326" s="1" t="s">
        <v>121</v>
      </c>
      <c r="E326" s="1" t="s">
        <v>39</v>
      </c>
      <c r="F326" s="1" t="s">
        <v>40</v>
      </c>
      <c r="G326" s="1" t="s">
        <v>1629</v>
      </c>
      <c r="H326" s="2">
        <v>46345</v>
      </c>
      <c r="I326" s="2">
        <v>35693</v>
      </c>
      <c r="J326" s="7">
        <f t="shared" ca="1" si="11"/>
        <v>26.123287671232877</v>
      </c>
      <c r="K326" s="1" t="s">
        <v>42</v>
      </c>
      <c r="L326" s="1" t="s">
        <v>211</v>
      </c>
      <c r="M326" s="2">
        <v>44928</v>
      </c>
      <c r="N326" s="1">
        <v>2</v>
      </c>
      <c r="O326" s="2" t="s">
        <v>42</v>
      </c>
      <c r="P326" s="1" t="s">
        <v>44</v>
      </c>
      <c r="Q326" s="1" t="s">
        <v>203</v>
      </c>
      <c r="R326" s="1" t="s">
        <v>60</v>
      </c>
      <c r="S326" s="1" t="s">
        <v>47</v>
      </c>
      <c r="T326" s="1">
        <v>8</v>
      </c>
      <c r="U326" s="2">
        <v>44928</v>
      </c>
      <c r="V326" s="2">
        <v>45293</v>
      </c>
      <c r="W326" s="2" t="s">
        <v>42</v>
      </c>
      <c r="X326" s="1" t="s">
        <v>42</v>
      </c>
      <c r="Y326" s="2" t="s">
        <v>42</v>
      </c>
      <c r="Z326" s="1" t="s">
        <v>1630</v>
      </c>
      <c r="AA326" s="1" t="s">
        <v>1631</v>
      </c>
      <c r="AB326" s="1" t="s">
        <v>1632</v>
      </c>
      <c r="AC326" s="1" t="s">
        <v>129</v>
      </c>
      <c r="AD326" s="1">
        <v>7014477116</v>
      </c>
      <c r="AE326" s="1" t="s">
        <v>65</v>
      </c>
      <c r="AF326" s="1" t="s">
        <v>66</v>
      </c>
      <c r="AG326" s="2" t="s">
        <v>42</v>
      </c>
      <c r="AH326" s="1"/>
      <c r="AI326" s="1" t="s">
        <v>42</v>
      </c>
      <c r="AJ326" s="1"/>
      <c r="AK326" s="2" t="s">
        <v>42</v>
      </c>
      <c r="AL326" s="1" t="s">
        <v>3507</v>
      </c>
    </row>
    <row r="327" spans="1:38" ht="20.100000000000001" customHeight="1" x14ac:dyDescent="0.2">
      <c r="A327" s="3">
        <f t="shared" si="10"/>
        <v>324</v>
      </c>
      <c r="B327" s="1" t="s">
        <v>1633</v>
      </c>
      <c r="C327" s="1" t="s">
        <v>1634</v>
      </c>
      <c r="D327" s="1" t="s">
        <v>38</v>
      </c>
      <c r="E327" s="1" t="s">
        <v>163</v>
      </c>
      <c r="F327" s="1" t="s">
        <v>55</v>
      </c>
      <c r="G327" s="1" t="s">
        <v>1635</v>
      </c>
      <c r="H327" s="2">
        <v>45384</v>
      </c>
      <c r="I327" s="2">
        <v>29905</v>
      </c>
      <c r="J327" s="7">
        <f t="shared" ca="1" si="11"/>
        <v>41.980821917808221</v>
      </c>
      <c r="K327" s="1" t="s">
        <v>57</v>
      </c>
      <c r="L327" s="1" t="s">
        <v>42</v>
      </c>
      <c r="M327" s="2" t="s">
        <v>42</v>
      </c>
      <c r="N327" s="1">
        <v>2</v>
      </c>
      <c r="O327" s="2" t="s">
        <v>42</v>
      </c>
      <c r="P327" s="1" t="s">
        <v>44</v>
      </c>
      <c r="Q327" s="1" t="s">
        <v>107</v>
      </c>
      <c r="R327" s="1" t="s">
        <v>60</v>
      </c>
      <c r="S327" s="1" t="s">
        <v>47</v>
      </c>
      <c r="T327" s="1" t="s">
        <v>42</v>
      </c>
      <c r="U327" s="2" t="s">
        <v>42</v>
      </c>
      <c r="V327" s="2" t="s">
        <v>42</v>
      </c>
      <c r="W327" s="2" t="s">
        <v>42</v>
      </c>
      <c r="X327" s="1" t="s">
        <v>42</v>
      </c>
      <c r="Y327" s="2" t="s">
        <v>42</v>
      </c>
      <c r="Z327" s="1" t="s">
        <v>42</v>
      </c>
      <c r="AA327" s="1" t="s">
        <v>42</v>
      </c>
      <c r="AB327" s="1" t="s">
        <v>1636</v>
      </c>
      <c r="AC327" s="1" t="s">
        <v>129</v>
      </c>
      <c r="AD327" s="1">
        <v>7015572543</v>
      </c>
      <c r="AE327" s="1" t="s">
        <v>3506</v>
      </c>
      <c r="AF327" s="1" t="s">
        <v>66</v>
      </c>
      <c r="AG327" s="2" t="s">
        <v>42</v>
      </c>
      <c r="AH327" s="1"/>
      <c r="AI327" s="1" t="s">
        <v>42</v>
      </c>
      <c r="AJ327" s="1"/>
      <c r="AK327" s="2" t="s">
        <v>42</v>
      </c>
      <c r="AL327" s="1" t="s">
        <v>3507</v>
      </c>
    </row>
    <row r="328" spans="1:38" ht="20.100000000000001" customHeight="1" x14ac:dyDescent="0.2">
      <c r="A328" s="3">
        <f t="shared" si="10"/>
        <v>325</v>
      </c>
      <c r="B328" s="1" t="s">
        <v>1637</v>
      </c>
      <c r="C328" s="1" t="s">
        <v>1638</v>
      </c>
      <c r="D328" s="1" t="s">
        <v>38</v>
      </c>
      <c r="E328" s="1" t="s">
        <v>150</v>
      </c>
      <c r="F328" s="1" t="s">
        <v>70</v>
      </c>
      <c r="G328" s="1" t="s">
        <v>1639</v>
      </c>
      <c r="H328" s="2">
        <v>45521</v>
      </c>
      <c r="I328" s="2">
        <v>27931</v>
      </c>
      <c r="J328" s="7">
        <f t="shared" ca="1" si="11"/>
        <v>47.389041095890413</v>
      </c>
      <c r="K328" s="1" t="s">
        <v>80</v>
      </c>
      <c r="L328" s="1" t="s">
        <v>80</v>
      </c>
      <c r="M328" s="2">
        <v>44935</v>
      </c>
      <c r="N328" s="1">
        <v>2</v>
      </c>
      <c r="O328" s="2" t="s">
        <v>42</v>
      </c>
      <c r="P328" s="1" t="s">
        <v>44</v>
      </c>
      <c r="Q328" s="1" t="s">
        <v>222</v>
      </c>
      <c r="R328" s="1" t="s">
        <v>60</v>
      </c>
      <c r="S328" s="1" t="s">
        <v>47</v>
      </c>
      <c r="T328" s="1">
        <v>10</v>
      </c>
      <c r="U328" s="2">
        <v>44935</v>
      </c>
      <c r="V328" s="2">
        <v>45665</v>
      </c>
      <c r="W328" s="2" t="s">
        <v>42</v>
      </c>
      <c r="X328" s="1" t="s">
        <v>42</v>
      </c>
      <c r="Y328" s="2" t="s">
        <v>42</v>
      </c>
      <c r="Z328" s="1" t="s">
        <v>1640</v>
      </c>
      <c r="AA328" s="1" t="s">
        <v>1641</v>
      </c>
      <c r="AB328" s="1" t="s">
        <v>1642</v>
      </c>
      <c r="AC328" s="1" t="s">
        <v>50</v>
      </c>
      <c r="AD328" s="1">
        <v>7026482336</v>
      </c>
      <c r="AE328" s="1" t="s">
        <v>903</v>
      </c>
      <c r="AF328" s="1" t="s">
        <v>227</v>
      </c>
      <c r="AG328" s="2" t="s">
        <v>42</v>
      </c>
      <c r="AH328" s="1"/>
      <c r="AI328" s="1" t="s">
        <v>42</v>
      </c>
      <c r="AJ328" s="1"/>
      <c r="AK328" s="2" t="s">
        <v>42</v>
      </c>
      <c r="AL328" s="1" t="s">
        <v>3507</v>
      </c>
    </row>
    <row r="329" spans="1:38" ht="20.100000000000001" customHeight="1" x14ac:dyDescent="0.2">
      <c r="A329" s="3">
        <f t="shared" si="10"/>
        <v>326</v>
      </c>
      <c r="B329" s="1" t="s">
        <v>1643</v>
      </c>
      <c r="C329" s="1" t="s">
        <v>1644</v>
      </c>
      <c r="D329" s="1" t="s">
        <v>38</v>
      </c>
      <c r="E329" s="1" t="s">
        <v>54</v>
      </c>
      <c r="F329" s="1" t="s">
        <v>55</v>
      </c>
      <c r="G329" s="1" t="s">
        <v>1645</v>
      </c>
      <c r="H329" s="2">
        <v>45380</v>
      </c>
      <c r="I329" s="2">
        <v>37147</v>
      </c>
      <c r="J329" s="7">
        <f t="shared" ca="1" si="11"/>
        <v>22.139726027397259</v>
      </c>
      <c r="K329" s="1" t="s">
        <v>1067</v>
      </c>
      <c r="L329" s="1" t="s">
        <v>42</v>
      </c>
      <c r="M329" s="2">
        <v>44935</v>
      </c>
      <c r="N329" s="1">
        <v>2</v>
      </c>
      <c r="O329" s="2" t="s">
        <v>42</v>
      </c>
      <c r="P329" s="1" t="s">
        <v>44</v>
      </c>
      <c r="Q329" s="1" t="s">
        <v>154</v>
      </c>
      <c r="R329" s="1" t="s">
        <v>432</v>
      </c>
      <c r="S329" s="1" t="s">
        <v>47</v>
      </c>
      <c r="T329" s="1">
        <v>10</v>
      </c>
      <c r="U329" s="2" t="s">
        <v>42</v>
      </c>
      <c r="V329" s="2" t="s">
        <v>42</v>
      </c>
      <c r="W329" s="2" t="s">
        <v>42</v>
      </c>
      <c r="X329" s="1" t="s">
        <v>42</v>
      </c>
      <c r="Y329" s="2" t="s">
        <v>42</v>
      </c>
      <c r="Z329" s="1" t="s">
        <v>1646</v>
      </c>
      <c r="AA329" s="1" t="s">
        <v>1647</v>
      </c>
      <c r="AB329" s="1" t="s">
        <v>1648</v>
      </c>
      <c r="AC329" s="1" t="s">
        <v>266</v>
      </c>
      <c r="AD329" s="1">
        <v>7009073037</v>
      </c>
      <c r="AE329" s="1" t="s">
        <v>103</v>
      </c>
      <c r="AF329" s="1"/>
      <c r="AG329" s="2" t="s">
        <v>42</v>
      </c>
      <c r="AH329" s="1"/>
      <c r="AI329" s="1" t="s">
        <v>42</v>
      </c>
      <c r="AJ329" s="1"/>
      <c r="AK329" s="2" t="s">
        <v>42</v>
      </c>
      <c r="AL329" s="1" t="s">
        <v>3507</v>
      </c>
    </row>
    <row r="330" spans="1:38" ht="20.100000000000001" customHeight="1" x14ac:dyDescent="0.2">
      <c r="A330" s="3">
        <f t="shared" si="10"/>
        <v>327</v>
      </c>
      <c r="B330" s="1" t="s">
        <v>1649</v>
      </c>
      <c r="C330" s="1" t="s">
        <v>1650</v>
      </c>
      <c r="D330" s="1" t="s">
        <v>38</v>
      </c>
      <c r="E330" s="1" t="s">
        <v>54</v>
      </c>
      <c r="F330" s="1" t="s">
        <v>55</v>
      </c>
      <c r="G330" s="1" t="s">
        <v>1651</v>
      </c>
      <c r="H330" s="2">
        <v>45380</v>
      </c>
      <c r="I330" s="2">
        <v>33368</v>
      </c>
      <c r="J330" s="7">
        <f t="shared" ca="1" si="11"/>
        <v>32.493150684931507</v>
      </c>
      <c r="K330" s="1" t="s">
        <v>1652</v>
      </c>
      <c r="L330" s="1" t="s">
        <v>42</v>
      </c>
      <c r="M330" s="2">
        <v>44935</v>
      </c>
      <c r="N330" s="1">
        <v>2</v>
      </c>
      <c r="O330" s="2" t="s">
        <v>42</v>
      </c>
      <c r="P330" s="1" t="s">
        <v>44</v>
      </c>
      <c r="Q330" s="1" t="s">
        <v>431</v>
      </c>
      <c r="R330" s="1" t="s">
        <v>432</v>
      </c>
      <c r="S330" s="1" t="s">
        <v>47</v>
      </c>
      <c r="T330" s="1">
        <v>10</v>
      </c>
      <c r="U330" s="2" t="s">
        <v>42</v>
      </c>
      <c r="V330" s="2" t="s">
        <v>42</v>
      </c>
      <c r="W330" s="2" t="s">
        <v>42</v>
      </c>
      <c r="X330" s="1" t="s">
        <v>42</v>
      </c>
      <c r="Y330" s="2" t="s">
        <v>42</v>
      </c>
      <c r="Z330" s="1" t="s">
        <v>1653</v>
      </c>
      <c r="AA330" s="1" t="s">
        <v>1654</v>
      </c>
      <c r="AB330" s="1" t="s">
        <v>1655</v>
      </c>
      <c r="AC330" s="1" t="s">
        <v>266</v>
      </c>
      <c r="AD330" s="1">
        <v>7009073037</v>
      </c>
      <c r="AE330" s="1" t="s">
        <v>103</v>
      </c>
      <c r="AF330" s="1" t="s">
        <v>436</v>
      </c>
      <c r="AG330" s="2" t="s">
        <v>42</v>
      </c>
      <c r="AH330" s="1"/>
      <c r="AI330" s="1" t="s">
        <v>42</v>
      </c>
      <c r="AJ330" s="1"/>
      <c r="AK330" s="2" t="s">
        <v>42</v>
      </c>
      <c r="AL330" s="1" t="s">
        <v>3507</v>
      </c>
    </row>
    <row r="331" spans="1:38" ht="20.100000000000001" customHeight="1" x14ac:dyDescent="0.2">
      <c r="A331" s="3">
        <f t="shared" si="10"/>
        <v>328</v>
      </c>
      <c r="B331" s="1" t="s">
        <v>1656</v>
      </c>
      <c r="C331" s="1" t="s">
        <v>1657</v>
      </c>
      <c r="D331" s="1" t="s">
        <v>38</v>
      </c>
      <c r="E331" s="1" t="s">
        <v>54</v>
      </c>
      <c r="F331" s="1" t="s">
        <v>55</v>
      </c>
      <c r="G331" s="1" t="s">
        <v>1658</v>
      </c>
      <c r="H331" s="2">
        <v>45353</v>
      </c>
      <c r="I331" s="2">
        <v>35627</v>
      </c>
      <c r="J331" s="7">
        <f t="shared" ca="1" si="11"/>
        <v>26.304109589041097</v>
      </c>
      <c r="K331" s="1" t="s">
        <v>1659</v>
      </c>
      <c r="L331" s="1" t="s">
        <v>42</v>
      </c>
      <c r="M331" s="2">
        <v>44936</v>
      </c>
      <c r="N331" s="1">
        <v>2</v>
      </c>
      <c r="O331" s="2" t="s">
        <v>42</v>
      </c>
      <c r="P331" s="1" t="s">
        <v>44</v>
      </c>
      <c r="Q331" s="1" t="s">
        <v>431</v>
      </c>
      <c r="R331" s="1" t="s">
        <v>432</v>
      </c>
      <c r="S331" s="1" t="s">
        <v>47</v>
      </c>
      <c r="T331" s="1">
        <v>10</v>
      </c>
      <c r="U331" s="2" t="s">
        <v>42</v>
      </c>
      <c r="V331" s="2" t="s">
        <v>42</v>
      </c>
      <c r="W331" s="2" t="s">
        <v>42</v>
      </c>
      <c r="X331" s="1" t="s">
        <v>42</v>
      </c>
      <c r="Y331" s="2" t="s">
        <v>42</v>
      </c>
      <c r="Z331" s="1" t="s">
        <v>1660</v>
      </c>
      <c r="AA331" s="1" t="s">
        <v>1661</v>
      </c>
      <c r="AB331" s="1" t="s">
        <v>1662</v>
      </c>
      <c r="AC331" s="1" t="s">
        <v>266</v>
      </c>
      <c r="AD331" s="1">
        <v>7009073037</v>
      </c>
      <c r="AE331" s="1" t="s">
        <v>103</v>
      </c>
      <c r="AF331" s="1" t="s">
        <v>436</v>
      </c>
      <c r="AG331" s="2" t="s">
        <v>42</v>
      </c>
      <c r="AH331" s="1"/>
      <c r="AI331" s="1" t="s">
        <v>42</v>
      </c>
      <c r="AJ331" s="1"/>
      <c r="AK331" s="2" t="s">
        <v>42</v>
      </c>
      <c r="AL331" s="1" t="s">
        <v>3507</v>
      </c>
    </row>
    <row r="332" spans="1:38" ht="20.100000000000001" customHeight="1" x14ac:dyDescent="0.2">
      <c r="A332" s="3">
        <f t="shared" si="10"/>
        <v>329</v>
      </c>
      <c r="B332" s="1" t="s">
        <v>3293</v>
      </c>
      <c r="C332" s="1" t="s">
        <v>3294</v>
      </c>
      <c r="D332" s="1" t="s">
        <v>38</v>
      </c>
      <c r="E332" s="1" t="s">
        <v>54</v>
      </c>
      <c r="F332" s="1"/>
      <c r="G332" s="1" t="s">
        <v>3295</v>
      </c>
      <c r="H332" s="2">
        <v>44986</v>
      </c>
      <c r="I332" s="2">
        <v>34166</v>
      </c>
      <c r="J332" s="7">
        <f t="shared" ca="1" si="11"/>
        <v>30.306849315068494</v>
      </c>
      <c r="K332" s="1" t="s">
        <v>1659</v>
      </c>
      <c r="L332" s="1" t="s">
        <v>1083</v>
      </c>
      <c r="M332" s="2">
        <v>44937</v>
      </c>
      <c r="N332" s="1">
        <v>2</v>
      </c>
      <c r="O332" s="2" t="s">
        <v>42</v>
      </c>
      <c r="P332" s="1" t="s">
        <v>44</v>
      </c>
      <c r="Q332" s="1" t="s">
        <v>431</v>
      </c>
      <c r="R332" s="1" t="s">
        <v>42</v>
      </c>
      <c r="S332" s="1" t="s">
        <v>156</v>
      </c>
      <c r="T332" s="1">
        <v>10</v>
      </c>
      <c r="U332" s="2">
        <v>44937</v>
      </c>
      <c r="V332" s="2">
        <v>45667</v>
      </c>
      <c r="W332" s="2" t="s">
        <v>42</v>
      </c>
      <c r="X332" s="1" t="s">
        <v>42</v>
      </c>
      <c r="Y332" s="2" t="s">
        <v>42</v>
      </c>
      <c r="Z332" s="1" t="s">
        <v>3296</v>
      </c>
      <c r="AA332" s="1" t="s">
        <v>3297</v>
      </c>
      <c r="AB332" s="1" t="s">
        <v>42</v>
      </c>
      <c r="AC332" s="1" t="s">
        <v>42</v>
      </c>
      <c r="AD332" s="1"/>
      <c r="AE332" s="1" t="s">
        <v>42</v>
      </c>
      <c r="AF332" s="1"/>
      <c r="AG332" s="2">
        <v>44940</v>
      </c>
      <c r="AH332" s="1" t="s">
        <v>2985</v>
      </c>
      <c r="AI332" s="1" t="s">
        <v>42</v>
      </c>
      <c r="AJ332" s="1"/>
      <c r="AK332" s="2" t="s">
        <v>42</v>
      </c>
      <c r="AL332" s="1" t="s">
        <v>2806</v>
      </c>
    </row>
    <row r="333" spans="1:38" ht="20.100000000000001" customHeight="1" x14ac:dyDescent="0.2">
      <c r="A333" s="3">
        <f t="shared" si="10"/>
        <v>330</v>
      </c>
      <c r="B333" s="1" t="s">
        <v>1663</v>
      </c>
      <c r="C333" s="1" t="s">
        <v>1664</v>
      </c>
      <c r="D333" s="1" t="s">
        <v>38</v>
      </c>
      <c r="E333" s="1" t="s">
        <v>54</v>
      </c>
      <c r="F333" s="1" t="s">
        <v>55</v>
      </c>
      <c r="G333" s="1" t="s">
        <v>1665</v>
      </c>
      <c r="H333" s="2">
        <v>45337</v>
      </c>
      <c r="I333" s="2">
        <v>35980</v>
      </c>
      <c r="J333" s="7">
        <f t="shared" ca="1" si="11"/>
        <v>25.336986301369862</v>
      </c>
      <c r="K333" s="1" t="s">
        <v>133</v>
      </c>
      <c r="L333" s="1" t="s">
        <v>432</v>
      </c>
      <c r="M333" s="2">
        <v>44937</v>
      </c>
      <c r="N333" s="1">
        <v>2</v>
      </c>
      <c r="O333" s="2" t="s">
        <v>42</v>
      </c>
      <c r="P333" s="1" t="s">
        <v>44</v>
      </c>
      <c r="Q333" s="1" t="s">
        <v>431</v>
      </c>
      <c r="R333" s="1" t="s">
        <v>432</v>
      </c>
      <c r="S333" s="1" t="s">
        <v>47</v>
      </c>
      <c r="T333" s="1">
        <v>10</v>
      </c>
      <c r="U333" s="2" t="s">
        <v>42</v>
      </c>
      <c r="V333" s="2" t="s">
        <v>42</v>
      </c>
      <c r="W333" s="2" t="s">
        <v>42</v>
      </c>
      <c r="X333" s="1" t="s">
        <v>42</v>
      </c>
      <c r="Y333" s="2" t="s">
        <v>42</v>
      </c>
      <c r="Z333" s="1" t="s">
        <v>1666</v>
      </c>
      <c r="AA333" s="1" t="s">
        <v>1667</v>
      </c>
      <c r="AB333" s="1" t="s">
        <v>1668</v>
      </c>
      <c r="AC333" s="1" t="s">
        <v>129</v>
      </c>
      <c r="AD333" s="1">
        <v>7009073037</v>
      </c>
      <c r="AE333" s="1" t="s">
        <v>103</v>
      </c>
      <c r="AF333" s="1" t="s">
        <v>436</v>
      </c>
      <c r="AG333" s="2" t="s">
        <v>42</v>
      </c>
      <c r="AH333" s="1"/>
      <c r="AI333" s="1" t="s">
        <v>42</v>
      </c>
      <c r="AJ333" s="1"/>
      <c r="AK333" s="2" t="s">
        <v>42</v>
      </c>
      <c r="AL333" s="1" t="s">
        <v>3507</v>
      </c>
    </row>
    <row r="334" spans="1:38" ht="20.100000000000001" customHeight="1" x14ac:dyDescent="0.2">
      <c r="A334" s="3">
        <f t="shared" si="10"/>
        <v>331</v>
      </c>
      <c r="B334" s="1" t="s">
        <v>1669</v>
      </c>
      <c r="C334" s="1" t="s">
        <v>1670</v>
      </c>
      <c r="D334" s="1" t="s">
        <v>38</v>
      </c>
      <c r="E334" s="1" t="s">
        <v>54</v>
      </c>
      <c r="F334" s="1" t="s">
        <v>55</v>
      </c>
      <c r="G334" s="1" t="s">
        <v>1671</v>
      </c>
      <c r="H334" s="2">
        <v>45320</v>
      </c>
      <c r="I334" s="2">
        <v>33270</v>
      </c>
      <c r="J334" s="7">
        <f t="shared" ca="1" si="11"/>
        <v>32.761643835616439</v>
      </c>
      <c r="K334" s="1" t="s">
        <v>1659</v>
      </c>
      <c r="L334" s="1" t="s">
        <v>1672</v>
      </c>
      <c r="M334" s="2">
        <v>44939</v>
      </c>
      <c r="N334" s="1">
        <v>2</v>
      </c>
      <c r="O334" s="2" t="s">
        <v>42</v>
      </c>
      <c r="P334" s="1" t="s">
        <v>44</v>
      </c>
      <c r="Q334" s="1" t="s">
        <v>292</v>
      </c>
      <c r="R334" s="1" t="s">
        <v>42</v>
      </c>
      <c r="S334" s="1" t="s">
        <v>47</v>
      </c>
      <c r="T334" s="1">
        <v>10</v>
      </c>
      <c r="U334" s="2">
        <v>44939</v>
      </c>
      <c r="V334" s="2">
        <v>45669</v>
      </c>
      <c r="W334" s="2">
        <v>45284</v>
      </c>
      <c r="X334" s="1" t="s">
        <v>42</v>
      </c>
      <c r="Y334" s="2" t="s">
        <v>42</v>
      </c>
      <c r="Z334" s="1" t="s">
        <v>1673</v>
      </c>
      <c r="AA334" s="1" t="s">
        <v>1674</v>
      </c>
      <c r="AB334" s="1" t="s">
        <v>1675</v>
      </c>
      <c r="AC334" s="1" t="s">
        <v>266</v>
      </c>
      <c r="AD334" s="1">
        <v>7009073037</v>
      </c>
      <c r="AE334" s="1" t="s">
        <v>103</v>
      </c>
      <c r="AF334" s="1" t="s">
        <v>66</v>
      </c>
      <c r="AG334" s="2" t="s">
        <v>42</v>
      </c>
      <c r="AH334" s="1"/>
      <c r="AI334" s="1" t="s">
        <v>42</v>
      </c>
      <c r="AJ334" s="1"/>
      <c r="AK334" s="2" t="s">
        <v>42</v>
      </c>
      <c r="AL334" s="1" t="s">
        <v>3507</v>
      </c>
    </row>
    <row r="335" spans="1:38" ht="20.100000000000001" customHeight="1" x14ac:dyDescent="0.2">
      <c r="A335" s="3">
        <f t="shared" si="10"/>
        <v>332</v>
      </c>
      <c r="B335" s="1" t="s">
        <v>1676</v>
      </c>
      <c r="C335" s="1" t="s">
        <v>1677</v>
      </c>
      <c r="D335" s="1" t="s">
        <v>121</v>
      </c>
      <c r="E335" s="1" t="s">
        <v>39</v>
      </c>
      <c r="F335" s="1" t="s">
        <v>40</v>
      </c>
      <c r="G335" s="1" t="s">
        <v>1678</v>
      </c>
      <c r="H335" s="2" t="s">
        <v>42</v>
      </c>
      <c r="I335" s="2">
        <v>31838</v>
      </c>
      <c r="J335" s="7">
        <f t="shared" ca="1" si="11"/>
        <v>36.684931506849317</v>
      </c>
      <c r="K335" s="1" t="s">
        <v>42</v>
      </c>
      <c r="L335" s="1" t="s">
        <v>1679</v>
      </c>
      <c r="M335" s="2">
        <v>44941</v>
      </c>
      <c r="N335" s="1">
        <v>2</v>
      </c>
      <c r="O335" s="2" t="s">
        <v>42</v>
      </c>
      <c r="P335" s="1" t="s">
        <v>44</v>
      </c>
      <c r="Q335" s="1" t="s">
        <v>178</v>
      </c>
      <c r="R335" s="1" t="s">
        <v>179</v>
      </c>
      <c r="S335" s="1" t="s">
        <v>156</v>
      </c>
      <c r="T335" s="1">
        <v>8</v>
      </c>
      <c r="U335" s="2">
        <v>44941</v>
      </c>
      <c r="V335" s="2">
        <v>45305</v>
      </c>
      <c r="W335" s="2" t="s">
        <v>42</v>
      </c>
      <c r="X335" s="1" t="s">
        <v>42</v>
      </c>
      <c r="Y335" s="2" t="s">
        <v>42</v>
      </c>
      <c r="Z335" s="1" t="s">
        <v>1680</v>
      </c>
      <c r="AA335" s="1" t="s">
        <v>1681</v>
      </c>
      <c r="AB335" s="1" t="s">
        <v>1682</v>
      </c>
      <c r="AC335" s="1" t="s">
        <v>617</v>
      </c>
      <c r="AD335" s="1"/>
      <c r="AE335" s="1" t="s">
        <v>788</v>
      </c>
      <c r="AF335" s="1"/>
      <c r="AG335" s="2" t="s">
        <v>42</v>
      </c>
      <c r="AH335" s="1"/>
      <c r="AI335" s="1" t="s">
        <v>42</v>
      </c>
      <c r="AJ335" s="1"/>
      <c r="AK335" s="2" t="s">
        <v>42</v>
      </c>
      <c r="AL335" s="1" t="s">
        <v>3507</v>
      </c>
    </row>
    <row r="336" spans="1:38" ht="20.100000000000001" customHeight="1" x14ac:dyDescent="0.2">
      <c r="A336" s="3">
        <f t="shared" si="10"/>
        <v>333</v>
      </c>
      <c r="B336" s="1" t="s">
        <v>1683</v>
      </c>
      <c r="C336" s="1" t="s">
        <v>1684</v>
      </c>
      <c r="D336" s="1" t="s">
        <v>121</v>
      </c>
      <c r="E336" s="1" t="s">
        <v>39</v>
      </c>
      <c r="F336" s="1" t="s">
        <v>40</v>
      </c>
      <c r="G336" s="1" t="s">
        <v>1685</v>
      </c>
      <c r="H336" s="2">
        <v>46822</v>
      </c>
      <c r="I336" s="2">
        <v>36545</v>
      </c>
      <c r="J336" s="7">
        <f t="shared" ca="1" si="11"/>
        <v>23.789041095890411</v>
      </c>
      <c r="K336" s="1" t="s">
        <v>42</v>
      </c>
      <c r="L336" s="1" t="s">
        <v>1686</v>
      </c>
      <c r="M336" s="2">
        <v>44941</v>
      </c>
      <c r="N336" s="1">
        <v>2</v>
      </c>
      <c r="O336" s="2" t="s">
        <v>42</v>
      </c>
      <c r="P336" s="1" t="s">
        <v>44</v>
      </c>
      <c r="Q336" s="1" t="s">
        <v>178</v>
      </c>
      <c r="R336" s="1" t="s">
        <v>179</v>
      </c>
      <c r="S336" s="1" t="s">
        <v>47</v>
      </c>
      <c r="T336" s="1">
        <v>8</v>
      </c>
      <c r="U336" s="2">
        <v>44941</v>
      </c>
      <c r="V336" s="2">
        <v>45305</v>
      </c>
      <c r="W336" s="2" t="s">
        <v>42</v>
      </c>
      <c r="X336" s="1" t="s">
        <v>42</v>
      </c>
      <c r="Y336" s="2" t="s">
        <v>42</v>
      </c>
      <c r="Z336" s="1" t="s">
        <v>1687</v>
      </c>
      <c r="AA336" s="1" t="s">
        <v>1688</v>
      </c>
      <c r="AB336" s="1" t="s">
        <v>1689</v>
      </c>
      <c r="AC336" s="1" t="s">
        <v>129</v>
      </c>
      <c r="AD336" s="1">
        <v>7009073037</v>
      </c>
      <c r="AE336" s="1" t="s">
        <v>103</v>
      </c>
      <c r="AF336" s="1"/>
      <c r="AG336" s="2" t="s">
        <v>42</v>
      </c>
      <c r="AH336" s="1" t="s">
        <v>42</v>
      </c>
      <c r="AI336" s="1" t="s">
        <v>42</v>
      </c>
      <c r="AJ336" s="1"/>
      <c r="AK336" s="2" t="s">
        <v>42</v>
      </c>
      <c r="AL336" s="1" t="s">
        <v>3507</v>
      </c>
    </row>
    <row r="337" spans="1:38" ht="20.100000000000001" customHeight="1" x14ac:dyDescent="0.2">
      <c r="A337" s="3">
        <f t="shared" si="10"/>
        <v>334</v>
      </c>
      <c r="B337" s="1" t="s">
        <v>1690</v>
      </c>
      <c r="C337" s="1" t="s">
        <v>1691</v>
      </c>
      <c r="D337" s="1" t="s">
        <v>121</v>
      </c>
      <c r="E337" s="1" t="s">
        <v>39</v>
      </c>
      <c r="F337" s="1" t="s">
        <v>40</v>
      </c>
      <c r="G337" s="1" t="s">
        <v>1692</v>
      </c>
      <c r="H337" s="2">
        <v>48417</v>
      </c>
      <c r="I337" s="2">
        <v>32700</v>
      </c>
      <c r="J337" s="7">
        <f t="shared" ca="1" si="11"/>
        <v>34.323287671232876</v>
      </c>
      <c r="K337" s="1" t="s">
        <v>42</v>
      </c>
      <c r="L337" s="1" t="s">
        <v>1693</v>
      </c>
      <c r="M337" s="2">
        <v>44941</v>
      </c>
      <c r="N337" s="1">
        <v>2</v>
      </c>
      <c r="O337" s="2" t="s">
        <v>42</v>
      </c>
      <c r="P337" s="1" t="s">
        <v>44</v>
      </c>
      <c r="Q337" s="1" t="s">
        <v>178</v>
      </c>
      <c r="R337" s="1" t="s">
        <v>842</v>
      </c>
      <c r="S337" s="1" t="s">
        <v>47</v>
      </c>
      <c r="T337" s="1">
        <v>8</v>
      </c>
      <c r="U337" s="2">
        <v>44941</v>
      </c>
      <c r="V337" s="2">
        <v>45305</v>
      </c>
      <c r="W337" s="2" t="s">
        <v>42</v>
      </c>
      <c r="X337" s="1" t="s">
        <v>42</v>
      </c>
      <c r="Y337" s="2" t="s">
        <v>42</v>
      </c>
      <c r="Z337" s="1" t="s">
        <v>1694</v>
      </c>
      <c r="AA337" s="1" t="s">
        <v>1695</v>
      </c>
      <c r="AB337" s="1" t="s">
        <v>1696</v>
      </c>
      <c r="AC337" s="1" t="s">
        <v>50</v>
      </c>
      <c r="AD337" s="1">
        <v>7009073037</v>
      </c>
      <c r="AE337" s="1" t="s">
        <v>103</v>
      </c>
      <c r="AF337" s="1"/>
      <c r="AG337" s="2" t="s">
        <v>42</v>
      </c>
      <c r="AH337" s="1"/>
      <c r="AI337" s="1" t="s">
        <v>42</v>
      </c>
      <c r="AJ337" s="1"/>
      <c r="AK337" s="2" t="s">
        <v>42</v>
      </c>
      <c r="AL337" s="1" t="s">
        <v>3507</v>
      </c>
    </row>
    <row r="338" spans="1:38" ht="20.100000000000001" customHeight="1" x14ac:dyDescent="0.2">
      <c r="A338" s="3">
        <f t="shared" si="10"/>
        <v>335</v>
      </c>
      <c r="B338" s="1" t="s">
        <v>1697</v>
      </c>
      <c r="C338" s="1" t="s">
        <v>1698</v>
      </c>
      <c r="D338" s="1" t="s">
        <v>121</v>
      </c>
      <c r="E338" s="1" t="s">
        <v>39</v>
      </c>
      <c r="F338" s="1" t="s">
        <v>40</v>
      </c>
      <c r="G338" s="1" t="s">
        <v>1699</v>
      </c>
      <c r="H338" s="2">
        <v>45203</v>
      </c>
      <c r="I338" s="2">
        <v>36187</v>
      </c>
      <c r="J338" s="7">
        <f t="shared" ca="1" si="11"/>
        <v>24.769863013698629</v>
      </c>
      <c r="K338" s="1" t="s">
        <v>42</v>
      </c>
      <c r="L338" s="1" t="s">
        <v>1700</v>
      </c>
      <c r="M338" s="2">
        <v>44941</v>
      </c>
      <c r="N338" s="1">
        <v>2</v>
      </c>
      <c r="O338" s="2" t="s">
        <v>42</v>
      </c>
      <c r="P338" s="1" t="s">
        <v>44</v>
      </c>
      <c r="Q338" s="1" t="s">
        <v>178</v>
      </c>
      <c r="R338" s="1" t="s">
        <v>179</v>
      </c>
      <c r="S338" s="1" t="s">
        <v>47</v>
      </c>
      <c r="T338" s="1">
        <v>8</v>
      </c>
      <c r="U338" s="2">
        <v>44941</v>
      </c>
      <c r="V338" s="2">
        <v>45305</v>
      </c>
      <c r="W338" s="2" t="s">
        <v>42</v>
      </c>
      <c r="X338" s="1" t="s">
        <v>42</v>
      </c>
      <c r="Y338" s="2" t="s">
        <v>42</v>
      </c>
      <c r="Z338" s="1" t="s">
        <v>1701</v>
      </c>
      <c r="AA338" s="1" t="s">
        <v>1702</v>
      </c>
      <c r="AB338" s="1" t="s">
        <v>1703</v>
      </c>
      <c r="AC338" s="1" t="s">
        <v>129</v>
      </c>
      <c r="AD338" s="1">
        <v>7009073037</v>
      </c>
      <c r="AE338" s="1" t="s">
        <v>103</v>
      </c>
      <c r="AF338" s="1"/>
      <c r="AG338" s="2" t="s">
        <v>42</v>
      </c>
      <c r="AH338" s="1"/>
      <c r="AI338" s="1" t="s">
        <v>42</v>
      </c>
      <c r="AJ338" s="1"/>
      <c r="AK338" s="2" t="s">
        <v>42</v>
      </c>
      <c r="AL338" s="1" t="s">
        <v>3507</v>
      </c>
    </row>
    <row r="339" spans="1:38" ht="20.100000000000001" customHeight="1" x14ac:dyDescent="0.2">
      <c r="A339" s="3">
        <f t="shared" si="10"/>
        <v>336</v>
      </c>
      <c r="B339" s="1" t="s">
        <v>1704</v>
      </c>
      <c r="C339" s="1" t="s">
        <v>1705</v>
      </c>
      <c r="D339" s="1" t="s">
        <v>38</v>
      </c>
      <c r="E339" s="1" t="s">
        <v>39</v>
      </c>
      <c r="F339" s="1" t="s">
        <v>40</v>
      </c>
      <c r="G339" s="1" t="s">
        <v>1706</v>
      </c>
      <c r="H339" s="2">
        <v>45506</v>
      </c>
      <c r="I339" s="2">
        <v>38162</v>
      </c>
      <c r="J339" s="7">
        <f t="shared" ca="1" si="11"/>
        <v>19.358904109589041</v>
      </c>
      <c r="K339" s="1" t="s">
        <v>42</v>
      </c>
      <c r="L339" s="1" t="s">
        <v>211</v>
      </c>
      <c r="M339" s="2">
        <v>44937</v>
      </c>
      <c r="N339" s="1">
        <v>2</v>
      </c>
      <c r="O339" s="2" t="s">
        <v>42</v>
      </c>
      <c r="P339" s="1" t="s">
        <v>44</v>
      </c>
      <c r="Q339" s="1" t="s">
        <v>466</v>
      </c>
      <c r="R339" s="1" t="s">
        <v>60</v>
      </c>
      <c r="S339" s="1" t="s">
        <v>47</v>
      </c>
      <c r="T339" s="1">
        <v>8</v>
      </c>
      <c r="U339" s="2">
        <v>44937</v>
      </c>
      <c r="V339" s="2">
        <v>45302</v>
      </c>
      <c r="W339" s="2" t="s">
        <v>42</v>
      </c>
      <c r="X339" s="1" t="s">
        <v>42</v>
      </c>
      <c r="Y339" s="2" t="s">
        <v>42</v>
      </c>
      <c r="Z339" s="1" t="s">
        <v>1707</v>
      </c>
      <c r="AA339" s="1" t="s">
        <v>1708</v>
      </c>
      <c r="AB339" s="1" t="s">
        <v>1709</v>
      </c>
      <c r="AC339" s="1" t="s">
        <v>129</v>
      </c>
      <c r="AD339" s="1">
        <v>7004853987</v>
      </c>
      <c r="AE339" s="1" t="s">
        <v>471</v>
      </c>
      <c r="AF339" s="1" t="s">
        <v>66</v>
      </c>
      <c r="AG339" s="2" t="s">
        <v>42</v>
      </c>
      <c r="AH339" s="1"/>
      <c r="AI339" s="1" t="s">
        <v>42</v>
      </c>
      <c r="AJ339" s="1"/>
      <c r="AK339" s="2" t="s">
        <v>42</v>
      </c>
      <c r="AL339" s="1" t="s">
        <v>3507</v>
      </c>
    </row>
    <row r="340" spans="1:38" ht="20.100000000000001" customHeight="1" x14ac:dyDescent="0.2">
      <c r="A340" s="3">
        <f t="shared" si="10"/>
        <v>337</v>
      </c>
      <c r="B340" s="1" t="s">
        <v>1710</v>
      </c>
      <c r="C340" s="1" t="s">
        <v>1711</v>
      </c>
      <c r="D340" s="1" t="s">
        <v>38</v>
      </c>
      <c r="E340" s="1" t="s">
        <v>39</v>
      </c>
      <c r="F340" s="1" t="s">
        <v>40</v>
      </c>
      <c r="G340" s="1" t="s">
        <v>1712</v>
      </c>
      <c r="H340" s="2">
        <v>45867</v>
      </c>
      <c r="I340" s="2">
        <v>38008</v>
      </c>
      <c r="J340" s="7">
        <f t="shared" ca="1" si="11"/>
        <v>19.780821917808218</v>
      </c>
      <c r="K340" s="1" t="s">
        <v>42</v>
      </c>
      <c r="L340" s="1" t="s">
        <v>211</v>
      </c>
      <c r="M340" s="2">
        <v>44935</v>
      </c>
      <c r="N340" s="1">
        <v>2</v>
      </c>
      <c r="O340" s="2" t="s">
        <v>42</v>
      </c>
      <c r="P340" s="1" t="s">
        <v>44</v>
      </c>
      <c r="Q340" s="1" t="s">
        <v>466</v>
      </c>
      <c r="R340" s="1" t="s">
        <v>60</v>
      </c>
      <c r="S340" s="1" t="s">
        <v>47</v>
      </c>
      <c r="T340" s="1">
        <v>8</v>
      </c>
      <c r="U340" s="2">
        <v>44935</v>
      </c>
      <c r="V340" s="2">
        <v>45300</v>
      </c>
      <c r="W340" s="2" t="s">
        <v>42</v>
      </c>
      <c r="X340" s="1" t="s">
        <v>42</v>
      </c>
      <c r="Y340" s="2" t="s">
        <v>42</v>
      </c>
      <c r="Z340" s="1" t="s">
        <v>1713</v>
      </c>
      <c r="AA340" s="1" t="s">
        <v>1714</v>
      </c>
      <c r="AB340" s="1" t="s">
        <v>1715</v>
      </c>
      <c r="AC340" s="1" t="s">
        <v>129</v>
      </c>
      <c r="AD340" s="1">
        <v>7004853987</v>
      </c>
      <c r="AE340" s="1" t="s">
        <v>471</v>
      </c>
      <c r="AF340" s="1" t="s">
        <v>66</v>
      </c>
      <c r="AG340" s="2" t="s">
        <v>42</v>
      </c>
      <c r="AH340" s="1"/>
      <c r="AI340" s="1" t="s">
        <v>42</v>
      </c>
      <c r="AJ340" s="1"/>
      <c r="AK340" s="2" t="s">
        <v>42</v>
      </c>
      <c r="AL340" s="1" t="s">
        <v>3507</v>
      </c>
    </row>
    <row r="341" spans="1:38" ht="20.100000000000001" customHeight="1" x14ac:dyDescent="0.2">
      <c r="A341" s="3">
        <f t="shared" si="10"/>
        <v>338</v>
      </c>
      <c r="B341" s="1" t="s">
        <v>1716</v>
      </c>
      <c r="C341" s="1" t="s">
        <v>1717</v>
      </c>
      <c r="D341" s="1" t="s">
        <v>38</v>
      </c>
      <c r="E341" s="1" t="s">
        <v>69</v>
      </c>
      <c r="F341" s="1" t="s">
        <v>70</v>
      </c>
      <c r="G341" s="1" t="s">
        <v>1718</v>
      </c>
      <c r="H341" s="2">
        <v>45276</v>
      </c>
      <c r="I341" s="2">
        <v>35096</v>
      </c>
      <c r="J341" s="7">
        <f t="shared" ca="1" si="11"/>
        <v>27.758904109589039</v>
      </c>
      <c r="K341" s="1" t="s">
        <v>42</v>
      </c>
      <c r="L341" s="1" t="s">
        <v>80</v>
      </c>
      <c r="M341" s="2">
        <v>44944</v>
      </c>
      <c r="N341" s="1">
        <v>2</v>
      </c>
      <c r="O341" s="2" t="s">
        <v>42</v>
      </c>
      <c r="P341" s="1" t="s">
        <v>221</v>
      </c>
      <c r="Q341" s="1" t="s">
        <v>222</v>
      </c>
      <c r="R341" s="1" t="s">
        <v>60</v>
      </c>
      <c r="S341" s="1" t="s">
        <v>156</v>
      </c>
      <c r="T341" s="1" t="s">
        <v>42</v>
      </c>
      <c r="U341" s="2" t="s">
        <v>42</v>
      </c>
      <c r="V341" s="2" t="s">
        <v>42</v>
      </c>
      <c r="W341" s="2" t="s">
        <v>42</v>
      </c>
      <c r="X341" s="1" t="s">
        <v>42</v>
      </c>
      <c r="Y341" s="2" t="s">
        <v>42</v>
      </c>
      <c r="Z341" s="1" t="s">
        <v>1719</v>
      </c>
      <c r="AA341" s="1" t="s">
        <v>1720</v>
      </c>
      <c r="AB341" s="1" t="s">
        <v>1721</v>
      </c>
      <c r="AC341" s="1" t="s">
        <v>50</v>
      </c>
      <c r="AD341" s="1">
        <v>7021202564</v>
      </c>
      <c r="AE341" s="1" t="s">
        <v>567</v>
      </c>
      <c r="AF341" s="1" t="s">
        <v>227</v>
      </c>
      <c r="AG341" s="2" t="s">
        <v>42</v>
      </c>
      <c r="AH341" s="1"/>
      <c r="AI341" s="1" t="s">
        <v>42</v>
      </c>
      <c r="AJ341" s="1"/>
      <c r="AK341" s="2" t="s">
        <v>42</v>
      </c>
      <c r="AL341" s="1" t="s">
        <v>3507</v>
      </c>
    </row>
    <row r="342" spans="1:38" ht="20.100000000000001" customHeight="1" x14ac:dyDescent="0.2">
      <c r="A342" s="3">
        <f t="shared" si="10"/>
        <v>339</v>
      </c>
      <c r="B342" s="1" t="s">
        <v>3298</v>
      </c>
      <c r="C342" s="1" t="s">
        <v>3299</v>
      </c>
      <c r="D342" s="1" t="s">
        <v>38</v>
      </c>
      <c r="E342" s="1" t="s">
        <v>54</v>
      </c>
      <c r="F342" s="1" t="s">
        <v>55</v>
      </c>
      <c r="G342" s="1" t="s">
        <v>3300</v>
      </c>
      <c r="H342" s="2">
        <v>45118</v>
      </c>
      <c r="I342" s="2">
        <v>36139</v>
      </c>
      <c r="J342" s="7">
        <f t="shared" ca="1" si="11"/>
        <v>24.901369863013699</v>
      </c>
      <c r="K342" s="1" t="s">
        <v>482</v>
      </c>
      <c r="L342" s="1" t="s">
        <v>134</v>
      </c>
      <c r="M342" s="2">
        <v>44944</v>
      </c>
      <c r="N342" s="1">
        <v>2</v>
      </c>
      <c r="O342" s="2" t="s">
        <v>42</v>
      </c>
      <c r="P342" s="1" t="s">
        <v>44</v>
      </c>
      <c r="Q342" s="1" t="s">
        <v>431</v>
      </c>
      <c r="R342" s="1" t="s">
        <v>42</v>
      </c>
      <c r="S342" s="1" t="s">
        <v>156</v>
      </c>
      <c r="T342" s="1" t="s">
        <v>42</v>
      </c>
      <c r="U342" s="2" t="s">
        <v>42</v>
      </c>
      <c r="V342" s="2" t="s">
        <v>42</v>
      </c>
      <c r="W342" s="2" t="s">
        <v>42</v>
      </c>
      <c r="X342" s="1" t="s">
        <v>42</v>
      </c>
      <c r="Y342" s="2" t="s">
        <v>42</v>
      </c>
      <c r="Z342" s="1" t="s">
        <v>42</v>
      </c>
      <c r="AA342" s="1" t="s">
        <v>42</v>
      </c>
      <c r="AB342" s="1" t="s">
        <v>3301</v>
      </c>
      <c r="AC342" s="1" t="s">
        <v>129</v>
      </c>
      <c r="AD342" s="1"/>
      <c r="AE342" s="1" t="s">
        <v>788</v>
      </c>
      <c r="AF342" s="1"/>
      <c r="AG342" s="2" t="s">
        <v>42</v>
      </c>
      <c r="AH342" s="1" t="s">
        <v>42</v>
      </c>
      <c r="AI342" s="1" t="s">
        <v>42</v>
      </c>
      <c r="AJ342" s="1"/>
      <c r="AK342" s="2" t="s">
        <v>42</v>
      </c>
      <c r="AL342" s="1" t="s">
        <v>2806</v>
      </c>
    </row>
    <row r="343" spans="1:38" ht="20.100000000000001" customHeight="1" x14ac:dyDescent="0.2">
      <c r="A343" s="3">
        <f t="shared" si="10"/>
        <v>340</v>
      </c>
      <c r="B343" s="1" t="s">
        <v>1722</v>
      </c>
      <c r="C343" s="1" t="s">
        <v>1723</v>
      </c>
      <c r="D343" s="1" t="s">
        <v>38</v>
      </c>
      <c r="E343" s="1" t="s">
        <v>150</v>
      </c>
      <c r="F343" s="1" t="s">
        <v>70</v>
      </c>
      <c r="G343" s="1" t="s">
        <v>1724</v>
      </c>
      <c r="H343" s="2">
        <v>45060</v>
      </c>
      <c r="I343" s="2">
        <v>26823</v>
      </c>
      <c r="J343" s="7">
        <f t="shared" ca="1" si="11"/>
        <v>50.424657534246577</v>
      </c>
      <c r="K343" s="1" t="s">
        <v>1725</v>
      </c>
      <c r="L343" s="1" t="s">
        <v>134</v>
      </c>
      <c r="M343" s="2">
        <v>44943</v>
      </c>
      <c r="N343" s="1">
        <v>2</v>
      </c>
      <c r="O343" s="2" t="s">
        <v>42</v>
      </c>
      <c r="P343" s="1" t="s">
        <v>44</v>
      </c>
      <c r="Q343" s="1" t="s">
        <v>899</v>
      </c>
      <c r="R343" s="1" t="s">
        <v>900</v>
      </c>
      <c r="S343" s="1" t="s">
        <v>156</v>
      </c>
      <c r="T343" s="1" t="s">
        <v>42</v>
      </c>
      <c r="U343" s="2" t="s">
        <v>42</v>
      </c>
      <c r="V343" s="2" t="s">
        <v>42</v>
      </c>
      <c r="W343" s="2" t="s">
        <v>42</v>
      </c>
      <c r="X343" s="1" t="s">
        <v>42</v>
      </c>
      <c r="Y343" s="2" t="s">
        <v>42</v>
      </c>
      <c r="Z343" s="1" t="s">
        <v>1726</v>
      </c>
      <c r="AA343" s="1" t="s">
        <v>1727</v>
      </c>
      <c r="AB343" s="1" t="s">
        <v>42</v>
      </c>
      <c r="AC343" s="1" t="s">
        <v>42</v>
      </c>
      <c r="AD343" s="1"/>
      <c r="AE343" s="1" t="s">
        <v>788</v>
      </c>
      <c r="AF343" s="1" t="s">
        <v>904</v>
      </c>
      <c r="AG343" s="2" t="s">
        <v>42</v>
      </c>
      <c r="AH343" s="1"/>
      <c r="AI343" s="1" t="s">
        <v>42</v>
      </c>
      <c r="AJ343" s="1"/>
      <c r="AK343" s="2" t="s">
        <v>42</v>
      </c>
      <c r="AL343" s="1" t="s">
        <v>3507</v>
      </c>
    </row>
    <row r="344" spans="1:38" ht="20.100000000000001" customHeight="1" x14ac:dyDescent="0.2">
      <c r="A344" s="3">
        <f t="shared" si="10"/>
        <v>341</v>
      </c>
      <c r="B344" s="1" t="s">
        <v>1728</v>
      </c>
      <c r="C344" s="1" t="s">
        <v>1729</v>
      </c>
      <c r="D344" s="1" t="s">
        <v>38</v>
      </c>
      <c r="E344" s="1" t="s">
        <v>69</v>
      </c>
      <c r="F344" s="1" t="s">
        <v>70</v>
      </c>
      <c r="G344" s="1" t="s">
        <v>1730</v>
      </c>
      <c r="H344" s="2">
        <v>45302</v>
      </c>
      <c r="I344" s="2">
        <v>30317</v>
      </c>
      <c r="J344" s="7">
        <f t="shared" ca="1" si="11"/>
        <v>40.852054794520548</v>
      </c>
      <c r="K344" s="1" t="s">
        <v>133</v>
      </c>
      <c r="L344" s="1" t="s">
        <v>134</v>
      </c>
      <c r="M344" s="2">
        <v>44946</v>
      </c>
      <c r="N344" s="1">
        <v>2</v>
      </c>
      <c r="O344" s="2" t="s">
        <v>42</v>
      </c>
      <c r="P344" s="1" t="s">
        <v>44</v>
      </c>
      <c r="Q344" s="1" t="s">
        <v>135</v>
      </c>
      <c r="R344" s="1" t="s">
        <v>232</v>
      </c>
      <c r="S344" s="1" t="s">
        <v>47</v>
      </c>
      <c r="T344" s="1">
        <v>0</v>
      </c>
      <c r="U344" s="2" t="s">
        <v>42</v>
      </c>
      <c r="V344" s="2" t="s">
        <v>42</v>
      </c>
      <c r="W344" s="2" t="s">
        <v>42</v>
      </c>
      <c r="X344" s="1" t="s">
        <v>42</v>
      </c>
      <c r="Y344" s="2" t="s">
        <v>42</v>
      </c>
      <c r="Z344" s="1" t="s">
        <v>1731</v>
      </c>
      <c r="AA344" s="1" t="s">
        <v>1732</v>
      </c>
      <c r="AB344" s="1" t="s">
        <v>1733</v>
      </c>
      <c r="AC344" s="1" t="s">
        <v>617</v>
      </c>
      <c r="AD344" s="1">
        <v>7015572543</v>
      </c>
      <c r="AE344" s="1" t="s">
        <v>3506</v>
      </c>
      <c r="AF344" s="1" t="s">
        <v>66</v>
      </c>
      <c r="AG344" s="2" t="s">
        <v>42</v>
      </c>
      <c r="AH344" s="1"/>
      <c r="AI344" s="1" t="s">
        <v>42</v>
      </c>
      <c r="AJ344" s="1"/>
      <c r="AK344" s="2" t="s">
        <v>42</v>
      </c>
      <c r="AL344" s="1" t="s">
        <v>3507</v>
      </c>
    </row>
    <row r="345" spans="1:38" ht="20.100000000000001" customHeight="1" x14ac:dyDescent="0.2">
      <c r="A345" s="3">
        <f t="shared" si="10"/>
        <v>342</v>
      </c>
      <c r="B345" s="1" t="s">
        <v>3302</v>
      </c>
      <c r="C345" s="1" t="s">
        <v>3303</v>
      </c>
      <c r="D345" s="1" t="s">
        <v>38</v>
      </c>
      <c r="E345" s="1" t="s">
        <v>150</v>
      </c>
      <c r="F345" s="1"/>
      <c r="G345" s="1" t="s">
        <v>3304</v>
      </c>
      <c r="H345" s="2">
        <v>45105</v>
      </c>
      <c r="I345" s="2">
        <v>36351</v>
      </c>
      <c r="J345" s="7">
        <f t="shared" ca="1" si="11"/>
        <v>24.32054794520548</v>
      </c>
      <c r="K345" s="1" t="s">
        <v>152</v>
      </c>
      <c r="L345" s="1" t="s">
        <v>152</v>
      </c>
      <c r="M345" s="2">
        <v>44947</v>
      </c>
      <c r="N345" s="1">
        <v>2</v>
      </c>
      <c r="O345" s="2" t="s">
        <v>42</v>
      </c>
      <c r="P345" s="1" t="s">
        <v>44</v>
      </c>
      <c r="Q345" s="1" t="s">
        <v>178</v>
      </c>
      <c r="R345" s="1" t="s">
        <v>42</v>
      </c>
      <c r="S345" s="1" t="s">
        <v>156</v>
      </c>
      <c r="T345" s="1">
        <v>8</v>
      </c>
      <c r="U345" s="2" t="s">
        <v>42</v>
      </c>
      <c r="V345" s="2" t="s">
        <v>42</v>
      </c>
      <c r="W345" s="2" t="s">
        <v>42</v>
      </c>
      <c r="X345" s="1" t="s">
        <v>42</v>
      </c>
      <c r="Y345" s="2" t="s">
        <v>42</v>
      </c>
      <c r="Z345" s="1" t="s">
        <v>3305</v>
      </c>
      <c r="AA345" s="1" t="s">
        <v>3306</v>
      </c>
      <c r="AB345" s="1" t="s">
        <v>3307</v>
      </c>
      <c r="AC345" s="1" t="s">
        <v>551</v>
      </c>
      <c r="AD345" s="1"/>
      <c r="AE345" s="1" t="s">
        <v>42</v>
      </c>
      <c r="AF345" s="1"/>
      <c r="AG345" s="2" t="s">
        <v>42</v>
      </c>
      <c r="AH345" s="1" t="s">
        <v>2812</v>
      </c>
      <c r="AI345" s="1" t="s">
        <v>42</v>
      </c>
      <c r="AJ345" s="1"/>
      <c r="AK345" s="2" t="s">
        <v>42</v>
      </c>
      <c r="AL345" s="1" t="s">
        <v>2806</v>
      </c>
    </row>
    <row r="346" spans="1:38" ht="20.100000000000001" customHeight="1" x14ac:dyDescent="0.2">
      <c r="A346" s="3">
        <f t="shared" si="10"/>
        <v>343</v>
      </c>
      <c r="B346" s="1" t="s">
        <v>1734</v>
      </c>
      <c r="C346" s="1" t="s">
        <v>1735</v>
      </c>
      <c r="D346" s="1" t="s">
        <v>38</v>
      </c>
      <c r="E346" s="1" t="s">
        <v>193</v>
      </c>
      <c r="F346" s="1" t="s">
        <v>55</v>
      </c>
      <c r="G346" s="1" t="s">
        <v>1736</v>
      </c>
      <c r="H346" s="2">
        <v>45366</v>
      </c>
      <c r="I346" s="2">
        <v>26083</v>
      </c>
      <c r="J346" s="7">
        <f t="shared" ca="1" si="11"/>
        <v>52.452054794520549</v>
      </c>
      <c r="K346" s="1" t="s">
        <v>1496</v>
      </c>
      <c r="L346" s="1" t="s">
        <v>1496</v>
      </c>
      <c r="M346" s="2" t="s">
        <v>42</v>
      </c>
      <c r="N346" s="1">
        <v>2</v>
      </c>
      <c r="O346" s="2" t="s">
        <v>42</v>
      </c>
      <c r="P346" s="1" t="s">
        <v>44</v>
      </c>
      <c r="Q346" s="1" t="s">
        <v>1043</v>
      </c>
      <c r="R346" s="1" t="s">
        <v>196</v>
      </c>
      <c r="S346" s="1" t="s">
        <v>47</v>
      </c>
      <c r="T346" s="1" t="s">
        <v>42</v>
      </c>
      <c r="U346" s="2" t="s">
        <v>42</v>
      </c>
      <c r="V346" s="2" t="s">
        <v>42</v>
      </c>
      <c r="W346" s="2" t="s">
        <v>42</v>
      </c>
      <c r="X346" s="1" t="s">
        <v>42</v>
      </c>
      <c r="Y346" s="2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>
        <v>1061419220</v>
      </c>
      <c r="AE346" s="1" t="s">
        <v>247</v>
      </c>
      <c r="AF346" s="1"/>
      <c r="AG346" s="2" t="s">
        <v>42</v>
      </c>
      <c r="AH346" s="1"/>
      <c r="AI346" s="1" t="s">
        <v>962</v>
      </c>
      <c r="AJ346" s="1"/>
      <c r="AK346" s="2" t="s">
        <v>42</v>
      </c>
      <c r="AL346" s="1" t="s">
        <v>3507</v>
      </c>
    </row>
    <row r="347" spans="1:38" ht="20.100000000000001" customHeight="1" x14ac:dyDescent="0.2">
      <c r="A347" s="3">
        <f t="shared" si="10"/>
        <v>344</v>
      </c>
      <c r="B347" s="1" t="s">
        <v>3308</v>
      </c>
      <c r="C347" s="1" t="s">
        <v>3309</v>
      </c>
      <c r="D347" s="1" t="s">
        <v>38</v>
      </c>
      <c r="E347" s="1" t="s">
        <v>54</v>
      </c>
      <c r="F347" s="1"/>
      <c r="G347" s="1" t="s">
        <v>3310</v>
      </c>
      <c r="H347" s="2" t="s">
        <v>42</v>
      </c>
      <c r="I347" s="2" t="s">
        <v>42</v>
      </c>
      <c r="J347" s="7"/>
      <c r="K347" s="1" t="s">
        <v>482</v>
      </c>
      <c r="L347" s="1" t="s">
        <v>134</v>
      </c>
      <c r="M347" s="2">
        <v>44940</v>
      </c>
      <c r="N347" s="1">
        <v>2</v>
      </c>
      <c r="O347" s="2" t="s">
        <v>42</v>
      </c>
      <c r="P347" s="1" t="s">
        <v>44</v>
      </c>
      <c r="Q347" s="1" t="s">
        <v>203</v>
      </c>
      <c r="R347" s="1" t="s">
        <v>42</v>
      </c>
      <c r="S347" s="1" t="s">
        <v>156</v>
      </c>
      <c r="T347" s="1" t="s">
        <v>42</v>
      </c>
      <c r="U347" s="2" t="s">
        <v>42</v>
      </c>
      <c r="V347" s="2" t="s">
        <v>42</v>
      </c>
      <c r="W347" s="2" t="s">
        <v>42</v>
      </c>
      <c r="X347" s="1" t="s">
        <v>42</v>
      </c>
      <c r="Y347" s="2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/>
      <c r="AE347" s="1" t="s">
        <v>42</v>
      </c>
      <c r="AF347" s="1"/>
      <c r="AG347" s="2">
        <v>44959</v>
      </c>
      <c r="AH347" s="1" t="s">
        <v>2985</v>
      </c>
      <c r="AI347" s="1" t="s">
        <v>42</v>
      </c>
      <c r="AJ347" s="1"/>
      <c r="AK347" s="2" t="s">
        <v>42</v>
      </c>
      <c r="AL347" s="1" t="s">
        <v>2806</v>
      </c>
    </row>
    <row r="348" spans="1:38" ht="20.100000000000001" customHeight="1" x14ac:dyDescent="0.2">
      <c r="A348" s="3">
        <f t="shared" si="10"/>
        <v>345</v>
      </c>
      <c r="B348" s="1" t="s">
        <v>1737</v>
      </c>
      <c r="C348" s="1" t="s">
        <v>1738</v>
      </c>
      <c r="D348" s="1" t="s">
        <v>38</v>
      </c>
      <c r="E348" s="1" t="s">
        <v>69</v>
      </c>
      <c r="F348" s="1" t="s">
        <v>70</v>
      </c>
      <c r="G348" s="1" t="s">
        <v>1739</v>
      </c>
      <c r="H348" s="2">
        <v>45423</v>
      </c>
      <c r="I348" s="2">
        <v>34463</v>
      </c>
      <c r="J348" s="7">
        <f t="shared" ca="1" si="11"/>
        <v>29.493150684931507</v>
      </c>
      <c r="K348" s="1" t="s">
        <v>667</v>
      </c>
      <c r="L348" s="1" t="s">
        <v>1740</v>
      </c>
      <c r="M348" s="2">
        <v>44957</v>
      </c>
      <c r="N348" s="1">
        <v>2</v>
      </c>
      <c r="O348" s="2" t="s">
        <v>42</v>
      </c>
      <c r="P348" s="1" t="s">
        <v>44</v>
      </c>
      <c r="Q348" s="1" t="s">
        <v>178</v>
      </c>
      <c r="R348" s="1" t="s">
        <v>592</v>
      </c>
      <c r="S348" s="1" t="s">
        <v>156</v>
      </c>
      <c r="T348" s="1" t="s">
        <v>42</v>
      </c>
      <c r="U348" s="2" t="s">
        <v>42</v>
      </c>
      <c r="V348" s="2" t="s">
        <v>42</v>
      </c>
      <c r="W348" s="2" t="s">
        <v>42</v>
      </c>
      <c r="X348" s="1" t="s">
        <v>42</v>
      </c>
      <c r="Y348" s="2" t="s">
        <v>42</v>
      </c>
      <c r="Z348" s="1" t="s">
        <v>1741</v>
      </c>
      <c r="AA348" s="1" t="s">
        <v>1742</v>
      </c>
      <c r="AB348" s="1" t="s">
        <v>1743</v>
      </c>
      <c r="AC348" s="1" t="s">
        <v>617</v>
      </c>
      <c r="AD348" s="1">
        <v>7009073037</v>
      </c>
      <c r="AE348" s="1" t="s">
        <v>103</v>
      </c>
      <c r="AF348" s="1"/>
      <c r="AG348" s="2" t="s">
        <v>42</v>
      </c>
      <c r="AH348" s="1"/>
      <c r="AI348" s="1" t="s">
        <v>42</v>
      </c>
      <c r="AJ348" s="1"/>
      <c r="AK348" s="2" t="s">
        <v>42</v>
      </c>
      <c r="AL348" s="1" t="s">
        <v>3507</v>
      </c>
    </row>
    <row r="349" spans="1:38" ht="20.100000000000001" customHeight="1" x14ac:dyDescent="0.2">
      <c r="A349" s="3">
        <f t="shared" si="10"/>
        <v>346</v>
      </c>
      <c r="B349" s="1" t="s">
        <v>1744</v>
      </c>
      <c r="C349" s="1" t="s">
        <v>1745</v>
      </c>
      <c r="D349" s="1" t="s">
        <v>38</v>
      </c>
      <c r="E349" s="1" t="s">
        <v>69</v>
      </c>
      <c r="F349" s="1" t="s">
        <v>70</v>
      </c>
      <c r="G349" s="1" t="s">
        <v>1746</v>
      </c>
      <c r="H349" s="2">
        <v>45306</v>
      </c>
      <c r="I349" s="2">
        <v>36546</v>
      </c>
      <c r="J349" s="7">
        <f t="shared" ca="1" si="11"/>
        <v>23.786301369863015</v>
      </c>
      <c r="K349" s="1" t="s">
        <v>133</v>
      </c>
      <c r="L349" s="1" t="s">
        <v>416</v>
      </c>
      <c r="M349" s="2">
        <v>44958</v>
      </c>
      <c r="N349" s="1">
        <v>2</v>
      </c>
      <c r="O349" s="2" t="s">
        <v>42</v>
      </c>
      <c r="P349" s="1" t="s">
        <v>44</v>
      </c>
      <c r="Q349" s="1" t="s">
        <v>431</v>
      </c>
      <c r="R349" s="1" t="s">
        <v>60</v>
      </c>
      <c r="S349" s="1" t="s">
        <v>47</v>
      </c>
      <c r="T349" s="1" t="s">
        <v>42</v>
      </c>
      <c r="U349" s="2" t="s">
        <v>42</v>
      </c>
      <c r="V349" s="2" t="s">
        <v>42</v>
      </c>
      <c r="W349" s="2" t="s">
        <v>42</v>
      </c>
      <c r="X349" s="1" t="s">
        <v>42</v>
      </c>
      <c r="Y349" s="2" t="s">
        <v>42</v>
      </c>
      <c r="Z349" s="1" t="s">
        <v>1747</v>
      </c>
      <c r="AA349" s="1" t="s">
        <v>1748</v>
      </c>
      <c r="AB349" s="1" t="s">
        <v>1749</v>
      </c>
      <c r="AC349" s="1" t="s">
        <v>129</v>
      </c>
      <c r="AD349" s="1">
        <v>7015572543</v>
      </c>
      <c r="AE349" s="1" t="s">
        <v>3506</v>
      </c>
      <c r="AF349" s="1" t="s">
        <v>436</v>
      </c>
      <c r="AG349" s="2" t="s">
        <v>42</v>
      </c>
      <c r="AH349" s="1"/>
      <c r="AI349" s="1" t="s">
        <v>42</v>
      </c>
      <c r="AJ349" s="1"/>
      <c r="AK349" s="2" t="s">
        <v>42</v>
      </c>
      <c r="AL349" s="1" t="s">
        <v>3507</v>
      </c>
    </row>
    <row r="350" spans="1:38" ht="20.100000000000001" customHeight="1" x14ac:dyDescent="0.2">
      <c r="A350" s="3">
        <f t="shared" si="10"/>
        <v>347</v>
      </c>
      <c r="B350" s="1" t="s">
        <v>1750</v>
      </c>
      <c r="C350" s="1" t="s">
        <v>1751</v>
      </c>
      <c r="D350" s="1" t="s">
        <v>38</v>
      </c>
      <c r="E350" s="1" t="s">
        <v>811</v>
      </c>
      <c r="F350" s="1" t="s">
        <v>55</v>
      </c>
      <c r="G350" s="1" t="s">
        <v>1752</v>
      </c>
      <c r="H350" s="2">
        <v>45497</v>
      </c>
      <c r="I350" s="2">
        <v>34662</v>
      </c>
      <c r="J350" s="7">
        <f t="shared" ca="1" si="11"/>
        <v>28.947945205479453</v>
      </c>
      <c r="K350" s="1" t="s">
        <v>1753</v>
      </c>
      <c r="L350" s="1" t="s">
        <v>1754</v>
      </c>
      <c r="M350" s="2">
        <v>45055</v>
      </c>
      <c r="N350" s="1">
        <v>2</v>
      </c>
      <c r="O350" s="2" t="s">
        <v>42</v>
      </c>
      <c r="P350" s="1" t="s">
        <v>44</v>
      </c>
      <c r="Q350" s="1" t="s">
        <v>45</v>
      </c>
      <c r="R350" s="1" t="s">
        <v>708</v>
      </c>
      <c r="S350" s="1" t="s">
        <v>47</v>
      </c>
      <c r="T350" s="1">
        <v>8</v>
      </c>
      <c r="U350" s="2" t="s">
        <v>42</v>
      </c>
      <c r="V350" s="2" t="s">
        <v>42</v>
      </c>
      <c r="W350" s="2" t="s">
        <v>42</v>
      </c>
      <c r="X350" s="1" t="s">
        <v>1755</v>
      </c>
      <c r="Y350" s="2">
        <v>46790</v>
      </c>
      <c r="Z350" s="1" t="s">
        <v>42</v>
      </c>
      <c r="AA350" s="1" t="s">
        <v>42</v>
      </c>
      <c r="AB350" s="1" t="s">
        <v>1756</v>
      </c>
      <c r="AC350" s="1" t="s">
        <v>50</v>
      </c>
      <c r="AD350" s="1">
        <v>7026482336</v>
      </c>
      <c r="AE350" s="1" t="s">
        <v>903</v>
      </c>
      <c r="AF350" s="1"/>
      <c r="AG350" s="2" t="s">
        <v>42</v>
      </c>
      <c r="AH350" s="1"/>
      <c r="AI350" s="1" t="s">
        <v>42</v>
      </c>
      <c r="AJ350" s="1"/>
      <c r="AK350" s="2" t="s">
        <v>42</v>
      </c>
      <c r="AL350" s="1" t="s">
        <v>3507</v>
      </c>
    </row>
    <row r="351" spans="1:38" ht="20.100000000000001" customHeight="1" x14ac:dyDescent="0.2">
      <c r="A351" s="3">
        <f t="shared" si="10"/>
        <v>348</v>
      </c>
      <c r="B351" s="1" t="s">
        <v>1757</v>
      </c>
      <c r="C351" s="1" t="s">
        <v>1758</v>
      </c>
      <c r="D351" s="1" t="s">
        <v>38</v>
      </c>
      <c r="E351" s="1" t="s">
        <v>69</v>
      </c>
      <c r="F351" s="1" t="s">
        <v>70</v>
      </c>
      <c r="G351" s="1" t="s">
        <v>1759</v>
      </c>
      <c r="H351" s="2">
        <v>46183</v>
      </c>
      <c r="I351" s="2">
        <v>35802</v>
      </c>
      <c r="J351" s="7">
        <f t="shared" ca="1" si="11"/>
        <v>25.824657534246576</v>
      </c>
      <c r="K351" s="1" t="s">
        <v>133</v>
      </c>
      <c r="L351" s="1" t="s">
        <v>134</v>
      </c>
      <c r="M351" s="2">
        <v>45081</v>
      </c>
      <c r="N351" s="1">
        <v>2</v>
      </c>
      <c r="O351" s="2" t="s">
        <v>42</v>
      </c>
      <c r="P351" s="1" t="s">
        <v>44</v>
      </c>
      <c r="Q351" s="1" t="s">
        <v>142</v>
      </c>
      <c r="R351" s="1" t="s">
        <v>60</v>
      </c>
      <c r="S351" s="1" t="s">
        <v>47</v>
      </c>
      <c r="T351" s="1" t="s">
        <v>42</v>
      </c>
      <c r="U351" s="2" t="s">
        <v>42</v>
      </c>
      <c r="V351" s="2" t="s">
        <v>42</v>
      </c>
      <c r="W351" s="2" t="s">
        <v>42</v>
      </c>
      <c r="X351" s="1" t="s">
        <v>42</v>
      </c>
      <c r="Y351" s="2" t="s">
        <v>42</v>
      </c>
      <c r="Z351" s="1" t="s">
        <v>42</v>
      </c>
      <c r="AA351" s="1" t="s">
        <v>42</v>
      </c>
      <c r="AB351" s="1" t="s">
        <v>85</v>
      </c>
      <c r="AC351" s="1" t="s">
        <v>50</v>
      </c>
      <c r="AD351" s="1">
        <v>7015572543</v>
      </c>
      <c r="AE351" s="1" t="s">
        <v>3506</v>
      </c>
      <c r="AF351" s="1" t="s">
        <v>147</v>
      </c>
      <c r="AG351" s="2" t="s">
        <v>42</v>
      </c>
      <c r="AH351" s="1"/>
      <c r="AI351" s="1" t="s">
        <v>42</v>
      </c>
      <c r="AJ351" s="1"/>
      <c r="AK351" s="2" t="s">
        <v>42</v>
      </c>
      <c r="AL351" s="1" t="s">
        <v>3507</v>
      </c>
    </row>
    <row r="352" spans="1:38" ht="20.100000000000001" customHeight="1" x14ac:dyDescent="0.2">
      <c r="A352" s="3">
        <f t="shared" si="10"/>
        <v>349</v>
      </c>
      <c r="B352" s="1" t="s">
        <v>1760</v>
      </c>
      <c r="C352" s="1" t="s">
        <v>1761</v>
      </c>
      <c r="D352" s="1" t="s">
        <v>121</v>
      </c>
      <c r="E352" s="1" t="s">
        <v>39</v>
      </c>
      <c r="F352" s="1" t="s">
        <v>40</v>
      </c>
      <c r="G352" s="1" t="s">
        <v>1762</v>
      </c>
      <c r="H352" s="2">
        <v>46183</v>
      </c>
      <c r="I352" s="2">
        <v>35802</v>
      </c>
      <c r="J352" s="7">
        <f t="shared" ca="1" si="11"/>
        <v>25.824657534246576</v>
      </c>
      <c r="K352" s="1" t="s">
        <v>1610</v>
      </c>
      <c r="L352" s="1" t="s">
        <v>1763</v>
      </c>
      <c r="M352" s="2">
        <v>44964</v>
      </c>
      <c r="N352" s="1">
        <v>2</v>
      </c>
      <c r="O352" s="2" t="s">
        <v>42</v>
      </c>
      <c r="P352" s="1" t="s">
        <v>44</v>
      </c>
      <c r="Q352" s="1" t="s">
        <v>178</v>
      </c>
      <c r="R352" s="1" t="s">
        <v>179</v>
      </c>
      <c r="S352" s="1" t="s">
        <v>47</v>
      </c>
      <c r="T352" s="1">
        <v>8</v>
      </c>
      <c r="U352" s="2">
        <v>44963</v>
      </c>
      <c r="V352" s="2">
        <v>45328</v>
      </c>
      <c r="W352" s="2" t="s">
        <v>42</v>
      </c>
      <c r="X352" s="1" t="s">
        <v>42</v>
      </c>
      <c r="Y352" s="2" t="s">
        <v>42</v>
      </c>
      <c r="Z352" s="1" t="s">
        <v>1764</v>
      </c>
      <c r="AA352" s="1" t="s">
        <v>1765</v>
      </c>
      <c r="AB352" s="1" t="s">
        <v>1766</v>
      </c>
      <c r="AC352" s="1" t="s">
        <v>129</v>
      </c>
      <c r="AD352" s="1">
        <v>7021202564</v>
      </c>
      <c r="AE352" s="1" t="s">
        <v>567</v>
      </c>
      <c r="AF352" s="1"/>
      <c r="AG352" s="2" t="s">
        <v>42</v>
      </c>
      <c r="AH352" s="1"/>
      <c r="AI352" s="1" t="s">
        <v>42</v>
      </c>
      <c r="AJ352" s="1"/>
      <c r="AK352" s="2" t="s">
        <v>42</v>
      </c>
      <c r="AL352" s="1" t="s">
        <v>3507</v>
      </c>
    </row>
    <row r="353" spans="1:38" ht="20.100000000000001" customHeight="1" x14ac:dyDescent="0.2">
      <c r="A353" s="3">
        <f t="shared" si="10"/>
        <v>350</v>
      </c>
      <c r="B353" s="1" t="s">
        <v>1767</v>
      </c>
      <c r="C353" s="1" t="s">
        <v>1768</v>
      </c>
      <c r="D353" s="1" t="s">
        <v>38</v>
      </c>
      <c r="E353" s="1" t="s">
        <v>69</v>
      </c>
      <c r="F353" s="1" t="s">
        <v>70</v>
      </c>
      <c r="G353" s="1" t="s">
        <v>1769</v>
      </c>
      <c r="H353" s="2">
        <v>45377</v>
      </c>
      <c r="I353" s="2">
        <v>35935</v>
      </c>
      <c r="J353" s="7">
        <f t="shared" ca="1" si="11"/>
        <v>25.460273972602739</v>
      </c>
      <c r="K353" s="1" t="s">
        <v>42</v>
      </c>
      <c r="L353" s="1" t="s">
        <v>42</v>
      </c>
      <c r="M353" s="2" t="s">
        <v>42</v>
      </c>
      <c r="N353" s="1">
        <v>2</v>
      </c>
      <c r="O353" s="2" t="s">
        <v>42</v>
      </c>
      <c r="P353" s="1" t="s">
        <v>44</v>
      </c>
      <c r="Q353" s="1" t="s">
        <v>1333</v>
      </c>
      <c r="R353" s="1" t="s">
        <v>60</v>
      </c>
      <c r="S353" s="1" t="s">
        <v>47</v>
      </c>
      <c r="T353" s="1" t="s">
        <v>42</v>
      </c>
      <c r="U353" s="2" t="s">
        <v>42</v>
      </c>
      <c r="V353" s="2" t="s">
        <v>42</v>
      </c>
      <c r="W353" s="2" t="s">
        <v>42</v>
      </c>
      <c r="X353" s="1" t="s">
        <v>42</v>
      </c>
      <c r="Y353" s="2" t="s">
        <v>42</v>
      </c>
      <c r="Z353" s="1" t="s">
        <v>1770</v>
      </c>
      <c r="AA353" s="1" t="s">
        <v>1771</v>
      </c>
      <c r="AB353" s="1" t="s">
        <v>1772</v>
      </c>
      <c r="AC353" s="1" t="s">
        <v>617</v>
      </c>
      <c r="AD353" s="1">
        <v>7015572543</v>
      </c>
      <c r="AE353" s="1" t="s">
        <v>3506</v>
      </c>
      <c r="AF353" s="1" t="s">
        <v>436</v>
      </c>
      <c r="AG353" s="2" t="s">
        <v>42</v>
      </c>
      <c r="AH353" s="1"/>
      <c r="AI353" s="1" t="s">
        <v>42</v>
      </c>
      <c r="AJ353" s="1"/>
      <c r="AK353" s="2" t="s">
        <v>42</v>
      </c>
      <c r="AL353" s="1" t="s">
        <v>3507</v>
      </c>
    </row>
    <row r="354" spans="1:38" ht="20.100000000000001" customHeight="1" x14ac:dyDescent="0.2">
      <c r="A354" s="3">
        <f t="shared" si="10"/>
        <v>351</v>
      </c>
      <c r="B354" s="1" t="s">
        <v>1773</v>
      </c>
      <c r="C354" s="1" t="s">
        <v>1774</v>
      </c>
      <c r="D354" s="1" t="s">
        <v>121</v>
      </c>
      <c r="E354" s="1" t="s">
        <v>39</v>
      </c>
      <c r="F354" s="1" t="s">
        <v>40</v>
      </c>
      <c r="G354" s="1" t="s">
        <v>1775</v>
      </c>
      <c r="H354" s="2">
        <v>46621</v>
      </c>
      <c r="I354" s="2">
        <v>35718</v>
      </c>
      <c r="J354" s="7">
        <f t="shared" ca="1" si="11"/>
        <v>26.054794520547944</v>
      </c>
      <c r="K354" s="1" t="s">
        <v>42</v>
      </c>
      <c r="L354" s="1" t="s">
        <v>1415</v>
      </c>
      <c r="M354" s="2">
        <v>44965</v>
      </c>
      <c r="N354" s="1">
        <v>2</v>
      </c>
      <c r="O354" s="2" t="s">
        <v>42</v>
      </c>
      <c r="P354" s="1" t="s">
        <v>44</v>
      </c>
      <c r="Q354" s="1" t="s">
        <v>408</v>
      </c>
      <c r="R354" s="1" t="s">
        <v>124</v>
      </c>
      <c r="S354" s="1" t="s">
        <v>125</v>
      </c>
      <c r="T354" s="1">
        <v>0</v>
      </c>
      <c r="U354" s="2">
        <v>44965</v>
      </c>
      <c r="V354" s="2">
        <v>45330</v>
      </c>
      <c r="W354" s="2" t="s">
        <v>42</v>
      </c>
      <c r="X354" s="1" t="s">
        <v>42</v>
      </c>
      <c r="Y354" s="2" t="s">
        <v>42</v>
      </c>
      <c r="Z354" s="1" t="s">
        <v>42</v>
      </c>
      <c r="AA354" s="1" t="s">
        <v>1776</v>
      </c>
      <c r="AB354" s="1" t="s">
        <v>1777</v>
      </c>
      <c r="AC354" s="1" t="s">
        <v>522</v>
      </c>
      <c r="AD354" s="1">
        <v>7009073037</v>
      </c>
      <c r="AE354" s="1" t="s">
        <v>103</v>
      </c>
      <c r="AF354" s="1"/>
      <c r="AG354" s="2" t="s">
        <v>42</v>
      </c>
      <c r="AH354" s="1"/>
      <c r="AI354" s="1" t="s">
        <v>42</v>
      </c>
      <c r="AJ354" s="1"/>
      <c r="AK354" s="2" t="s">
        <v>42</v>
      </c>
      <c r="AL354" s="1" t="s">
        <v>3507</v>
      </c>
    </row>
    <row r="355" spans="1:38" ht="20.100000000000001" customHeight="1" x14ac:dyDescent="0.2">
      <c r="A355" s="3">
        <f t="shared" si="10"/>
        <v>352</v>
      </c>
      <c r="B355" s="1" t="s">
        <v>1778</v>
      </c>
      <c r="C355" s="1" t="s">
        <v>1779</v>
      </c>
      <c r="D355" s="1" t="s">
        <v>38</v>
      </c>
      <c r="E355" s="1" t="s">
        <v>69</v>
      </c>
      <c r="F355" s="1" t="s">
        <v>70</v>
      </c>
      <c r="G355" s="1" t="s">
        <v>42</v>
      </c>
      <c r="H355" s="2" t="s">
        <v>42</v>
      </c>
      <c r="I355" s="2" t="s">
        <v>42</v>
      </c>
      <c r="J355" s="7"/>
      <c r="K355" s="1" t="s">
        <v>42</v>
      </c>
      <c r="L355" s="1" t="s">
        <v>42</v>
      </c>
      <c r="M355" s="2">
        <v>44941</v>
      </c>
      <c r="N355" s="1">
        <v>2</v>
      </c>
      <c r="O355" s="2" t="s">
        <v>42</v>
      </c>
      <c r="P355" s="1" t="s">
        <v>44</v>
      </c>
      <c r="Q355" s="1" t="s">
        <v>899</v>
      </c>
      <c r="R355" s="1" t="s">
        <v>900</v>
      </c>
      <c r="S355" s="1" t="s">
        <v>156</v>
      </c>
      <c r="T355" s="1">
        <v>10</v>
      </c>
      <c r="U355" s="2">
        <v>44941</v>
      </c>
      <c r="V355" s="2">
        <v>45671</v>
      </c>
      <c r="W355" s="2" t="s">
        <v>42</v>
      </c>
      <c r="X355" s="1" t="s">
        <v>42</v>
      </c>
      <c r="Y355" s="2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/>
      <c r="AE355" s="1" t="s">
        <v>788</v>
      </c>
      <c r="AF355" s="1" t="s">
        <v>904</v>
      </c>
      <c r="AG355" s="2" t="s">
        <v>42</v>
      </c>
      <c r="AH355" s="1"/>
      <c r="AI355" s="1" t="s">
        <v>42</v>
      </c>
      <c r="AJ355" s="1"/>
      <c r="AK355" s="2" t="s">
        <v>42</v>
      </c>
      <c r="AL355" s="1" t="s">
        <v>3507</v>
      </c>
    </row>
    <row r="356" spans="1:38" ht="20.100000000000001" customHeight="1" x14ac:dyDescent="0.2">
      <c r="A356" s="3">
        <f t="shared" si="10"/>
        <v>353</v>
      </c>
      <c r="B356" s="1" t="s">
        <v>3311</v>
      </c>
      <c r="C356" s="1" t="s">
        <v>3312</v>
      </c>
      <c r="D356" s="1" t="s">
        <v>121</v>
      </c>
      <c r="E356" s="1" t="s">
        <v>39</v>
      </c>
      <c r="F356" s="1" t="s">
        <v>40</v>
      </c>
      <c r="G356" s="1" t="s">
        <v>3313</v>
      </c>
      <c r="H356" s="2">
        <v>46574</v>
      </c>
      <c r="I356" s="2">
        <v>36634</v>
      </c>
      <c r="J356" s="7">
        <f t="shared" ca="1" si="11"/>
        <v>23.545205479452054</v>
      </c>
      <c r="K356" s="1" t="s">
        <v>42</v>
      </c>
      <c r="L356" s="1" t="s">
        <v>211</v>
      </c>
      <c r="M356" s="2">
        <v>44962</v>
      </c>
      <c r="N356" s="1">
        <v>2</v>
      </c>
      <c r="O356" s="2" t="s">
        <v>42</v>
      </c>
      <c r="P356" s="1" t="s">
        <v>44</v>
      </c>
      <c r="Q356" s="1" t="s">
        <v>306</v>
      </c>
      <c r="R356" s="1" t="s">
        <v>60</v>
      </c>
      <c r="S356" s="1" t="s">
        <v>47</v>
      </c>
      <c r="T356" s="1">
        <v>8</v>
      </c>
      <c r="U356" s="2" t="s">
        <v>42</v>
      </c>
      <c r="V356" s="2" t="s">
        <v>42</v>
      </c>
      <c r="W356" s="2" t="s">
        <v>42</v>
      </c>
      <c r="X356" s="1" t="s">
        <v>42</v>
      </c>
      <c r="Y356" s="2" t="s">
        <v>42</v>
      </c>
      <c r="Z356" s="1" t="s">
        <v>3314</v>
      </c>
      <c r="AA356" s="1" t="s">
        <v>3315</v>
      </c>
      <c r="AB356" s="1" t="s">
        <v>3316</v>
      </c>
      <c r="AC356" s="1" t="s">
        <v>129</v>
      </c>
      <c r="AD356" s="1">
        <v>7015572543</v>
      </c>
      <c r="AE356" s="1" t="s">
        <v>3506</v>
      </c>
      <c r="AF356" s="1"/>
      <c r="AG356" s="2">
        <v>45083</v>
      </c>
      <c r="AH356" s="1" t="s">
        <v>2812</v>
      </c>
      <c r="AI356" s="1" t="s">
        <v>42</v>
      </c>
      <c r="AJ356" s="1"/>
      <c r="AK356" s="2" t="s">
        <v>42</v>
      </c>
      <c r="AL356" s="1" t="s">
        <v>2806</v>
      </c>
    </row>
    <row r="357" spans="1:38" ht="20.100000000000001" customHeight="1" x14ac:dyDescent="0.2">
      <c r="A357" s="3">
        <f t="shared" si="10"/>
        <v>354</v>
      </c>
      <c r="B357" s="1" t="s">
        <v>1780</v>
      </c>
      <c r="C357" s="1" t="s">
        <v>1781</v>
      </c>
      <c r="D357" s="1" t="s">
        <v>38</v>
      </c>
      <c r="E357" s="1" t="s">
        <v>39</v>
      </c>
      <c r="F357" s="1" t="s">
        <v>40</v>
      </c>
      <c r="G357" s="1" t="s">
        <v>1782</v>
      </c>
      <c r="H357" s="2">
        <v>45064</v>
      </c>
      <c r="I357" s="2">
        <v>37970</v>
      </c>
      <c r="J357" s="7">
        <f t="shared" ca="1" si="11"/>
        <v>19.884931506849316</v>
      </c>
      <c r="K357" s="1" t="s">
        <v>42</v>
      </c>
      <c r="L357" s="1" t="s">
        <v>211</v>
      </c>
      <c r="M357" s="2">
        <v>44964</v>
      </c>
      <c r="N357" s="1">
        <v>2</v>
      </c>
      <c r="O357" s="2" t="s">
        <v>42</v>
      </c>
      <c r="P357" s="1" t="s">
        <v>44</v>
      </c>
      <c r="Q357" s="1" t="s">
        <v>475</v>
      </c>
      <c r="R357" s="1" t="s">
        <v>60</v>
      </c>
      <c r="S357" s="1" t="s">
        <v>47</v>
      </c>
      <c r="T357" s="1">
        <v>8</v>
      </c>
      <c r="U357" s="2">
        <v>44964</v>
      </c>
      <c r="V357" s="2">
        <v>45329</v>
      </c>
      <c r="W357" s="2" t="s">
        <v>42</v>
      </c>
      <c r="X357" s="1" t="s">
        <v>42</v>
      </c>
      <c r="Y357" s="2" t="s">
        <v>42</v>
      </c>
      <c r="Z357" s="1" t="s">
        <v>1783</v>
      </c>
      <c r="AA357" s="1" t="s">
        <v>1784</v>
      </c>
      <c r="AB357" s="1" t="s">
        <v>1785</v>
      </c>
      <c r="AC357" s="1" t="s">
        <v>129</v>
      </c>
      <c r="AD357" s="1">
        <v>7004853987</v>
      </c>
      <c r="AE357" s="1" t="s">
        <v>471</v>
      </c>
      <c r="AF357" s="1" t="s">
        <v>66</v>
      </c>
      <c r="AG357" s="2" t="s">
        <v>42</v>
      </c>
      <c r="AH357" s="1"/>
      <c r="AI357" s="1" t="s">
        <v>42</v>
      </c>
      <c r="AJ357" s="1"/>
      <c r="AK357" s="2" t="s">
        <v>42</v>
      </c>
      <c r="AL357" s="1" t="s">
        <v>3507</v>
      </c>
    </row>
    <row r="358" spans="1:38" ht="20.100000000000001" customHeight="1" x14ac:dyDescent="0.2">
      <c r="A358" s="3">
        <f t="shared" si="10"/>
        <v>355</v>
      </c>
      <c r="B358" s="1" t="s">
        <v>3317</v>
      </c>
      <c r="C358" s="1" t="s">
        <v>3318</v>
      </c>
      <c r="D358" s="1" t="s">
        <v>38</v>
      </c>
      <c r="E358" s="1" t="s">
        <v>39</v>
      </c>
      <c r="F358" s="1"/>
      <c r="G358" s="1" t="s">
        <v>3319</v>
      </c>
      <c r="H358" s="2">
        <v>46232</v>
      </c>
      <c r="I358" s="2">
        <v>37192</v>
      </c>
      <c r="J358" s="7">
        <f t="shared" ca="1" si="11"/>
        <v>22.016438356164382</v>
      </c>
      <c r="K358" s="1" t="s">
        <v>42</v>
      </c>
      <c r="L358" s="1" t="s">
        <v>211</v>
      </c>
      <c r="M358" s="2">
        <v>44971</v>
      </c>
      <c r="N358" s="1">
        <v>2</v>
      </c>
      <c r="O358" s="2" t="s">
        <v>42</v>
      </c>
      <c r="P358" s="1" t="s">
        <v>44</v>
      </c>
      <c r="Q358" s="1" t="s">
        <v>431</v>
      </c>
      <c r="R358" s="1" t="s">
        <v>42</v>
      </c>
      <c r="S358" s="1" t="s">
        <v>47</v>
      </c>
      <c r="T358" s="1">
        <v>8</v>
      </c>
      <c r="U358" s="2">
        <v>44971</v>
      </c>
      <c r="V358" s="2">
        <v>45336</v>
      </c>
      <c r="W358" s="2" t="s">
        <v>42</v>
      </c>
      <c r="X358" s="1" t="s">
        <v>42</v>
      </c>
      <c r="Y358" s="2" t="s">
        <v>42</v>
      </c>
      <c r="Z358" s="1" t="s">
        <v>3320</v>
      </c>
      <c r="AA358" s="1" t="s">
        <v>3321</v>
      </c>
      <c r="AB358" s="1" t="s">
        <v>3322</v>
      </c>
      <c r="AC358" s="1" t="s">
        <v>50</v>
      </c>
      <c r="AD358" s="1">
        <v>7009073037</v>
      </c>
      <c r="AE358" s="1" t="s">
        <v>103</v>
      </c>
      <c r="AF358" s="1"/>
      <c r="AG358" s="2">
        <v>44980</v>
      </c>
      <c r="AH358" s="1" t="s">
        <v>2812</v>
      </c>
      <c r="AI358" s="1" t="s">
        <v>42</v>
      </c>
      <c r="AJ358" s="1"/>
      <c r="AK358" s="2" t="s">
        <v>42</v>
      </c>
      <c r="AL358" s="1" t="s">
        <v>2806</v>
      </c>
    </row>
    <row r="359" spans="1:38" ht="20.100000000000001" customHeight="1" x14ac:dyDescent="0.2">
      <c r="A359" s="3">
        <f t="shared" si="10"/>
        <v>356</v>
      </c>
      <c r="B359" s="1" t="s">
        <v>1786</v>
      </c>
      <c r="C359" s="1" t="s">
        <v>1787</v>
      </c>
      <c r="D359" s="1" t="s">
        <v>121</v>
      </c>
      <c r="E359" s="1" t="s">
        <v>39</v>
      </c>
      <c r="F359" s="1" t="s">
        <v>40</v>
      </c>
      <c r="G359" s="1" t="s">
        <v>1788</v>
      </c>
      <c r="H359" s="2">
        <v>45921</v>
      </c>
      <c r="I359" s="2">
        <v>36616</v>
      </c>
      <c r="J359" s="7">
        <f t="shared" ca="1" si="11"/>
        <v>23.594520547945205</v>
      </c>
      <c r="K359" s="1" t="s">
        <v>42</v>
      </c>
      <c r="L359" s="1" t="s">
        <v>1415</v>
      </c>
      <c r="M359" s="2">
        <v>44972</v>
      </c>
      <c r="N359" s="1">
        <v>2</v>
      </c>
      <c r="O359" s="2" t="s">
        <v>42</v>
      </c>
      <c r="P359" s="1" t="s">
        <v>44</v>
      </c>
      <c r="Q359" s="1" t="s">
        <v>408</v>
      </c>
      <c r="R359" s="1" t="s">
        <v>124</v>
      </c>
      <c r="S359" s="1" t="s">
        <v>125</v>
      </c>
      <c r="T359" s="1">
        <v>0</v>
      </c>
      <c r="U359" s="2">
        <v>44972</v>
      </c>
      <c r="V359" s="2">
        <v>45337</v>
      </c>
      <c r="W359" s="2" t="s">
        <v>42</v>
      </c>
      <c r="X359" s="1" t="s">
        <v>42</v>
      </c>
      <c r="Y359" s="2" t="s">
        <v>42</v>
      </c>
      <c r="Z359" s="1" t="s">
        <v>1789</v>
      </c>
      <c r="AA359" s="1" t="s">
        <v>1790</v>
      </c>
      <c r="AB359" s="1" t="s">
        <v>1791</v>
      </c>
      <c r="AC359" s="1" t="s">
        <v>372</v>
      </c>
      <c r="AD359" s="1">
        <v>7009073037</v>
      </c>
      <c r="AE359" s="1" t="s">
        <v>103</v>
      </c>
      <c r="AF359" s="1"/>
      <c r="AG359" s="2" t="s">
        <v>42</v>
      </c>
      <c r="AH359" s="1"/>
      <c r="AI359" s="1" t="s">
        <v>42</v>
      </c>
      <c r="AJ359" s="1"/>
      <c r="AK359" s="2" t="s">
        <v>42</v>
      </c>
      <c r="AL359" s="1" t="s">
        <v>3507</v>
      </c>
    </row>
    <row r="360" spans="1:38" ht="20.100000000000001" customHeight="1" x14ac:dyDescent="0.2">
      <c r="A360" s="3">
        <f t="shared" si="10"/>
        <v>357</v>
      </c>
      <c r="B360" s="1" t="s">
        <v>1792</v>
      </c>
      <c r="C360" s="1" t="s">
        <v>1793</v>
      </c>
      <c r="D360" s="1" t="s">
        <v>121</v>
      </c>
      <c r="E360" s="1" t="s">
        <v>39</v>
      </c>
      <c r="F360" s="1" t="s">
        <v>40</v>
      </c>
      <c r="G360" s="1" t="s">
        <v>1794</v>
      </c>
      <c r="H360" s="2">
        <v>48433</v>
      </c>
      <c r="I360" s="2">
        <v>33700</v>
      </c>
      <c r="J360" s="7">
        <f t="shared" ca="1" si="11"/>
        <v>31.583561643835615</v>
      </c>
      <c r="K360" s="1" t="s">
        <v>42</v>
      </c>
      <c r="L360" s="1" t="s">
        <v>1415</v>
      </c>
      <c r="M360" s="2">
        <v>44972</v>
      </c>
      <c r="N360" s="1">
        <v>2</v>
      </c>
      <c r="O360" s="2" t="s">
        <v>42</v>
      </c>
      <c r="P360" s="1" t="s">
        <v>44</v>
      </c>
      <c r="Q360" s="1" t="s">
        <v>408</v>
      </c>
      <c r="R360" s="1" t="s">
        <v>124</v>
      </c>
      <c r="S360" s="1" t="s">
        <v>125</v>
      </c>
      <c r="T360" s="1">
        <v>0</v>
      </c>
      <c r="U360" s="2">
        <v>44972</v>
      </c>
      <c r="V360" s="2">
        <v>45337</v>
      </c>
      <c r="W360" s="2" t="s">
        <v>42</v>
      </c>
      <c r="X360" s="1" t="s">
        <v>42</v>
      </c>
      <c r="Y360" s="2" t="s">
        <v>42</v>
      </c>
      <c r="Z360" s="1" t="s">
        <v>1795</v>
      </c>
      <c r="AA360" s="1" t="s">
        <v>1796</v>
      </c>
      <c r="AB360" s="1" t="s">
        <v>1797</v>
      </c>
      <c r="AC360" s="1" t="s">
        <v>129</v>
      </c>
      <c r="AD360" s="1">
        <v>7021202564</v>
      </c>
      <c r="AE360" s="1" t="s">
        <v>567</v>
      </c>
      <c r="AF360" s="1"/>
      <c r="AG360" s="2" t="s">
        <v>42</v>
      </c>
      <c r="AH360" s="1"/>
      <c r="AI360" s="1" t="s">
        <v>42</v>
      </c>
      <c r="AJ360" s="1"/>
      <c r="AK360" s="2" t="s">
        <v>42</v>
      </c>
      <c r="AL360" s="1" t="s">
        <v>3507</v>
      </c>
    </row>
    <row r="361" spans="1:38" ht="20.100000000000001" customHeight="1" x14ac:dyDescent="0.2">
      <c r="A361" s="3">
        <f t="shared" si="10"/>
        <v>358</v>
      </c>
      <c r="B361" s="1" t="s">
        <v>1798</v>
      </c>
      <c r="C361" s="1" t="s">
        <v>1799</v>
      </c>
      <c r="D361" s="1" t="s">
        <v>121</v>
      </c>
      <c r="E361" s="1" t="s">
        <v>39</v>
      </c>
      <c r="F361" s="1" t="s">
        <v>40</v>
      </c>
      <c r="G361" s="1" t="s">
        <v>1800</v>
      </c>
      <c r="H361" s="2">
        <v>46021</v>
      </c>
      <c r="I361" s="2">
        <v>33345</v>
      </c>
      <c r="J361" s="7">
        <f t="shared" ca="1" si="11"/>
        <v>32.556164383561644</v>
      </c>
      <c r="K361" s="1" t="s">
        <v>42</v>
      </c>
      <c r="L361" s="1" t="s">
        <v>1415</v>
      </c>
      <c r="M361" s="2">
        <v>44972</v>
      </c>
      <c r="N361" s="1">
        <v>2</v>
      </c>
      <c r="O361" s="2" t="s">
        <v>42</v>
      </c>
      <c r="P361" s="1" t="s">
        <v>44</v>
      </c>
      <c r="Q361" s="1" t="s">
        <v>408</v>
      </c>
      <c r="R361" s="1" t="s">
        <v>124</v>
      </c>
      <c r="S361" s="1" t="s">
        <v>125</v>
      </c>
      <c r="T361" s="1">
        <v>0</v>
      </c>
      <c r="U361" s="2">
        <v>44972</v>
      </c>
      <c r="V361" s="2">
        <v>45337</v>
      </c>
      <c r="W361" s="2" t="s">
        <v>42</v>
      </c>
      <c r="X361" s="1" t="s">
        <v>42</v>
      </c>
      <c r="Y361" s="2" t="s">
        <v>42</v>
      </c>
      <c r="Z361" s="1" t="s">
        <v>42</v>
      </c>
      <c r="AA361" s="1" t="s">
        <v>1801</v>
      </c>
      <c r="AB361" s="1" t="s">
        <v>1802</v>
      </c>
      <c r="AC361" s="1" t="s">
        <v>522</v>
      </c>
      <c r="AD361" s="1">
        <v>7009073037</v>
      </c>
      <c r="AE361" s="1" t="s">
        <v>103</v>
      </c>
      <c r="AF361" s="1"/>
      <c r="AG361" s="2" t="s">
        <v>42</v>
      </c>
      <c r="AH361" s="1"/>
      <c r="AI361" s="1" t="s">
        <v>42</v>
      </c>
      <c r="AJ361" s="1"/>
      <c r="AK361" s="2" t="s">
        <v>42</v>
      </c>
      <c r="AL361" s="1" t="s">
        <v>3507</v>
      </c>
    </row>
    <row r="362" spans="1:38" ht="20.100000000000001" customHeight="1" x14ac:dyDescent="0.2">
      <c r="A362" s="3">
        <f t="shared" si="10"/>
        <v>359</v>
      </c>
      <c r="B362" s="1" t="s">
        <v>1803</v>
      </c>
      <c r="C362" s="1" t="s">
        <v>1804</v>
      </c>
      <c r="D362" s="1" t="s">
        <v>121</v>
      </c>
      <c r="E362" s="1" t="s">
        <v>39</v>
      </c>
      <c r="F362" s="1" t="s">
        <v>40</v>
      </c>
      <c r="G362" s="1" t="s">
        <v>1805</v>
      </c>
      <c r="H362" s="2">
        <v>46380</v>
      </c>
      <c r="I362" s="2">
        <v>37004</v>
      </c>
      <c r="J362" s="7">
        <f t="shared" ca="1" si="11"/>
        <v>22.531506849315068</v>
      </c>
      <c r="K362" s="1" t="s">
        <v>42</v>
      </c>
      <c r="L362" s="1" t="s">
        <v>1415</v>
      </c>
      <c r="M362" s="2">
        <v>44973</v>
      </c>
      <c r="N362" s="1">
        <v>2</v>
      </c>
      <c r="O362" s="2" t="s">
        <v>42</v>
      </c>
      <c r="P362" s="1" t="s">
        <v>44</v>
      </c>
      <c r="Q362" s="1" t="s">
        <v>408</v>
      </c>
      <c r="R362" s="1" t="s">
        <v>124</v>
      </c>
      <c r="S362" s="1" t="s">
        <v>125</v>
      </c>
      <c r="T362" s="1">
        <v>0</v>
      </c>
      <c r="U362" s="2">
        <v>44973</v>
      </c>
      <c r="V362" s="2">
        <v>45338</v>
      </c>
      <c r="W362" s="2" t="s">
        <v>42</v>
      </c>
      <c r="X362" s="1" t="s">
        <v>42</v>
      </c>
      <c r="Y362" s="2" t="s">
        <v>42</v>
      </c>
      <c r="Z362" s="1" t="s">
        <v>1806</v>
      </c>
      <c r="AA362" s="1" t="s">
        <v>1807</v>
      </c>
      <c r="AB362" s="1" t="s">
        <v>1808</v>
      </c>
      <c r="AC362" s="1" t="s">
        <v>129</v>
      </c>
      <c r="AD362" s="1">
        <v>7009073037</v>
      </c>
      <c r="AE362" s="1" t="s">
        <v>103</v>
      </c>
      <c r="AF362" s="1"/>
      <c r="AG362" s="2" t="s">
        <v>42</v>
      </c>
      <c r="AH362" s="1"/>
      <c r="AI362" s="1" t="s">
        <v>42</v>
      </c>
      <c r="AJ362" s="1"/>
      <c r="AK362" s="2" t="s">
        <v>42</v>
      </c>
      <c r="AL362" s="1" t="s">
        <v>3507</v>
      </c>
    </row>
    <row r="363" spans="1:38" ht="20.100000000000001" customHeight="1" x14ac:dyDescent="0.2">
      <c r="A363" s="3">
        <f t="shared" si="10"/>
        <v>360</v>
      </c>
      <c r="B363" s="1" t="s">
        <v>1809</v>
      </c>
      <c r="C363" s="1" t="s">
        <v>1810</v>
      </c>
      <c r="D363" s="1" t="s">
        <v>121</v>
      </c>
      <c r="E363" s="1" t="s">
        <v>39</v>
      </c>
      <c r="F363" s="1" t="s">
        <v>40</v>
      </c>
      <c r="G363" s="1" t="s">
        <v>1811</v>
      </c>
      <c r="H363" s="2">
        <v>48080</v>
      </c>
      <c r="I363" s="2">
        <v>32763</v>
      </c>
      <c r="J363" s="7">
        <f t="shared" ca="1" si="11"/>
        <v>34.150684931506852</v>
      </c>
      <c r="K363" s="1" t="s">
        <v>42</v>
      </c>
      <c r="L363" s="1" t="s">
        <v>1415</v>
      </c>
      <c r="M363" s="2">
        <v>44973</v>
      </c>
      <c r="N363" s="1">
        <v>2</v>
      </c>
      <c r="O363" s="2" t="s">
        <v>42</v>
      </c>
      <c r="P363" s="1" t="s">
        <v>44</v>
      </c>
      <c r="Q363" s="1" t="s">
        <v>408</v>
      </c>
      <c r="R363" s="1" t="s">
        <v>124</v>
      </c>
      <c r="S363" s="1" t="s">
        <v>125</v>
      </c>
      <c r="T363" s="1">
        <v>0</v>
      </c>
      <c r="U363" s="2">
        <v>44973</v>
      </c>
      <c r="V363" s="2">
        <v>45338</v>
      </c>
      <c r="W363" s="2" t="s">
        <v>42</v>
      </c>
      <c r="X363" s="1" t="s">
        <v>42</v>
      </c>
      <c r="Y363" s="2" t="s">
        <v>42</v>
      </c>
      <c r="Z363" s="1" t="s">
        <v>1812</v>
      </c>
      <c r="AA363" s="1" t="s">
        <v>1813</v>
      </c>
      <c r="AB363" s="1" t="s">
        <v>1814</v>
      </c>
      <c r="AC363" s="1" t="s">
        <v>129</v>
      </c>
      <c r="AD363" s="1">
        <v>7009073037</v>
      </c>
      <c r="AE363" s="1" t="s">
        <v>103</v>
      </c>
      <c r="AF363" s="1"/>
      <c r="AG363" s="2" t="s">
        <v>42</v>
      </c>
      <c r="AH363" s="1"/>
      <c r="AI363" s="1" t="s">
        <v>42</v>
      </c>
      <c r="AJ363" s="1"/>
      <c r="AK363" s="2" t="s">
        <v>42</v>
      </c>
      <c r="AL363" s="1" t="s">
        <v>3507</v>
      </c>
    </row>
    <row r="364" spans="1:38" ht="20.100000000000001" customHeight="1" x14ac:dyDescent="0.2">
      <c r="A364" s="3">
        <f t="shared" si="10"/>
        <v>361</v>
      </c>
      <c r="B364" s="1" t="s">
        <v>3323</v>
      </c>
      <c r="C364" s="1" t="s">
        <v>3324</v>
      </c>
      <c r="D364" s="1" t="s">
        <v>38</v>
      </c>
      <c r="E364" s="1" t="s">
        <v>54</v>
      </c>
      <c r="F364" s="1" t="s">
        <v>55</v>
      </c>
      <c r="G364" s="1" t="s">
        <v>3325</v>
      </c>
      <c r="H364" s="2">
        <v>45324</v>
      </c>
      <c r="I364" s="2">
        <v>37046</v>
      </c>
      <c r="J364" s="7">
        <f t="shared" ca="1" si="11"/>
        <v>22.416438356164385</v>
      </c>
      <c r="K364" s="1" t="s">
        <v>3326</v>
      </c>
      <c r="L364" s="1" t="s">
        <v>134</v>
      </c>
      <c r="M364" s="2">
        <v>44972</v>
      </c>
      <c r="N364" s="1">
        <v>2</v>
      </c>
      <c r="O364" s="2" t="s">
        <v>42</v>
      </c>
      <c r="P364" s="1" t="s">
        <v>44</v>
      </c>
      <c r="Q364" s="1" t="s">
        <v>722</v>
      </c>
      <c r="R364" s="1" t="s">
        <v>60</v>
      </c>
      <c r="S364" s="1" t="s">
        <v>156</v>
      </c>
      <c r="T364" s="1" t="s">
        <v>42</v>
      </c>
      <c r="U364" s="2" t="s">
        <v>42</v>
      </c>
      <c r="V364" s="2" t="s">
        <v>42</v>
      </c>
      <c r="W364" s="2" t="s">
        <v>42</v>
      </c>
      <c r="X364" s="1" t="s">
        <v>42</v>
      </c>
      <c r="Y364" s="2" t="s">
        <v>42</v>
      </c>
      <c r="Z364" s="1" t="s">
        <v>3327</v>
      </c>
      <c r="AA364" s="1" t="s">
        <v>3328</v>
      </c>
      <c r="AB364" s="1" t="s">
        <v>3329</v>
      </c>
      <c r="AC364" s="1" t="s">
        <v>50</v>
      </c>
      <c r="AD364" s="1"/>
      <c r="AE364" s="1" t="s">
        <v>788</v>
      </c>
      <c r="AF364" s="1"/>
      <c r="AG364" s="2">
        <v>45109</v>
      </c>
      <c r="AH364" s="1" t="s">
        <v>2812</v>
      </c>
      <c r="AI364" s="1" t="s">
        <v>42</v>
      </c>
      <c r="AJ364" s="1"/>
      <c r="AK364" s="2" t="s">
        <v>42</v>
      </c>
      <c r="AL364" s="1" t="s">
        <v>2806</v>
      </c>
    </row>
    <row r="365" spans="1:38" ht="20.100000000000001" customHeight="1" x14ac:dyDescent="0.2">
      <c r="A365" s="3">
        <f t="shared" si="10"/>
        <v>362</v>
      </c>
      <c r="B365" s="1" t="s">
        <v>1815</v>
      </c>
      <c r="C365" s="1" t="s">
        <v>1816</v>
      </c>
      <c r="D365" s="1" t="s">
        <v>38</v>
      </c>
      <c r="E365" s="1" t="s">
        <v>54</v>
      </c>
      <c r="F365" s="1" t="s">
        <v>55</v>
      </c>
      <c r="G365" s="1" t="s">
        <v>1817</v>
      </c>
      <c r="H365" s="2">
        <v>45233</v>
      </c>
      <c r="I365" s="2">
        <v>35866</v>
      </c>
      <c r="J365" s="7">
        <f t="shared" ca="1" si="11"/>
        <v>25.649315068493152</v>
      </c>
      <c r="K365" s="1" t="s">
        <v>482</v>
      </c>
      <c r="L365" s="1" t="s">
        <v>134</v>
      </c>
      <c r="M365" s="2">
        <v>44972</v>
      </c>
      <c r="N365" s="1">
        <v>2</v>
      </c>
      <c r="O365" s="2" t="s">
        <v>42</v>
      </c>
      <c r="P365" s="1" t="s">
        <v>44</v>
      </c>
      <c r="Q365" s="1" t="s">
        <v>744</v>
      </c>
      <c r="R365" s="1" t="s">
        <v>60</v>
      </c>
      <c r="S365" s="1" t="s">
        <v>47</v>
      </c>
      <c r="T365" s="1">
        <v>8</v>
      </c>
      <c r="U365" s="2" t="s">
        <v>42</v>
      </c>
      <c r="V365" s="2" t="s">
        <v>42</v>
      </c>
      <c r="W365" s="2" t="s">
        <v>42</v>
      </c>
      <c r="X365" s="1" t="s">
        <v>1818</v>
      </c>
      <c r="Y365" s="2">
        <v>44996</v>
      </c>
      <c r="Z365" s="1" t="s">
        <v>1819</v>
      </c>
      <c r="AA365" s="1" t="s">
        <v>1820</v>
      </c>
      <c r="AB365" s="1" t="s">
        <v>1821</v>
      </c>
      <c r="AC365" s="1" t="s">
        <v>50</v>
      </c>
      <c r="AD365" s="1">
        <v>7015572543</v>
      </c>
      <c r="AE365" s="1" t="s">
        <v>3506</v>
      </c>
      <c r="AF365" s="1" t="s">
        <v>66</v>
      </c>
      <c r="AG365" s="2" t="s">
        <v>42</v>
      </c>
      <c r="AH365" s="1"/>
      <c r="AI365" s="1" t="s">
        <v>42</v>
      </c>
      <c r="AJ365" s="1"/>
      <c r="AK365" s="2" t="s">
        <v>42</v>
      </c>
      <c r="AL365" s="1" t="s">
        <v>3507</v>
      </c>
    </row>
    <row r="366" spans="1:38" ht="20.100000000000001" customHeight="1" x14ac:dyDescent="0.2">
      <c r="A366" s="3">
        <f t="shared" si="10"/>
        <v>363</v>
      </c>
      <c r="B366" s="1" t="s">
        <v>3330</v>
      </c>
      <c r="C366" s="1" t="s">
        <v>3331</v>
      </c>
      <c r="D366" s="1" t="s">
        <v>38</v>
      </c>
      <c r="E366" s="1" t="s">
        <v>54</v>
      </c>
      <c r="F366" s="1" t="s">
        <v>55</v>
      </c>
      <c r="G366" s="1" t="s">
        <v>3332</v>
      </c>
      <c r="H366" s="2">
        <v>45134</v>
      </c>
      <c r="I366" s="2">
        <v>36131</v>
      </c>
      <c r="J366" s="7">
        <f t="shared" ca="1" si="11"/>
        <v>24.923287671232877</v>
      </c>
      <c r="K366" s="1" t="s">
        <v>482</v>
      </c>
      <c r="L366" s="1" t="s">
        <v>134</v>
      </c>
      <c r="M366" s="2">
        <v>44972</v>
      </c>
      <c r="N366" s="1">
        <v>2</v>
      </c>
      <c r="O366" s="2" t="s">
        <v>42</v>
      </c>
      <c r="P366" s="1" t="s">
        <v>44</v>
      </c>
      <c r="Q366" s="1" t="s">
        <v>59</v>
      </c>
      <c r="R366" s="1" t="s">
        <v>432</v>
      </c>
      <c r="S366" s="1" t="s">
        <v>47</v>
      </c>
      <c r="T366" s="1" t="s">
        <v>42</v>
      </c>
      <c r="U366" s="2" t="s">
        <v>42</v>
      </c>
      <c r="V366" s="2" t="s">
        <v>42</v>
      </c>
      <c r="W366" s="2" t="s">
        <v>42</v>
      </c>
      <c r="X366" s="1" t="s">
        <v>42</v>
      </c>
      <c r="Y366" s="2" t="s">
        <v>42</v>
      </c>
      <c r="Z366" s="1" t="s">
        <v>3333</v>
      </c>
      <c r="AA366" s="1" t="s">
        <v>3334</v>
      </c>
      <c r="AB366" s="1" t="s">
        <v>42</v>
      </c>
      <c r="AC366" s="1" t="s">
        <v>42</v>
      </c>
      <c r="AD366" s="1">
        <v>7009073037</v>
      </c>
      <c r="AE366" s="1" t="s">
        <v>103</v>
      </c>
      <c r="AF366" s="1"/>
      <c r="AG366" s="2">
        <v>45127</v>
      </c>
      <c r="AH366" s="1" t="s">
        <v>2812</v>
      </c>
      <c r="AI366" s="1" t="s">
        <v>42</v>
      </c>
      <c r="AJ366" s="1"/>
      <c r="AK366" s="2" t="s">
        <v>42</v>
      </c>
      <c r="AL366" s="1" t="s">
        <v>2806</v>
      </c>
    </row>
    <row r="367" spans="1:38" ht="20.100000000000001" customHeight="1" x14ac:dyDescent="0.2">
      <c r="A367" s="3">
        <f t="shared" si="10"/>
        <v>364</v>
      </c>
      <c r="B367" s="1" t="s">
        <v>1822</v>
      </c>
      <c r="C367" s="1" t="s">
        <v>1823</v>
      </c>
      <c r="D367" s="1" t="s">
        <v>38</v>
      </c>
      <c r="E367" s="1" t="s">
        <v>54</v>
      </c>
      <c r="F367" s="1" t="s">
        <v>55</v>
      </c>
      <c r="G367" s="1" t="s">
        <v>1824</v>
      </c>
      <c r="H367" s="2">
        <v>45356</v>
      </c>
      <c r="I367" s="2">
        <v>32540</v>
      </c>
      <c r="J367" s="7">
        <f t="shared" ca="1" si="11"/>
        <v>34.761643835616439</v>
      </c>
      <c r="K367" s="1" t="s">
        <v>133</v>
      </c>
      <c r="L367" s="1" t="s">
        <v>134</v>
      </c>
      <c r="M367" s="2">
        <v>44972</v>
      </c>
      <c r="N367" s="1">
        <v>2</v>
      </c>
      <c r="O367" s="2" t="s">
        <v>42</v>
      </c>
      <c r="P367" s="1" t="s">
        <v>44</v>
      </c>
      <c r="Q367" s="1" t="s">
        <v>431</v>
      </c>
      <c r="R367" s="1" t="s">
        <v>60</v>
      </c>
      <c r="S367" s="1" t="s">
        <v>47</v>
      </c>
      <c r="T367" s="1" t="s">
        <v>42</v>
      </c>
      <c r="U367" s="2" t="s">
        <v>42</v>
      </c>
      <c r="V367" s="2" t="s">
        <v>42</v>
      </c>
      <c r="W367" s="2" t="s">
        <v>42</v>
      </c>
      <c r="X367" s="1" t="s">
        <v>42</v>
      </c>
      <c r="Y367" s="2" t="s">
        <v>42</v>
      </c>
      <c r="Z367" s="1" t="s">
        <v>1825</v>
      </c>
      <c r="AA367" s="1" t="s">
        <v>1826</v>
      </c>
      <c r="AB367" s="1" t="s">
        <v>1827</v>
      </c>
      <c r="AC367" s="1" t="s">
        <v>129</v>
      </c>
      <c r="AD367" s="1">
        <v>7015572543</v>
      </c>
      <c r="AE367" s="1" t="s">
        <v>3506</v>
      </c>
      <c r="AF367" s="1" t="s">
        <v>436</v>
      </c>
      <c r="AG367" s="2" t="s">
        <v>42</v>
      </c>
      <c r="AH367" s="1"/>
      <c r="AI367" s="1" t="s">
        <v>42</v>
      </c>
      <c r="AJ367" s="1"/>
      <c r="AK367" s="2" t="s">
        <v>42</v>
      </c>
      <c r="AL367" s="1" t="s">
        <v>3507</v>
      </c>
    </row>
    <row r="368" spans="1:38" ht="20.100000000000001" customHeight="1" x14ac:dyDescent="0.2">
      <c r="A368" s="3">
        <f t="shared" si="10"/>
        <v>365</v>
      </c>
      <c r="B368" s="1" t="s">
        <v>1828</v>
      </c>
      <c r="C368" s="1" t="s">
        <v>1829</v>
      </c>
      <c r="D368" s="1" t="s">
        <v>38</v>
      </c>
      <c r="E368" s="1" t="s">
        <v>54</v>
      </c>
      <c r="F368" s="1" t="s">
        <v>55</v>
      </c>
      <c r="G368" s="1" t="s">
        <v>1830</v>
      </c>
      <c r="H368" s="2">
        <v>45356</v>
      </c>
      <c r="I368" s="2">
        <v>35872</v>
      </c>
      <c r="J368" s="7">
        <f t="shared" ca="1" si="11"/>
        <v>25.632876712328766</v>
      </c>
      <c r="K368" s="1" t="s">
        <v>1089</v>
      </c>
      <c r="L368" s="1" t="s">
        <v>1089</v>
      </c>
      <c r="M368" s="2">
        <v>44972</v>
      </c>
      <c r="N368" s="1">
        <v>2</v>
      </c>
      <c r="O368" s="2" t="s">
        <v>42</v>
      </c>
      <c r="P368" s="1" t="s">
        <v>44</v>
      </c>
      <c r="Q368" s="1" t="s">
        <v>1333</v>
      </c>
      <c r="R368" s="1" t="s">
        <v>60</v>
      </c>
      <c r="S368" s="1" t="s">
        <v>47</v>
      </c>
      <c r="T368" s="1" t="s">
        <v>42</v>
      </c>
      <c r="U368" s="2" t="s">
        <v>42</v>
      </c>
      <c r="V368" s="2" t="s">
        <v>42</v>
      </c>
      <c r="W368" s="2" t="s">
        <v>42</v>
      </c>
      <c r="X368" s="1" t="s">
        <v>42</v>
      </c>
      <c r="Y368" s="2" t="s">
        <v>42</v>
      </c>
      <c r="Z368" s="1" t="s">
        <v>1831</v>
      </c>
      <c r="AA368" s="1" t="s">
        <v>1832</v>
      </c>
      <c r="AB368" s="1" t="s">
        <v>1833</v>
      </c>
      <c r="AC368" s="1" t="s">
        <v>129</v>
      </c>
      <c r="AD368" s="1">
        <v>7015572543</v>
      </c>
      <c r="AE368" s="1" t="s">
        <v>3506</v>
      </c>
      <c r="AF368" s="1" t="s">
        <v>436</v>
      </c>
      <c r="AG368" s="2" t="s">
        <v>42</v>
      </c>
      <c r="AH368" s="1"/>
      <c r="AI368" s="1" t="s">
        <v>42</v>
      </c>
      <c r="AJ368" s="1"/>
      <c r="AK368" s="2" t="s">
        <v>42</v>
      </c>
      <c r="AL368" s="1" t="s">
        <v>3507</v>
      </c>
    </row>
    <row r="369" spans="1:38" ht="20.100000000000001" customHeight="1" x14ac:dyDescent="0.2">
      <c r="A369" s="3">
        <f t="shared" si="10"/>
        <v>366</v>
      </c>
      <c r="B369" s="1" t="s">
        <v>1834</v>
      </c>
      <c r="C369" s="1" t="s">
        <v>1835</v>
      </c>
      <c r="D369" s="1" t="s">
        <v>38</v>
      </c>
      <c r="E369" s="1" t="s">
        <v>54</v>
      </c>
      <c r="F369" s="1" t="s">
        <v>55</v>
      </c>
      <c r="G369" s="1" t="s">
        <v>1836</v>
      </c>
      <c r="H369" s="2">
        <v>45344</v>
      </c>
      <c r="I369" s="2">
        <v>36033</v>
      </c>
      <c r="J369" s="7">
        <f t="shared" ca="1" si="11"/>
        <v>25.19178082191781</v>
      </c>
      <c r="K369" s="1" t="s">
        <v>1089</v>
      </c>
      <c r="L369" s="1" t="s">
        <v>1089</v>
      </c>
      <c r="M369" s="2">
        <v>44972</v>
      </c>
      <c r="N369" s="1">
        <v>2</v>
      </c>
      <c r="O369" s="2" t="s">
        <v>42</v>
      </c>
      <c r="P369" s="1" t="s">
        <v>44</v>
      </c>
      <c r="Q369" s="1" t="s">
        <v>1309</v>
      </c>
      <c r="R369" s="1" t="s">
        <v>1122</v>
      </c>
      <c r="S369" s="1" t="s">
        <v>47</v>
      </c>
      <c r="T369" s="1" t="s">
        <v>42</v>
      </c>
      <c r="U369" s="2" t="s">
        <v>42</v>
      </c>
      <c r="V369" s="2" t="s">
        <v>42</v>
      </c>
      <c r="W369" s="2" t="s">
        <v>42</v>
      </c>
      <c r="X369" s="1" t="s">
        <v>42</v>
      </c>
      <c r="Y369" s="2" t="s">
        <v>42</v>
      </c>
      <c r="Z369" s="1" t="s">
        <v>42</v>
      </c>
      <c r="AA369" s="1" t="s">
        <v>42</v>
      </c>
      <c r="AB369" s="1" t="s">
        <v>1837</v>
      </c>
      <c r="AC369" s="1" t="s">
        <v>551</v>
      </c>
      <c r="AD369" s="1">
        <v>7009073037</v>
      </c>
      <c r="AE369" s="1" t="s">
        <v>103</v>
      </c>
      <c r="AF369" s="1" t="s">
        <v>436</v>
      </c>
      <c r="AG369" s="2" t="s">
        <v>42</v>
      </c>
      <c r="AH369" s="1"/>
      <c r="AI369" s="1" t="s">
        <v>42</v>
      </c>
      <c r="AJ369" s="1"/>
      <c r="AK369" s="2" t="s">
        <v>42</v>
      </c>
      <c r="AL369" s="1" t="s">
        <v>3507</v>
      </c>
    </row>
    <row r="370" spans="1:38" ht="20.100000000000001" customHeight="1" x14ac:dyDescent="0.2">
      <c r="A370" s="3">
        <f t="shared" si="10"/>
        <v>367</v>
      </c>
      <c r="B370" s="1" t="s">
        <v>1838</v>
      </c>
      <c r="C370" s="1" t="s">
        <v>1839</v>
      </c>
      <c r="D370" s="1" t="s">
        <v>38</v>
      </c>
      <c r="E370" s="1" t="s">
        <v>54</v>
      </c>
      <c r="F370" s="1" t="s">
        <v>55</v>
      </c>
      <c r="G370" s="1" t="s">
        <v>1840</v>
      </c>
      <c r="H370" s="2">
        <v>45316</v>
      </c>
      <c r="I370" s="2">
        <v>35223</v>
      </c>
      <c r="J370" s="7">
        <f t="shared" ca="1" si="11"/>
        <v>27.410958904109588</v>
      </c>
      <c r="K370" s="1" t="s">
        <v>220</v>
      </c>
      <c r="L370" s="1" t="s">
        <v>1083</v>
      </c>
      <c r="M370" s="2">
        <v>44975</v>
      </c>
      <c r="N370" s="1">
        <v>2</v>
      </c>
      <c r="O370" s="2" t="s">
        <v>42</v>
      </c>
      <c r="P370" s="1" t="s">
        <v>44</v>
      </c>
      <c r="Q370" s="1" t="s">
        <v>178</v>
      </c>
      <c r="R370" s="1" t="s">
        <v>1841</v>
      </c>
      <c r="S370" s="1" t="s">
        <v>47</v>
      </c>
      <c r="T370" s="1" t="s">
        <v>42</v>
      </c>
      <c r="U370" s="2" t="s">
        <v>42</v>
      </c>
      <c r="V370" s="2" t="s">
        <v>42</v>
      </c>
      <c r="W370" s="2" t="s">
        <v>42</v>
      </c>
      <c r="X370" s="1" t="s">
        <v>42</v>
      </c>
      <c r="Y370" s="2" t="s">
        <v>42</v>
      </c>
      <c r="Z370" s="1" t="s">
        <v>1842</v>
      </c>
      <c r="AA370" s="1" t="s">
        <v>1843</v>
      </c>
      <c r="AB370" s="1" t="s">
        <v>1844</v>
      </c>
      <c r="AC370" s="1" t="s">
        <v>522</v>
      </c>
      <c r="AD370" s="1">
        <v>7009073037</v>
      </c>
      <c r="AE370" s="1" t="s">
        <v>103</v>
      </c>
      <c r="AF370" s="1"/>
      <c r="AG370" s="2" t="s">
        <v>42</v>
      </c>
      <c r="AH370" s="1"/>
      <c r="AI370" s="1" t="s">
        <v>42</v>
      </c>
      <c r="AJ370" s="1"/>
      <c r="AK370" s="2" t="s">
        <v>42</v>
      </c>
      <c r="AL370" s="1" t="s">
        <v>3507</v>
      </c>
    </row>
    <row r="371" spans="1:38" ht="20.100000000000001" customHeight="1" x14ac:dyDescent="0.2">
      <c r="A371" s="3">
        <f t="shared" si="10"/>
        <v>368</v>
      </c>
      <c r="B371" s="1" t="s">
        <v>1845</v>
      </c>
      <c r="C371" s="1" t="s">
        <v>1846</v>
      </c>
      <c r="D371" s="1" t="s">
        <v>121</v>
      </c>
      <c r="E371" s="1" t="s">
        <v>39</v>
      </c>
      <c r="F371" s="1" t="s">
        <v>40</v>
      </c>
      <c r="G371" s="1" t="s">
        <v>1847</v>
      </c>
      <c r="H371" s="2">
        <v>46011</v>
      </c>
      <c r="I371" s="2">
        <v>36486</v>
      </c>
      <c r="J371" s="7">
        <f t="shared" ca="1" si="11"/>
        <v>23.950684931506849</v>
      </c>
      <c r="K371" s="1" t="s">
        <v>42</v>
      </c>
      <c r="L371" s="1" t="s">
        <v>1415</v>
      </c>
      <c r="M371" s="2">
        <v>44975</v>
      </c>
      <c r="N371" s="1">
        <v>2</v>
      </c>
      <c r="O371" s="2" t="s">
        <v>42</v>
      </c>
      <c r="P371" s="1" t="s">
        <v>44</v>
      </c>
      <c r="Q371" s="1" t="s">
        <v>408</v>
      </c>
      <c r="R371" s="1" t="s">
        <v>124</v>
      </c>
      <c r="S371" s="1" t="s">
        <v>125</v>
      </c>
      <c r="T371" s="1">
        <v>0</v>
      </c>
      <c r="U371" s="2">
        <v>44975</v>
      </c>
      <c r="V371" s="2">
        <v>45340</v>
      </c>
      <c r="W371" s="2" t="s">
        <v>42</v>
      </c>
      <c r="X371" s="1" t="s">
        <v>42</v>
      </c>
      <c r="Y371" s="2" t="s">
        <v>42</v>
      </c>
      <c r="Z371" s="1" t="s">
        <v>1848</v>
      </c>
      <c r="AA371" s="1" t="s">
        <v>1849</v>
      </c>
      <c r="AB371" s="1" t="s">
        <v>1850</v>
      </c>
      <c r="AC371" s="1" t="s">
        <v>129</v>
      </c>
      <c r="AD371" s="1">
        <v>7009073037</v>
      </c>
      <c r="AE371" s="1" t="s">
        <v>103</v>
      </c>
      <c r="AF371" s="1"/>
      <c r="AG371" s="2" t="s">
        <v>42</v>
      </c>
      <c r="AH371" s="1"/>
      <c r="AI371" s="1" t="s">
        <v>42</v>
      </c>
      <c r="AJ371" s="1"/>
      <c r="AK371" s="2" t="s">
        <v>42</v>
      </c>
      <c r="AL371" s="1" t="s">
        <v>3507</v>
      </c>
    </row>
    <row r="372" spans="1:38" ht="20.100000000000001" customHeight="1" x14ac:dyDescent="0.2">
      <c r="A372" s="3">
        <f t="shared" si="10"/>
        <v>369</v>
      </c>
      <c r="B372" s="1" t="s">
        <v>1851</v>
      </c>
      <c r="C372" s="1" t="s">
        <v>1852</v>
      </c>
      <c r="D372" s="1" t="s">
        <v>121</v>
      </c>
      <c r="E372" s="1" t="s">
        <v>39</v>
      </c>
      <c r="F372" s="1" t="s">
        <v>40</v>
      </c>
      <c r="G372" s="1" t="s">
        <v>1853</v>
      </c>
      <c r="H372" s="2">
        <v>45952</v>
      </c>
      <c r="I372" s="2">
        <v>37121</v>
      </c>
      <c r="J372" s="7">
        <f t="shared" ca="1" si="11"/>
        <v>22.210958904109589</v>
      </c>
      <c r="K372" s="1" t="s">
        <v>42</v>
      </c>
      <c r="L372" s="1" t="s">
        <v>1415</v>
      </c>
      <c r="M372" s="2">
        <v>44975</v>
      </c>
      <c r="N372" s="1">
        <v>2</v>
      </c>
      <c r="O372" s="2" t="s">
        <v>42</v>
      </c>
      <c r="P372" s="1" t="s">
        <v>44</v>
      </c>
      <c r="Q372" s="1" t="s">
        <v>408</v>
      </c>
      <c r="R372" s="1" t="s">
        <v>124</v>
      </c>
      <c r="S372" s="1" t="s">
        <v>125</v>
      </c>
      <c r="T372" s="1">
        <v>0</v>
      </c>
      <c r="U372" s="2">
        <v>44975</v>
      </c>
      <c r="V372" s="2">
        <v>45340</v>
      </c>
      <c r="W372" s="2" t="s">
        <v>42</v>
      </c>
      <c r="X372" s="1" t="s">
        <v>42</v>
      </c>
      <c r="Y372" s="2" t="s">
        <v>42</v>
      </c>
      <c r="Z372" s="1" t="s">
        <v>42</v>
      </c>
      <c r="AA372" s="1" t="s">
        <v>42</v>
      </c>
      <c r="AB372" s="1" t="s">
        <v>1854</v>
      </c>
      <c r="AC372" s="1" t="s">
        <v>617</v>
      </c>
      <c r="AD372" s="1">
        <v>7009073037</v>
      </c>
      <c r="AE372" s="1" t="s">
        <v>103</v>
      </c>
      <c r="AF372" s="1"/>
      <c r="AG372" s="2" t="s">
        <v>42</v>
      </c>
      <c r="AH372" s="1"/>
      <c r="AI372" s="1" t="s">
        <v>42</v>
      </c>
      <c r="AJ372" s="1"/>
      <c r="AK372" s="2" t="s">
        <v>42</v>
      </c>
      <c r="AL372" s="1" t="s">
        <v>3507</v>
      </c>
    </row>
    <row r="373" spans="1:38" ht="20.100000000000001" customHeight="1" x14ac:dyDescent="0.2">
      <c r="A373" s="3">
        <f t="shared" si="10"/>
        <v>370</v>
      </c>
      <c r="B373" s="1" t="s">
        <v>1855</v>
      </c>
      <c r="C373" s="1" t="s">
        <v>1856</v>
      </c>
      <c r="D373" s="1" t="s">
        <v>38</v>
      </c>
      <c r="E373" s="1" t="s">
        <v>150</v>
      </c>
      <c r="F373" s="1" t="s">
        <v>70</v>
      </c>
      <c r="G373" s="1" t="s">
        <v>1857</v>
      </c>
      <c r="H373" s="2">
        <v>45332</v>
      </c>
      <c r="I373" s="2">
        <v>25938</v>
      </c>
      <c r="J373" s="7">
        <f t="shared" ca="1" si="11"/>
        <v>52.849315068493148</v>
      </c>
      <c r="K373" s="1" t="s">
        <v>1858</v>
      </c>
      <c r="L373" s="1" t="s">
        <v>134</v>
      </c>
      <c r="M373" s="2">
        <v>44972</v>
      </c>
      <c r="N373" s="1">
        <v>2</v>
      </c>
      <c r="O373" s="2" t="s">
        <v>42</v>
      </c>
      <c r="P373" s="1" t="s">
        <v>44</v>
      </c>
      <c r="Q373" s="1" t="s">
        <v>899</v>
      </c>
      <c r="R373" s="1" t="s">
        <v>900</v>
      </c>
      <c r="S373" s="1" t="s">
        <v>47</v>
      </c>
      <c r="T373" s="1" t="s">
        <v>42</v>
      </c>
      <c r="U373" s="2" t="s">
        <v>42</v>
      </c>
      <c r="V373" s="2" t="s">
        <v>42</v>
      </c>
      <c r="W373" s="2" t="s">
        <v>42</v>
      </c>
      <c r="X373" s="1" t="s">
        <v>42</v>
      </c>
      <c r="Y373" s="2" t="s">
        <v>42</v>
      </c>
      <c r="Z373" s="1" t="s">
        <v>1859</v>
      </c>
      <c r="AA373" s="1" t="s">
        <v>1860</v>
      </c>
      <c r="AB373" s="1" t="s">
        <v>1861</v>
      </c>
      <c r="AC373" s="1" t="s">
        <v>50</v>
      </c>
      <c r="AD373" s="1">
        <v>7026482336</v>
      </c>
      <c r="AE373" s="1" t="s">
        <v>903</v>
      </c>
      <c r="AF373" s="1" t="s">
        <v>904</v>
      </c>
      <c r="AG373" s="2" t="s">
        <v>42</v>
      </c>
      <c r="AH373" s="1"/>
      <c r="AI373" s="1" t="s">
        <v>42</v>
      </c>
      <c r="AJ373" s="1"/>
      <c r="AK373" s="2" t="s">
        <v>42</v>
      </c>
      <c r="AL373" s="1" t="s">
        <v>3507</v>
      </c>
    </row>
    <row r="374" spans="1:38" ht="20.100000000000001" customHeight="1" x14ac:dyDescent="0.2">
      <c r="A374" s="3">
        <f t="shared" si="10"/>
        <v>371</v>
      </c>
      <c r="B374" s="1" t="s">
        <v>1862</v>
      </c>
      <c r="C374" s="1" t="s">
        <v>1863</v>
      </c>
      <c r="D374" s="1" t="s">
        <v>121</v>
      </c>
      <c r="E374" s="1" t="s">
        <v>39</v>
      </c>
      <c r="F374" s="1" t="s">
        <v>40</v>
      </c>
      <c r="G374" s="1" t="s">
        <v>1864</v>
      </c>
      <c r="H374" s="2">
        <v>46181</v>
      </c>
      <c r="I374" s="2">
        <v>37890</v>
      </c>
      <c r="J374" s="7">
        <f t="shared" ca="1" si="11"/>
        <v>20.104109589041094</v>
      </c>
      <c r="K374" s="1" t="s">
        <v>42</v>
      </c>
      <c r="L374" s="1" t="s">
        <v>1415</v>
      </c>
      <c r="M374" s="2">
        <v>44975</v>
      </c>
      <c r="N374" s="1">
        <v>2</v>
      </c>
      <c r="O374" s="2" t="s">
        <v>42</v>
      </c>
      <c r="P374" s="1" t="s">
        <v>44</v>
      </c>
      <c r="Q374" s="1" t="s">
        <v>408</v>
      </c>
      <c r="R374" s="1" t="s">
        <v>124</v>
      </c>
      <c r="S374" s="1" t="s">
        <v>125</v>
      </c>
      <c r="T374" s="1">
        <v>0</v>
      </c>
      <c r="U374" s="2">
        <v>44975</v>
      </c>
      <c r="V374" s="2">
        <v>45340</v>
      </c>
      <c r="W374" s="2" t="s">
        <v>42</v>
      </c>
      <c r="X374" s="1" t="s">
        <v>42</v>
      </c>
      <c r="Y374" s="2" t="s">
        <v>42</v>
      </c>
      <c r="Z374" s="1" t="s">
        <v>1865</v>
      </c>
      <c r="AA374" s="1" t="s">
        <v>1866</v>
      </c>
      <c r="AB374" s="1" t="s">
        <v>1867</v>
      </c>
      <c r="AC374" s="1" t="s">
        <v>129</v>
      </c>
      <c r="AD374" s="1">
        <v>7009073037</v>
      </c>
      <c r="AE374" s="1" t="s">
        <v>103</v>
      </c>
      <c r="AF374" s="1"/>
      <c r="AG374" s="2" t="s">
        <v>42</v>
      </c>
      <c r="AH374" s="1"/>
      <c r="AI374" s="1" t="s">
        <v>42</v>
      </c>
      <c r="AJ374" s="1"/>
      <c r="AK374" s="2" t="s">
        <v>42</v>
      </c>
      <c r="AL374" s="1" t="s">
        <v>3507</v>
      </c>
    </row>
    <row r="375" spans="1:38" ht="20.100000000000001" customHeight="1" x14ac:dyDescent="0.2">
      <c r="A375" s="3">
        <f t="shared" si="10"/>
        <v>372</v>
      </c>
      <c r="B375" s="1" t="s">
        <v>1868</v>
      </c>
      <c r="C375" s="1" t="s">
        <v>1869</v>
      </c>
      <c r="D375" s="1" t="s">
        <v>121</v>
      </c>
      <c r="E375" s="1" t="s">
        <v>39</v>
      </c>
      <c r="F375" s="1" t="s">
        <v>40</v>
      </c>
      <c r="G375" s="1" t="s">
        <v>1870</v>
      </c>
      <c r="H375" s="2" t="s">
        <v>42</v>
      </c>
      <c r="I375" s="2" t="s">
        <v>42</v>
      </c>
      <c r="J375" s="7"/>
      <c r="K375" s="1" t="s">
        <v>42</v>
      </c>
      <c r="L375" s="1" t="s">
        <v>1415</v>
      </c>
      <c r="M375" s="2">
        <v>44975</v>
      </c>
      <c r="N375" s="1">
        <v>2</v>
      </c>
      <c r="O375" s="2" t="s">
        <v>42</v>
      </c>
      <c r="P375" s="1" t="s">
        <v>44</v>
      </c>
      <c r="Q375" s="1" t="s">
        <v>408</v>
      </c>
      <c r="R375" s="1" t="s">
        <v>124</v>
      </c>
      <c r="S375" s="1" t="s">
        <v>125</v>
      </c>
      <c r="T375" s="1">
        <v>0</v>
      </c>
      <c r="U375" s="2">
        <v>44975</v>
      </c>
      <c r="V375" s="2">
        <v>45340</v>
      </c>
      <c r="W375" s="2" t="s">
        <v>42</v>
      </c>
      <c r="X375" s="1" t="s">
        <v>42</v>
      </c>
      <c r="Y375" s="2" t="s">
        <v>42</v>
      </c>
      <c r="Z375" s="1" t="s">
        <v>1871</v>
      </c>
      <c r="AA375" s="1" t="s">
        <v>1872</v>
      </c>
      <c r="AB375" s="1" t="s">
        <v>1873</v>
      </c>
      <c r="AC375" s="1" t="s">
        <v>129</v>
      </c>
      <c r="AD375" s="1">
        <v>7015572543</v>
      </c>
      <c r="AE375" s="1" t="s">
        <v>3506</v>
      </c>
      <c r="AF375" s="1"/>
      <c r="AG375" s="2" t="s">
        <v>42</v>
      </c>
      <c r="AH375" s="1"/>
      <c r="AI375" s="1" t="s">
        <v>42</v>
      </c>
      <c r="AJ375" s="1"/>
      <c r="AK375" s="2" t="s">
        <v>42</v>
      </c>
      <c r="AL375" s="1" t="s">
        <v>3507</v>
      </c>
    </row>
    <row r="376" spans="1:38" ht="20.100000000000001" customHeight="1" x14ac:dyDescent="0.2">
      <c r="A376" s="3">
        <f t="shared" si="10"/>
        <v>373</v>
      </c>
      <c r="B376" s="1" t="s">
        <v>1874</v>
      </c>
      <c r="C376" s="1" t="s">
        <v>1875</v>
      </c>
      <c r="D376" s="1" t="s">
        <v>121</v>
      </c>
      <c r="E376" s="1" t="s">
        <v>39</v>
      </c>
      <c r="F376" s="1" t="s">
        <v>40</v>
      </c>
      <c r="G376" s="1" t="s">
        <v>1876</v>
      </c>
      <c r="H376" s="2" t="s">
        <v>42</v>
      </c>
      <c r="I376" s="2" t="s">
        <v>42</v>
      </c>
      <c r="J376" s="7"/>
      <c r="K376" s="1" t="s">
        <v>42</v>
      </c>
      <c r="L376" s="1" t="s">
        <v>1415</v>
      </c>
      <c r="M376" s="2">
        <v>44975</v>
      </c>
      <c r="N376" s="1">
        <v>2</v>
      </c>
      <c r="O376" s="2" t="s">
        <v>42</v>
      </c>
      <c r="P376" s="1" t="s">
        <v>44</v>
      </c>
      <c r="Q376" s="1" t="s">
        <v>408</v>
      </c>
      <c r="R376" s="1" t="s">
        <v>124</v>
      </c>
      <c r="S376" s="1" t="s">
        <v>125</v>
      </c>
      <c r="T376" s="1">
        <v>0</v>
      </c>
      <c r="U376" s="2">
        <v>44975</v>
      </c>
      <c r="V376" s="2">
        <v>45340</v>
      </c>
      <c r="W376" s="2" t="s">
        <v>42</v>
      </c>
      <c r="X376" s="1" t="s">
        <v>42</v>
      </c>
      <c r="Y376" s="2" t="s">
        <v>42</v>
      </c>
      <c r="Z376" s="1" t="s">
        <v>1877</v>
      </c>
      <c r="AA376" s="1" t="s">
        <v>1878</v>
      </c>
      <c r="AB376" s="1" t="s">
        <v>1879</v>
      </c>
      <c r="AC376" s="1" t="s">
        <v>384</v>
      </c>
      <c r="AD376" s="1">
        <v>7015572543</v>
      </c>
      <c r="AE376" s="1" t="s">
        <v>3506</v>
      </c>
      <c r="AF376" s="1"/>
      <c r="AG376" s="2" t="s">
        <v>42</v>
      </c>
      <c r="AH376" s="1"/>
      <c r="AI376" s="1" t="s">
        <v>42</v>
      </c>
      <c r="AJ376" s="1"/>
      <c r="AK376" s="2" t="s">
        <v>42</v>
      </c>
      <c r="AL376" s="1" t="s">
        <v>3507</v>
      </c>
    </row>
    <row r="377" spans="1:38" ht="20.100000000000001" customHeight="1" x14ac:dyDescent="0.2">
      <c r="A377" s="3">
        <f t="shared" si="10"/>
        <v>374</v>
      </c>
      <c r="B377" s="1" t="s">
        <v>1880</v>
      </c>
      <c r="C377" s="1" t="s">
        <v>1881</v>
      </c>
      <c r="D377" s="1" t="s">
        <v>38</v>
      </c>
      <c r="E377" s="1" t="s">
        <v>54</v>
      </c>
      <c r="F377" s="1" t="s">
        <v>55</v>
      </c>
      <c r="G377" s="1" t="s">
        <v>1882</v>
      </c>
      <c r="H377" s="2">
        <v>45408</v>
      </c>
      <c r="I377" s="2">
        <v>36557</v>
      </c>
      <c r="J377" s="7">
        <f t="shared" ca="1" si="11"/>
        <v>23.756164383561643</v>
      </c>
      <c r="K377" s="1" t="s">
        <v>134</v>
      </c>
      <c r="L377" s="1" t="s">
        <v>42</v>
      </c>
      <c r="M377" s="2">
        <v>44970</v>
      </c>
      <c r="N377" s="1">
        <v>2</v>
      </c>
      <c r="O377" s="2" t="s">
        <v>42</v>
      </c>
      <c r="P377" s="1" t="s">
        <v>44</v>
      </c>
      <c r="Q377" s="1" t="s">
        <v>203</v>
      </c>
      <c r="R377" s="1" t="s">
        <v>60</v>
      </c>
      <c r="S377" s="1" t="s">
        <v>47</v>
      </c>
      <c r="T377" s="1">
        <v>8</v>
      </c>
      <c r="U377" s="2" t="s">
        <v>42</v>
      </c>
      <c r="V377" s="2" t="s">
        <v>42</v>
      </c>
      <c r="W377" s="2" t="s">
        <v>42</v>
      </c>
      <c r="X377" s="1" t="s">
        <v>42</v>
      </c>
      <c r="Y377" s="2" t="s">
        <v>42</v>
      </c>
      <c r="Z377" s="1" t="s">
        <v>42</v>
      </c>
      <c r="AA377" s="1" t="s">
        <v>1883</v>
      </c>
      <c r="AB377" s="1" t="s">
        <v>1884</v>
      </c>
      <c r="AC377" s="1" t="s">
        <v>129</v>
      </c>
      <c r="AD377" s="1">
        <v>7014477116</v>
      </c>
      <c r="AE377" s="1" t="s">
        <v>65</v>
      </c>
      <c r="AF377" s="1" t="s">
        <v>66</v>
      </c>
      <c r="AG377" s="2" t="s">
        <v>42</v>
      </c>
      <c r="AH377" s="1"/>
      <c r="AI377" s="1" t="s">
        <v>42</v>
      </c>
      <c r="AJ377" s="1"/>
      <c r="AK377" s="2" t="s">
        <v>42</v>
      </c>
      <c r="AL377" s="1" t="s">
        <v>3507</v>
      </c>
    </row>
    <row r="378" spans="1:38" ht="20.100000000000001" customHeight="1" x14ac:dyDescent="0.2">
      <c r="A378" s="3">
        <f t="shared" si="10"/>
        <v>375</v>
      </c>
      <c r="B378" s="1" t="s">
        <v>1885</v>
      </c>
      <c r="C378" s="1" t="s">
        <v>1886</v>
      </c>
      <c r="D378" s="1" t="s">
        <v>121</v>
      </c>
      <c r="E378" s="1" t="s">
        <v>39</v>
      </c>
      <c r="F378" s="1" t="s">
        <v>40</v>
      </c>
      <c r="G378" s="1" t="s">
        <v>1887</v>
      </c>
      <c r="H378" s="2" t="s">
        <v>42</v>
      </c>
      <c r="I378" s="2">
        <v>31168</v>
      </c>
      <c r="J378" s="7">
        <f t="shared" ca="1" si="11"/>
        <v>38.520547945205479</v>
      </c>
      <c r="K378" s="1" t="s">
        <v>42</v>
      </c>
      <c r="L378" s="1" t="s">
        <v>1415</v>
      </c>
      <c r="M378" s="2">
        <v>44975</v>
      </c>
      <c r="N378" s="1">
        <v>2</v>
      </c>
      <c r="O378" s="2" t="s">
        <v>42</v>
      </c>
      <c r="P378" s="1" t="s">
        <v>44</v>
      </c>
      <c r="Q378" s="1" t="s">
        <v>408</v>
      </c>
      <c r="R378" s="1" t="s">
        <v>124</v>
      </c>
      <c r="S378" s="1" t="s">
        <v>125</v>
      </c>
      <c r="T378" s="1">
        <v>0</v>
      </c>
      <c r="U378" s="2">
        <v>44975</v>
      </c>
      <c r="V378" s="2">
        <v>45340</v>
      </c>
      <c r="W378" s="2" t="s">
        <v>42</v>
      </c>
      <c r="X378" s="1" t="s">
        <v>42</v>
      </c>
      <c r="Y378" s="2" t="s">
        <v>42</v>
      </c>
      <c r="Z378" s="1" t="s">
        <v>1888</v>
      </c>
      <c r="AA378" s="1" t="s">
        <v>1889</v>
      </c>
      <c r="AB378" s="1" t="s">
        <v>1890</v>
      </c>
      <c r="AC378" s="1" t="s">
        <v>129</v>
      </c>
      <c r="AD378" s="1">
        <v>7015572543</v>
      </c>
      <c r="AE378" s="1" t="s">
        <v>3506</v>
      </c>
      <c r="AF378" s="1"/>
      <c r="AG378" s="2" t="s">
        <v>42</v>
      </c>
      <c r="AH378" s="1"/>
      <c r="AI378" s="1" t="s">
        <v>42</v>
      </c>
      <c r="AJ378" s="1"/>
      <c r="AK378" s="2" t="s">
        <v>42</v>
      </c>
      <c r="AL378" s="1" t="s">
        <v>3507</v>
      </c>
    </row>
    <row r="379" spans="1:38" ht="20.100000000000001" customHeight="1" x14ac:dyDescent="0.2">
      <c r="A379" s="3">
        <f t="shared" si="10"/>
        <v>376</v>
      </c>
      <c r="B379" s="1" t="s">
        <v>1891</v>
      </c>
      <c r="C379" s="1" t="s">
        <v>1892</v>
      </c>
      <c r="D379" s="1" t="s">
        <v>121</v>
      </c>
      <c r="E379" s="1" t="s">
        <v>39</v>
      </c>
      <c r="F379" s="1" t="s">
        <v>40</v>
      </c>
      <c r="G379" s="1" t="s">
        <v>1893</v>
      </c>
      <c r="H379" s="2">
        <v>47675</v>
      </c>
      <c r="I379" s="2">
        <v>30995</v>
      </c>
      <c r="J379" s="7">
        <f t="shared" ca="1" si="11"/>
        <v>38.994520547945207</v>
      </c>
      <c r="K379" s="1" t="s">
        <v>42</v>
      </c>
      <c r="L379" s="1" t="s">
        <v>1415</v>
      </c>
      <c r="M379" s="2">
        <v>44975</v>
      </c>
      <c r="N379" s="1">
        <v>2</v>
      </c>
      <c r="O379" s="2" t="s">
        <v>42</v>
      </c>
      <c r="P379" s="1" t="s">
        <v>44</v>
      </c>
      <c r="Q379" s="1" t="s">
        <v>408</v>
      </c>
      <c r="R379" s="1" t="s">
        <v>124</v>
      </c>
      <c r="S379" s="1" t="s">
        <v>125</v>
      </c>
      <c r="T379" s="1">
        <v>0</v>
      </c>
      <c r="U379" s="2">
        <v>44975</v>
      </c>
      <c r="V379" s="2">
        <v>45340</v>
      </c>
      <c r="W379" s="2" t="s">
        <v>42</v>
      </c>
      <c r="X379" s="1" t="s">
        <v>42</v>
      </c>
      <c r="Y379" s="2" t="s">
        <v>42</v>
      </c>
      <c r="Z379" s="1" t="s">
        <v>1894</v>
      </c>
      <c r="AA379" s="1" t="s">
        <v>1895</v>
      </c>
      <c r="AB379" s="1" t="s">
        <v>1896</v>
      </c>
      <c r="AC379" s="1" t="s">
        <v>129</v>
      </c>
      <c r="AD379" s="1">
        <v>7009073037</v>
      </c>
      <c r="AE379" s="1" t="s">
        <v>103</v>
      </c>
      <c r="AF379" s="1"/>
      <c r="AG379" s="2" t="s">
        <v>42</v>
      </c>
      <c r="AH379" s="1"/>
      <c r="AI379" s="1" t="s">
        <v>42</v>
      </c>
      <c r="AJ379" s="1"/>
      <c r="AK379" s="2" t="s">
        <v>42</v>
      </c>
      <c r="AL379" s="1" t="s">
        <v>3507</v>
      </c>
    </row>
    <row r="380" spans="1:38" ht="20.100000000000001" customHeight="1" x14ac:dyDescent="0.2">
      <c r="A380" s="3">
        <f t="shared" si="10"/>
        <v>377</v>
      </c>
      <c r="B380" s="1" t="s">
        <v>1897</v>
      </c>
      <c r="C380" s="1" t="s">
        <v>1898</v>
      </c>
      <c r="D380" s="1" t="s">
        <v>121</v>
      </c>
      <c r="E380" s="1" t="s">
        <v>39</v>
      </c>
      <c r="F380" s="1" t="s">
        <v>40</v>
      </c>
      <c r="G380" s="1" t="s">
        <v>1899</v>
      </c>
      <c r="H380" s="2">
        <v>46251</v>
      </c>
      <c r="I380" s="2">
        <v>37197</v>
      </c>
      <c r="J380" s="7">
        <f t="shared" ca="1" si="11"/>
        <v>22.002739726027396</v>
      </c>
      <c r="K380" s="1" t="s">
        <v>42</v>
      </c>
      <c r="L380" s="1" t="s">
        <v>1415</v>
      </c>
      <c r="M380" s="2">
        <v>44975</v>
      </c>
      <c r="N380" s="1">
        <v>2</v>
      </c>
      <c r="O380" s="2" t="s">
        <v>42</v>
      </c>
      <c r="P380" s="1" t="s">
        <v>44</v>
      </c>
      <c r="Q380" s="1" t="s">
        <v>408</v>
      </c>
      <c r="R380" s="1" t="s">
        <v>124</v>
      </c>
      <c r="S380" s="1" t="s">
        <v>125</v>
      </c>
      <c r="T380" s="1">
        <v>0</v>
      </c>
      <c r="U380" s="2">
        <v>44975</v>
      </c>
      <c r="V380" s="2">
        <v>45340</v>
      </c>
      <c r="W380" s="2" t="s">
        <v>42</v>
      </c>
      <c r="X380" s="1" t="s">
        <v>42</v>
      </c>
      <c r="Y380" s="2" t="s">
        <v>42</v>
      </c>
      <c r="Z380" s="1" t="s">
        <v>1900</v>
      </c>
      <c r="AA380" s="1" t="s">
        <v>1901</v>
      </c>
      <c r="AB380" s="1" t="s">
        <v>1902</v>
      </c>
      <c r="AC380" s="1" t="s">
        <v>129</v>
      </c>
      <c r="AD380" s="1">
        <v>7009073037</v>
      </c>
      <c r="AE380" s="1" t="s">
        <v>103</v>
      </c>
      <c r="AF380" s="1"/>
      <c r="AG380" s="2" t="s">
        <v>42</v>
      </c>
      <c r="AH380" s="1"/>
      <c r="AI380" s="1" t="s">
        <v>42</v>
      </c>
      <c r="AJ380" s="1"/>
      <c r="AK380" s="2" t="s">
        <v>42</v>
      </c>
      <c r="AL380" s="1" t="s">
        <v>3507</v>
      </c>
    </row>
    <row r="381" spans="1:38" ht="20.100000000000001" customHeight="1" x14ac:dyDescent="0.2">
      <c r="A381" s="3">
        <f t="shared" si="10"/>
        <v>378</v>
      </c>
      <c r="B381" s="1" t="s">
        <v>1903</v>
      </c>
      <c r="C381" s="1" t="s">
        <v>1904</v>
      </c>
      <c r="D381" s="1" t="s">
        <v>121</v>
      </c>
      <c r="E381" s="1" t="s">
        <v>39</v>
      </c>
      <c r="F381" s="1" t="s">
        <v>40</v>
      </c>
      <c r="G381" s="1" t="s">
        <v>1905</v>
      </c>
      <c r="H381" s="2">
        <v>45903</v>
      </c>
      <c r="I381" s="2">
        <v>33925</v>
      </c>
      <c r="J381" s="7">
        <f t="shared" ca="1" si="11"/>
        <v>30.967123287671232</v>
      </c>
      <c r="K381" s="1" t="s">
        <v>42</v>
      </c>
      <c r="L381" s="1" t="s">
        <v>1415</v>
      </c>
      <c r="M381" s="2">
        <v>44976</v>
      </c>
      <c r="N381" s="1">
        <v>2</v>
      </c>
      <c r="O381" s="2" t="s">
        <v>42</v>
      </c>
      <c r="P381" s="1" t="s">
        <v>44</v>
      </c>
      <c r="Q381" s="1" t="s">
        <v>408</v>
      </c>
      <c r="R381" s="1" t="s">
        <v>124</v>
      </c>
      <c r="S381" s="1" t="s">
        <v>125</v>
      </c>
      <c r="T381" s="1">
        <v>0</v>
      </c>
      <c r="U381" s="2">
        <v>44976</v>
      </c>
      <c r="V381" s="2">
        <v>45341</v>
      </c>
      <c r="W381" s="2" t="s">
        <v>42</v>
      </c>
      <c r="X381" s="1" t="s">
        <v>42</v>
      </c>
      <c r="Y381" s="2" t="s">
        <v>42</v>
      </c>
      <c r="Z381" s="1" t="s">
        <v>42</v>
      </c>
      <c r="AA381" s="1" t="s">
        <v>42</v>
      </c>
      <c r="AB381" s="1" t="s">
        <v>1906</v>
      </c>
      <c r="AC381" s="1" t="s">
        <v>129</v>
      </c>
      <c r="AD381" s="1">
        <v>7015572543</v>
      </c>
      <c r="AE381" s="1" t="s">
        <v>3506</v>
      </c>
      <c r="AF381" s="1"/>
      <c r="AG381" s="2" t="s">
        <v>42</v>
      </c>
      <c r="AH381" s="1"/>
      <c r="AI381" s="1" t="s">
        <v>42</v>
      </c>
      <c r="AJ381" s="1"/>
      <c r="AK381" s="2" t="s">
        <v>42</v>
      </c>
      <c r="AL381" s="1" t="s">
        <v>3507</v>
      </c>
    </row>
    <row r="382" spans="1:38" ht="20.100000000000001" customHeight="1" x14ac:dyDescent="0.2">
      <c r="A382" s="3">
        <f t="shared" si="10"/>
        <v>379</v>
      </c>
      <c r="B382" s="1" t="s">
        <v>3335</v>
      </c>
      <c r="C382" s="1" t="s">
        <v>3336</v>
      </c>
      <c r="D382" s="1" t="s">
        <v>121</v>
      </c>
      <c r="E382" s="1" t="s">
        <v>39</v>
      </c>
      <c r="F382" s="1"/>
      <c r="G382" s="1" t="s">
        <v>3337</v>
      </c>
      <c r="H382" s="2">
        <v>47603</v>
      </c>
      <c r="I382" s="2">
        <v>32789</v>
      </c>
      <c r="J382" s="7">
        <f t="shared" ca="1" si="11"/>
        <v>34.079452054794523</v>
      </c>
      <c r="K382" s="1" t="s">
        <v>42</v>
      </c>
      <c r="L382" s="1" t="s">
        <v>211</v>
      </c>
      <c r="M382" s="2">
        <v>44964</v>
      </c>
      <c r="N382" s="1">
        <v>2</v>
      </c>
      <c r="O382" s="2" t="s">
        <v>42</v>
      </c>
      <c r="P382" s="1" t="s">
        <v>44</v>
      </c>
      <c r="Q382" s="1" t="s">
        <v>203</v>
      </c>
      <c r="R382" s="1" t="s">
        <v>42</v>
      </c>
      <c r="S382" s="1" t="s">
        <v>47</v>
      </c>
      <c r="T382" s="1" t="s">
        <v>42</v>
      </c>
      <c r="U382" s="2" t="s">
        <v>42</v>
      </c>
      <c r="V382" s="2" t="s">
        <v>42</v>
      </c>
      <c r="W382" s="2" t="s">
        <v>42</v>
      </c>
      <c r="X382" s="1" t="s">
        <v>42</v>
      </c>
      <c r="Y382" s="2" t="s">
        <v>42</v>
      </c>
      <c r="Z382" s="1" t="s">
        <v>42</v>
      </c>
      <c r="AA382" s="1" t="s">
        <v>42</v>
      </c>
      <c r="AB382" s="1" t="s">
        <v>3338</v>
      </c>
      <c r="AC382" s="1" t="s">
        <v>129</v>
      </c>
      <c r="AD382" s="1">
        <v>7014477116</v>
      </c>
      <c r="AE382" s="1" t="s">
        <v>65</v>
      </c>
      <c r="AF382" s="1"/>
      <c r="AG382" s="2">
        <v>44965</v>
      </c>
      <c r="AH382" s="1" t="s">
        <v>2985</v>
      </c>
      <c r="AI382" s="1" t="s">
        <v>42</v>
      </c>
      <c r="AJ382" s="1"/>
      <c r="AK382" s="2" t="s">
        <v>42</v>
      </c>
      <c r="AL382" s="1" t="s">
        <v>2806</v>
      </c>
    </row>
    <row r="383" spans="1:38" ht="20.100000000000001" customHeight="1" x14ac:dyDescent="0.2">
      <c r="A383" s="3">
        <f t="shared" si="10"/>
        <v>380</v>
      </c>
      <c r="B383" s="1" t="s">
        <v>1907</v>
      </c>
      <c r="C383" s="1" t="s">
        <v>1908</v>
      </c>
      <c r="D383" s="1" t="s">
        <v>121</v>
      </c>
      <c r="E383" s="1" t="s">
        <v>39</v>
      </c>
      <c r="F383" s="1" t="s">
        <v>40</v>
      </c>
      <c r="G383" s="1" t="s">
        <v>1909</v>
      </c>
      <c r="H383" s="2">
        <v>48235</v>
      </c>
      <c r="I383" s="2">
        <v>29649</v>
      </c>
      <c r="J383" s="7">
        <f t="shared" ca="1" si="11"/>
        <v>42.682191780821917</v>
      </c>
      <c r="K383" s="1" t="s">
        <v>42</v>
      </c>
      <c r="L383" s="1" t="s">
        <v>1415</v>
      </c>
      <c r="M383" s="2">
        <v>44976</v>
      </c>
      <c r="N383" s="1">
        <v>2</v>
      </c>
      <c r="O383" s="2" t="s">
        <v>42</v>
      </c>
      <c r="P383" s="1" t="s">
        <v>44</v>
      </c>
      <c r="Q383" s="1" t="s">
        <v>408</v>
      </c>
      <c r="R383" s="1" t="s">
        <v>124</v>
      </c>
      <c r="S383" s="1" t="s">
        <v>125</v>
      </c>
      <c r="T383" s="1">
        <v>0</v>
      </c>
      <c r="U383" s="2">
        <v>44976</v>
      </c>
      <c r="V383" s="2">
        <v>45341</v>
      </c>
      <c r="W383" s="2" t="s">
        <v>42</v>
      </c>
      <c r="X383" s="1" t="s">
        <v>42</v>
      </c>
      <c r="Y383" s="2" t="s">
        <v>42</v>
      </c>
      <c r="Z383" s="1" t="s">
        <v>1910</v>
      </c>
      <c r="AA383" s="1" t="s">
        <v>1911</v>
      </c>
      <c r="AB383" s="1" t="s">
        <v>1912</v>
      </c>
      <c r="AC383" s="1" t="s">
        <v>129</v>
      </c>
      <c r="AD383" s="1">
        <v>7014477116</v>
      </c>
      <c r="AE383" s="1" t="s">
        <v>65</v>
      </c>
      <c r="AF383" s="1"/>
      <c r="AG383" s="2" t="s">
        <v>42</v>
      </c>
      <c r="AH383" s="1"/>
      <c r="AI383" s="1" t="s">
        <v>42</v>
      </c>
      <c r="AJ383" s="1"/>
      <c r="AK383" s="2" t="s">
        <v>42</v>
      </c>
      <c r="AL383" s="1" t="s">
        <v>3507</v>
      </c>
    </row>
    <row r="384" spans="1:38" ht="20.100000000000001" customHeight="1" x14ac:dyDescent="0.2">
      <c r="A384" s="3">
        <f t="shared" si="10"/>
        <v>381</v>
      </c>
      <c r="B384" s="1" t="s">
        <v>1913</v>
      </c>
      <c r="C384" s="1" t="s">
        <v>1914</v>
      </c>
      <c r="D384" s="1" t="s">
        <v>121</v>
      </c>
      <c r="E384" s="1" t="s">
        <v>39</v>
      </c>
      <c r="F384" s="1" t="s">
        <v>40</v>
      </c>
      <c r="G384" s="1" t="s">
        <v>1915</v>
      </c>
      <c r="H384" s="2">
        <v>46630</v>
      </c>
      <c r="I384" s="2">
        <v>35275</v>
      </c>
      <c r="J384" s="7">
        <f t="shared" ca="1" si="11"/>
        <v>27.268493150684932</v>
      </c>
      <c r="K384" s="1" t="s">
        <v>42</v>
      </c>
      <c r="L384" s="1" t="s">
        <v>1415</v>
      </c>
      <c r="M384" s="2">
        <v>44976</v>
      </c>
      <c r="N384" s="1">
        <v>2</v>
      </c>
      <c r="O384" s="2" t="s">
        <v>42</v>
      </c>
      <c r="P384" s="1" t="s">
        <v>44</v>
      </c>
      <c r="Q384" s="1" t="s">
        <v>408</v>
      </c>
      <c r="R384" s="1" t="s">
        <v>124</v>
      </c>
      <c r="S384" s="1" t="s">
        <v>125</v>
      </c>
      <c r="T384" s="1">
        <v>0</v>
      </c>
      <c r="U384" s="2" t="s">
        <v>42</v>
      </c>
      <c r="V384" s="2" t="s">
        <v>42</v>
      </c>
      <c r="W384" s="2" t="s">
        <v>42</v>
      </c>
      <c r="X384" s="1" t="s">
        <v>42</v>
      </c>
      <c r="Y384" s="2" t="s">
        <v>42</v>
      </c>
      <c r="Z384" s="1" t="s">
        <v>1916</v>
      </c>
      <c r="AA384" s="1" t="s">
        <v>1917</v>
      </c>
      <c r="AB384" s="1" t="s">
        <v>1918</v>
      </c>
      <c r="AC384" s="1" t="s">
        <v>384</v>
      </c>
      <c r="AD384" s="1">
        <v>7014477116</v>
      </c>
      <c r="AE384" s="1" t="s">
        <v>65</v>
      </c>
      <c r="AF384" s="1"/>
      <c r="AG384" s="2" t="s">
        <v>42</v>
      </c>
      <c r="AH384" s="1"/>
      <c r="AI384" s="1" t="s">
        <v>42</v>
      </c>
      <c r="AJ384" s="1"/>
      <c r="AK384" s="2" t="s">
        <v>42</v>
      </c>
      <c r="AL384" s="1" t="s">
        <v>3507</v>
      </c>
    </row>
    <row r="385" spans="1:38" ht="20.100000000000001" customHeight="1" x14ac:dyDescent="0.2">
      <c r="A385" s="3">
        <f t="shared" si="10"/>
        <v>382</v>
      </c>
      <c r="B385" s="1" t="s">
        <v>3339</v>
      </c>
      <c r="C385" s="1" t="s">
        <v>3340</v>
      </c>
      <c r="D385" s="1" t="s">
        <v>38</v>
      </c>
      <c r="E385" s="1" t="s">
        <v>69</v>
      </c>
      <c r="F385" s="1" t="s">
        <v>70</v>
      </c>
      <c r="G385" s="1" t="s">
        <v>3341</v>
      </c>
      <c r="H385" s="2">
        <v>43774</v>
      </c>
      <c r="I385" s="2">
        <v>30951</v>
      </c>
      <c r="J385" s="7">
        <f t="shared" ca="1" si="11"/>
        <v>39.115068493150687</v>
      </c>
      <c r="K385" s="1" t="s">
        <v>3342</v>
      </c>
      <c r="L385" s="1" t="s">
        <v>3343</v>
      </c>
      <c r="M385" s="2">
        <v>44976</v>
      </c>
      <c r="N385" s="1">
        <v>2</v>
      </c>
      <c r="O385" s="2" t="s">
        <v>42</v>
      </c>
      <c r="P385" s="1" t="s">
        <v>44</v>
      </c>
      <c r="Q385" s="1" t="s">
        <v>178</v>
      </c>
      <c r="R385" s="1" t="s">
        <v>842</v>
      </c>
      <c r="S385" s="1" t="s">
        <v>754</v>
      </c>
      <c r="T385" s="1">
        <v>8</v>
      </c>
      <c r="U385" s="2" t="s">
        <v>42</v>
      </c>
      <c r="V385" s="2" t="s">
        <v>42</v>
      </c>
      <c r="W385" s="2" t="s">
        <v>42</v>
      </c>
      <c r="X385" s="1" t="s">
        <v>42</v>
      </c>
      <c r="Y385" s="2" t="s">
        <v>42</v>
      </c>
      <c r="Z385" s="1" t="s">
        <v>3344</v>
      </c>
      <c r="AA385" s="1" t="s">
        <v>42</v>
      </c>
      <c r="AB385" s="1" t="s">
        <v>3345</v>
      </c>
      <c r="AC385" s="1" t="s">
        <v>617</v>
      </c>
      <c r="AD385" s="1"/>
      <c r="AE385" s="1" t="s">
        <v>788</v>
      </c>
      <c r="AF385" s="1"/>
      <c r="AG385" s="2" t="s">
        <v>42</v>
      </c>
      <c r="AH385" s="1"/>
      <c r="AI385" s="1" t="s">
        <v>42</v>
      </c>
      <c r="AJ385" s="1"/>
      <c r="AK385" s="2" t="s">
        <v>42</v>
      </c>
      <c r="AL385" s="1" t="s">
        <v>2806</v>
      </c>
    </row>
    <row r="386" spans="1:38" ht="20.100000000000001" customHeight="1" x14ac:dyDescent="0.2">
      <c r="A386" s="3">
        <f t="shared" si="10"/>
        <v>383</v>
      </c>
      <c r="B386" s="1" t="s">
        <v>3346</v>
      </c>
      <c r="C386" s="1" t="s">
        <v>3347</v>
      </c>
      <c r="D386" s="1" t="s">
        <v>121</v>
      </c>
      <c r="E386" s="1" t="s">
        <v>39</v>
      </c>
      <c r="F386" s="1"/>
      <c r="G386" s="1" t="s">
        <v>3348</v>
      </c>
      <c r="H386" s="2">
        <v>46758</v>
      </c>
      <c r="I386" s="2">
        <v>30972</v>
      </c>
      <c r="J386" s="7">
        <f t="shared" ca="1" si="11"/>
        <v>39.057534246575344</v>
      </c>
      <c r="K386" s="1" t="s">
        <v>42</v>
      </c>
      <c r="L386" s="1" t="s">
        <v>211</v>
      </c>
      <c r="M386" s="2">
        <v>44963</v>
      </c>
      <c r="N386" s="1">
        <v>2</v>
      </c>
      <c r="O386" s="2" t="s">
        <v>42</v>
      </c>
      <c r="P386" s="1" t="s">
        <v>44</v>
      </c>
      <c r="Q386" s="1" t="s">
        <v>203</v>
      </c>
      <c r="R386" s="1" t="s">
        <v>42</v>
      </c>
      <c r="S386" s="1" t="s">
        <v>156</v>
      </c>
      <c r="T386" s="1">
        <v>8</v>
      </c>
      <c r="U386" s="2" t="s">
        <v>42</v>
      </c>
      <c r="V386" s="2" t="s">
        <v>42</v>
      </c>
      <c r="W386" s="2" t="s">
        <v>42</v>
      </c>
      <c r="X386" s="1" t="s">
        <v>42</v>
      </c>
      <c r="Y386" s="2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/>
      <c r="AE386" s="1" t="s">
        <v>42</v>
      </c>
      <c r="AF386" s="1"/>
      <c r="AG386" s="2">
        <v>44963</v>
      </c>
      <c r="AH386" s="1" t="s">
        <v>2812</v>
      </c>
      <c r="AI386" s="1" t="s">
        <v>42</v>
      </c>
      <c r="AJ386" s="1"/>
      <c r="AK386" s="2" t="s">
        <v>42</v>
      </c>
      <c r="AL386" s="1" t="s">
        <v>2806</v>
      </c>
    </row>
    <row r="387" spans="1:38" ht="20.100000000000001" customHeight="1" x14ac:dyDescent="0.2">
      <c r="A387" s="3">
        <f t="shared" si="10"/>
        <v>384</v>
      </c>
      <c r="B387" s="1" t="s">
        <v>3349</v>
      </c>
      <c r="C387" s="1" t="s">
        <v>3350</v>
      </c>
      <c r="D387" s="1" t="s">
        <v>38</v>
      </c>
      <c r="E387" s="1" t="s">
        <v>39</v>
      </c>
      <c r="F387" s="1"/>
      <c r="G387" s="1" t="s">
        <v>3351</v>
      </c>
      <c r="H387" s="2">
        <v>45287</v>
      </c>
      <c r="I387" s="2">
        <v>37674</v>
      </c>
      <c r="J387" s="7">
        <f t="shared" ca="1" si="11"/>
        <v>20.695890410958903</v>
      </c>
      <c r="K387" s="1" t="s">
        <v>42</v>
      </c>
      <c r="L387" s="1" t="s">
        <v>211</v>
      </c>
      <c r="M387" s="2">
        <v>44967</v>
      </c>
      <c r="N387" s="1">
        <v>2</v>
      </c>
      <c r="O387" s="2" t="s">
        <v>42</v>
      </c>
      <c r="P387" s="1" t="s">
        <v>44</v>
      </c>
      <c r="Q387" s="1" t="s">
        <v>466</v>
      </c>
      <c r="R387" s="1" t="s">
        <v>42</v>
      </c>
      <c r="S387" s="1" t="s">
        <v>156</v>
      </c>
      <c r="T387" s="1">
        <v>8</v>
      </c>
      <c r="U387" s="2" t="s">
        <v>42</v>
      </c>
      <c r="V387" s="2" t="s">
        <v>42</v>
      </c>
      <c r="W387" s="2" t="s">
        <v>42</v>
      </c>
      <c r="X387" s="1" t="s">
        <v>42</v>
      </c>
      <c r="Y387" s="2" t="s">
        <v>42</v>
      </c>
      <c r="Z387" s="1" t="s">
        <v>42</v>
      </c>
      <c r="AA387" s="1" t="s">
        <v>42</v>
      </c>
      <c r="AB387" s="1" t="s">
        <v>3352</v>
      </c>
      <c r="AC387" s="1" t="s">
        <v>129</v>
      </c>
      <c r="AD387" s="1"/>
      <c r="AE387" s="1" t="s">
        <v>42</v>
      </c>
      <c r="AF387" s="1"/>
      <c r="AG387" s="2">
        <v>44968</v>
      </c>
      <c r="AH387" s="1" t="s">
        <v>2985</v>
      </c>
      <c r="AI387" s="1" t="s">
        <v>42</v>
      </c>
      <c r="AJ387" s="1"/>
      <c r="AK387" s="2" t="s">
        <v>42</v>
      </c>
      <c r="AL387" s="1" t="s">
        <v>2806</v>
      </c>
    </row>
    <row r="388" spans="1:38" ht="20.100000000000001" customHeight="1" x14ac:dyDescent="0.2">
      <c r="A388" s="3">
        <f t="shared" ref="A388:A451" si="12">ROW()-3</f>
        <v>385</v>
      </c>
      <c r="B388" s="1" t="s">
        <v>1919</v>
      </c>
      <c r="C388" s="1" t="s">
        <v>1920</v>
      </c>
      <c r="D388" s="1" t="s">
        <v>121</v>
      </c>
      <c r="E388" s="1" t="s">
        <v>39</v>
      </c>
      <c r="F388" s="1" t="s">
        <v>40</v>
      </c>
      <c r="G388" s="1" t="s">
        <v>1921</v>
      </c>
      <c r="H388" s="2">
        <v>45351</v>
      </c>
      <c r="I388" s="2">
        <v>31164</v>
      </c>
      <c r="J388" s="7">
        <f t="shared" ca="1" si="11"/>
        <v>38.531506849315072</v>
      </c>
      <c r="K388" s="1" t="s">
        <v>42</v>
      </c>
      <c r="L388" s="1" t="s">
        <v>1415</v>
      </c>
      <c r="M388" s="2">
        <v>44978</v>
      </c>
      <c r="N388" s="1">
        <v>2</v>
      </c>
      <c r="O388" s="2" t="s">
        <v>42</v>
      </c>
      <c r="P388" s="1" t="s">
        <v>44</v>
      </c>
      <c r="Q388" s="1" t="s">
        <v>408</v>
      </c>
      <c r="R388" s="1" t="s">
        <v>124</v>
      </c>
      <c r="S388" s="1" t="s">
        <v>125</v>
      </c>
      <c r="T388" s="1">
        <v>0</v>
      </c>
      <c r="U388" s="2">
        <v>44978</v>
      </c>
      <c r="V388" s="2">
        <v>45343</v>
      </c>
      <c r="W388" s="2" t="s">
        <v>42</v>
      </c>
      <c r="X388" s="1" t="s">
        <v>42</v>
      </c>
      <c r="Y388" s="2" t="s">
        <v>42</v>
      </c>
      <c r="Z388" s="1" t="s">
        <v>42</v>
      </c>
      <c r="AA388" s="1" t="s">
        <v>42</v>
      </c>
      <c r="AB388" s="1" t="s">
        <v>1922</v>
      </c>
      <c r="AC388" s="1" t="s">
        <v>129</v>
      </c>
      <c r="AD388" s="1">
        <v>7009073037</v>
      </c>
      <c r="AE388" s="1" t="s">
        <v>103</v>
      </c>
      <c r="AF388" s="1"/>
      <c r="AG388" s="2" t="s">
        <v>42</v>
      </c>
      <c r="AH388" s="1"/>
      <c r="AI388" s="1" t="s">
        <v>42</v>
      </c>
      <c r="AJ388" s="1"/>
      <c r="AK388" s="2" t="s">
        <v>42</v>
      </c>
      <c r="AL388" s="1" t="s">
        <v>3507</v>
      </c>
    </row>
    <row r="389" spans="1:38" ht="20.100000000000001" customHeight="1" x14ac:dyDescent="0.2">
      <c r="A389" s="3">
        <f t="shared" si="12"/>
        <v>386</v>
      </c>
      <c r="B389" s="1" t="s">
        <v>1923</v>
      </c>
      <c r="C389" s="1" t="s">
        <v>1924</v>
      </c>
      <c r="D389" s="1" t="s">
        <v>121</v>
      </c>
      <c r="E389" s="1" t="s">
        <v>39</v>
      </c>
      <c r="F389" s="1" t="s">
        <v>40</v>
      </c>
      <c r="G389" s="1" t="s">
        <v>1925</v>
      </c>
      <c r="H389" s="2">
        <v>45314</v>
      </c>
      <c r="I389" s="2">
        <v>33490</v>
      </c>
      <c r="J389" s="7">
        <f t="shared" ref="J389:J452" ca="1" si="13">($H$1-I389)/365</f>
        <v>32.158904109589038</v>
      </c>
      <c r="K389" s="1" t="s">
        <v>42</v>
      </c>
      <c r="L389" s="1" t="s">
        <v>1415</v>
      </c>
      <c r="M389" s="2">
        <v>44978</v>
      </c>
      <c r="N389" s="1">
        <v>2</v>
      </c>
      <c r="O389" s="2" t="s">
        <v>42</v>
      </c>
      <c r="P389" s="1" t="s">
        <v>44</v>
      </c>
      <c r="Q389" s="1" t="s">
        <v>408</v>
      </c>
      <c r="R389" s="1" t="s">
        <v>124</v>
      </c>
      <c r="S389" s="1" t="s">
        <v>125</v>
      </c>
      <c r="T389" s="1">
        <v>0</v>
      </c>
      <c r="U389" s="2">
        <v>44978</v>
      </c>
      <c r="V389" s="2">
        <v>45343</v>
      </c>
      <c r="W389" s="2" t="s">
        <v>42</v>
      </c>
      <c r="X389" s="1" t="s">
        <v>42</v>
      </c>
      <c r="Y389" s="2" t="s">
        <v>42</v>
      </c>
      <c r="Z389" s="1" t="s">
        <v>1926</v>
      </c>
      <c r="AA389" s="1" t="s">
        <v>42</v>
      </c>
      <c r="AB389" s="1" t="s">
        <v>1927</v>
      </c>
      <c r="AC389" s="1" t="s">
        <v>617</v>
      </c>
      <c r="AD389" s="1">
        <v>7009073037</v>
      </c>
      <c r="AE389" s="1" t="s">
        <v>103</v>
      </c>
      <c r="AF389" s="1"/>
      <c r="AG389" s="2" t="s">
        <v>42</v>
      </c>
      <c r="AH389" s="1"/>
      <c r="AI389" s="1" t="s">
        <v>42</v>
      </c>
      <c r="AJ389" s="1"/>
      <c r="AK389" s="2" t="s">
        <v>42</v>
      </c>
      <c r="AL389" s="1" t="s">
        <v>3507</v>
      </c>
    </row>
    <row r="390" spans="1:38" ht="20.100000000000001" customHeight="1" x14ac:dyDescent="0.2">
      <c r="A390" s="3">
        <f t="shared" si="12"/>
        <v>387</v>
      </c>
      <c r="B390" s="1" t="s">
        <v>1928</v>
      </c>
      <c r="C390" s="1" t="s">
        <v>1929</v>
      </c>
      <c r="D390" s="1" t="s">
        <v>121</v>
      </c>
      <c r="E390" s="1" t="s">
        <v>39</v>
      </c>
      <c r="F390" s="1" t="s">
        <v>40</v>
      </c>
      <c r="G390" s="1" t="s">
        <v>1930</v>
      </c>
      <c r="H390" s="2">
        <v>45293</v>
      </c>
      <c r="I390" s="2">
        <v>36945</v>
      </c>
      <c r="J390" s="7">
        <f t="shared" ca="1" si="13"/>
        <v>22.693150684931506</v>
      </c>
      <c r="K390" s="1" t="s">
        <v>42</v>
      </c>
      <c r="L390" s="1" t="s">
        <v>1415</v>
      </c>
      <c r="M390" s="2">
        <v>44978</v>
      </c>
      <c r="N390" s="1">
        <v>2</v>
      </c>
      <c r="O390" s="2" t="s">
        <v>42</v>
      </c>
      <c r="P390" s="1" t="s">
        <v>44</v>
      </c>
      <c r="Q390" s="1" t="s">
        <v>408</v>
      </c>
      <c r="R390" s="1" t="s">
        <v>124</v>
      </c>
      <c r="S390" s="1" t="s">
        <v>125</v>
      </c>
      <c r="T390" s="1">
        <v>0</v>
      </c>
      <c r="U390" s="2">
        <v>44978</v>
      </c>
      <c r="V390" s="2">
        <v>45343</v>
      </c>
      <c r="W390" s="2" t="s">
        <v>42</v>
      </c>
      <c r="X390" s="1" t="s">
        <v>42</v>
      </c>
      <c r="Y390" s="2" t="s">
        <v>42</v>
      </c>
      <c r="Z390" s="1" t="s">
        <v>1931</v>
      </c>
      <c r="AA390" s="1" t="s">
        <v>1932</v>
      </c>
      <c r="AB390" s="1" t="s">
        <v>1933</v>
      </c>
      <c r="AC390" s="1" t="s">
        <v>50</v>
      </c>
      <c r="AD390" s="1">
        <v>7015572543</v>
      </c>
      <c r="AE390" s="1" t="s">
        <v>3506</v>
      </c>
      <c r="AF390" s="1"/>
      <c r="AG390" s="2" t="s">
        <v>42</v>
      </c>
      <c r="AH390" s="1"/>
      <c r="AI390" s="1" t="s">
        <v>42</v>
      </c>
      <c r="AJ390" s="1"/>
      <c r="AK390" s="2" t="s">
        <v>42</v>
      </c>
      <c r="AL390" s="1" t="s">
        <v>3507</v>
      </c>
    </row>
    <row r="391" spans="1:38" ht="20.100000000000001" customHeight="1" x14ac:dyDescent="0.2">
      <c r="A391" s="3">
        <f t="shared" si="12"/>
        <v>388</v>
      </c>
      <c r="B391" s="1" t="s">
        <v>3353</v>
      </c>
      <c r="C391" s="1" t="s">
        <v>3354</v>
      </c>
      <c r="D391" s="1" t="s">
        <v>121</v>
      </c>
      <c r="E391" s="1" t="s">
        <v>39</v>
      </c>
      <c r="F391" s="1" t="s">
        <v>40</v>
      </c>
      <c r="G391" s="1" t="s">
        <v>3355</v>
      </c>
      <c r="H391" s="2">
        <v>46531</v>
      </c>
      <c r="I391" s="2">
        <v>34536</v>
      </c>
      <c r="J391" s="7">
        <f t="shared" ca="1" si="13"/>
        <v>29.293150684931508</v>
      </c>
      <c r="K391" s="1" t="s">
        <v>42</v>
      </c>
      <c r="L391" s="1" t="s">
        <v>211</v>
      </c>
      <c r="M391" s="2">
        <v>44977</v>
      </c>
      <c r="N391" s="1">
        <v>2</v>
      </c>
      <c r="O391" s="2" t="s">
        <v>42</v>
      </c>
      <c r="P391" s="1" t="s">
        <v>44</v>
      </c>
      <c r="Q391" s="1" t="s">
        <v>306</v>
      </c>
      <c r="R391" s="1" t="s">
        <v>60</v>
      </c>
      <c r="S391" s="1" t="s">
        <v>47</v>
      </c>
      <c r="T391" s="1">
        <v>8</v>
      </c>
      <c r="U391" s="2">
        <v>44977</v>
      </c>
      <c r="V391" s="2">
        <v>45342</v>
      </c>
      <c r="W391" s="2" t="s">
        <v>42</v>
      </c>
      <c r="X391" s="1" t="s">
        <v>42</v>
      </c>
      <c r="Y391" s="2" t="s">
        <v>42</v>
      </c>
      <c r="Z391" s="1" t="s">
        <v>3356</v>
      </c>
      <c r="AA391" s="1" t="s">
        <v>3357</v>
      </c>
      <c r="AB391" s="1" t="s">
        <v>3358</v>
      </c>
      <c r="AC391" s="1" t="s">
        <v>617</v>
      </c>
      <c r="AD391" s="1">
        <v>7015572543</v>
      </c>
      <c r="AE391" s="1" t="s">
        <v>3506</v>
      </c>
      <c r="AF391" s="1"/>
      <c r="AG391" s="2">
        <v>45188</v>
      </c>
      <c r="AH391" s="1" t="s">
        <v>2812</v>
      </c>
      <c r="AI391" s="1" t="s">
        <v>42</v>
      </c>
      <c r="AJ391" s="1"/>
      <c r="AK391" s="2" t="s">
        <v>42</v>
      </c>
      <c r="AL391" s="1" t="s">
        <v>2806</v>
      </c>
    </row>
    <row r="392" spans="1:38" ht="20.100000000000001" customHeight="1" x14ac:dyDescent="0.2">
      <c r="A392" s="3">
        <f t="shared" si="12"/>
        <v>389</v>
      </c>
      <c r="B392" s="1" t="s">
        <v>1934</v>
      </c>
      <c r="C392" s="1" t="s">
        <v>1935</v>
      </c>
      <c r="D392" s="1" t="s">
        <v>121</v>
      </c>
      <c r="E392" s="1" t="s">
        <v>39</v>
      </c>
      <c r="F392" s="1" t="s">
        <v>40</v>
      </c>
      <c r="G392" s="1" t="s">
        <v>1936</v>
      </c>
      <c r="H392" s="2">
        <v>48367</v>
      </c>
      <c r="I392" s="2">
        <v>32824</v>
      </c>
      <c r="J392" s="7">
        <f t="shared" ca="1" si="13"/>
        <v>33.983561643835614</v>
      </c>
      <c r="K392" s="1" t="s">
        <v>42</v>
      </c>
      <c r="L392" s="1" t="s">
        <v>1415</v>
      </c>
      <c r="M392" s="2">
        <v>44978</v>
      </c>
      <c r="N392" s="1">
        <v>2</v>
      </c>
      <c r="O392" s="2" t="s">
        <v>42</v>
      </c>
      <c r="P392" s="1" t="s">
        <v>44</v>
      </c>
      <c r="Q392" s="1" t="s">
        <v>408</v>
      </c>
      <c r="R392" s="1" t="s">
        <v>124</v>
      </c>
      <c r="S392" s="1" t="s">
        <v>125</v>
      </c>
      <c r="T392" s="1">
        <v>0</v>
      </c>
      <c r="U392" s="2">
        <v>44978</v>
      </c>
      <c r="V392" s="2">
        <v>45343</v>
      </c>
      <c r="W392" s="2" t="s">
        <v>42</v>
      </c>
      <c r="X392" s="1" t="s">
        <v>42</v>
      </c>
      <c r="Y392" s="2" t="s">
        <v>42</v>
      </c>
      <c r="Z392" s="1" t="s">
        <v>1937</v>
      </c>
      <c r="AA392" s="1" t="s">
        <v>1938</v>
      </c>
      <c r="AB392" s="1" t="s">
        <v>1939</v>
      </c>
      <c r="AC392" s="1" t="s">
        <v>129</v>
      </c>
      <c r="AD392" s="1">
        <v>7009073037</v>
      </c>
      <c r="AE392" s="1" t="s">
        <v>103</v>
      </c>
      <c r="AF392" s="1"/>
      <c r="AG392" s="2" t="s">
        <v>42</v>
      </c>
      <c r="AH392" s="1"/>
      <c r="AI392" s="1" t="s">
        <v>42</v>
      </c>
      <c r="AJ392" s="1"/>
      <c r="AK392" s="2" t="s">
        <v>42</v>
      </c>
      <c r="AL392" s="1" t="s">
        <v>3507</v>
      </c>
    </row>
    <row r="393" spans="1:38" ht="20.100000000000001" customHeight="1" x14ac:dyDescent="0.2">
      <c r="A393" s="3">
        <f t="shared" si="12"/>
        <v>390</v>
      </c>
      <c r="B393" s="1" t="s">
        <v>1940</v>
      </c>
      <c r="C393" s="1" t="s">
        <v>1941</v>
      </c>
      <c r="D393" s="1" t="s">
        <v>121</v>
      </c>
      <c r="E393" s="1" t="s">
        <v>39</v>
      </c>
      <c r="F393" s="1" t="s">
        <v>40</v>
      </c>
      <c r="G393" s="1" t="s">
        <v>1942</v>
      </c>
      <c r="H393" s="2">
        <v>45996</v>
      </c>
      <c r="I393" s="2">
        <v>33258</v>
      </c>
      <c r="J393" s="7">
        <f t="shared" ca="1" si="13"/>
        <v>32.794520547945204</v>
      </c>
      <c r="K393" s="1" t="s">
        <v>42</v>
      </c>
      <c r="L393" s="1" t="s">
        <v>80</v>
      </c>
      <c r="M393" s="2">
        <v>44979</v>
      </c>
      <c r="N393" s="1">
        <v>2</v>
      </c>
      <c r="O393" s="2" t="s">
        <v>42</v>
      </c>
      <c r="P393" s="1" t="s">
        <v>44</v>
      </c>
      <c r="Q393" s="1" t="s">
        <v>408</v>
      </c>
      <c r="R393" s="1" t="s">
        <v>124</v>
      </c>
      <c r="S393" s="1" t="s">
        <v>125</v>
      </c>
      <c r="T393" s="1">
        <v>0</v>
      </c>
      <c r="U393" s="2">
        <v>44979</v>
      </c>
      <c r="V393" s="2">
        <v>45344</v>
      </c>
      <c r="W393" s="2" t="s">
        <v>42</v>
      </c>
      <c r="X393" s="1" t="s">
        <v>42</v>
      </c>
      <c r="Y393" s="2" t="s">
        <v>42</v>
      </c>
      <c r="Z393" s="1" t="s">
        <v>42</v>
      </c>
      <c r="AA393" s="1" t="s">
        <v>42</v>
      </c>
      <c r="AB393" s="1" t="s">
        <v>1943</v>
      </c>
      <c r="AC393" s="1" t="s">
        <v>129</v>
      </c>
      <c r="AD393" s="1">
        <v>7009073037</v>
      </c>
      <c r="AE393" s="1" t="s">
        <v>103</v>
      </c>
      <c r="AF393" s="1"/>
      <c r="AG393" s="2" t="s">
        <v>42</v>
      </c>
      <c r="AH393" s="1"/>
      <c r="AI393" s="1" t="s">
        <v>42</v>
      </c>
      <c r="AJ393" s="1"/>
      <c r="AK393" s="2" t="s">
        <v>42</v>
      </c>
      <c r="AL393" s="1" t="s">
        <v>3507</v>
      </c>
    </row>
    <row r="394" spans="1:38" ht="20.100000000000001" customHeight="1" x14ac:dyDescent="0.2">
      <c r="A394" s="3">
        <f t="shared" si="12"/>
        <v>391</v>
      </c>
      <c r="B394" s="1" t="s">
        <v>3359</v>
      </c>
      <c r="C394" s="1" t="s">
        <v>3360</v>
      </c>
      <c r="D394" s="1" t="s">
        <v>121</v>
      </c>
      <c r="E394" s="1" t="s">
        <v>39</v>
      </c>
      <c r="F394" s="1"/>
      <c r="G394" s="1" t="s">
        <v>3361</v>
      </c>
      <c r="H394" s="2">
        <v>46861</v>
      </c>
      <c r="I394" s="2">
        <v>29634</v>
      </c>
      <c r="J394" s="7">
        <f t="shared" ca="1" si="13"/>
        <v>42.723287671232875</v>
      </c>
      <c r="K394" s="1" t="s">
        <v>42</v>
      </c>
      <c r="L394" s="1" t="s">
        <v>1415</v>
      </c>
      <c r="M394" s="2">
        <v>44979</v>
      </c>
      <c r="N394" s="1">
        <v>2</v>
      </c>
      <c r="O394" s="2" t="s">
        <v>42</v>
      </c>
      <c r="P394" s="1" t="s">
        <v>44</v>
      </c>
      <c r="Q394" s="1" t="s">
        <v>408</v>
      </c>
      <c r="R394" s="1" t="s">
        <v>42</v>
      </c>
      <c r="S394" s="1" t="s">
        <v>125</v>
      </c>
      <c r="T394" s="1">
        <v>0</v>
      </c>
      <c r="U394" s="2">
        <v>44979</v>
      </c>
      <c r="V394" s="2">
        <v>45344</v>
      </c>
      <c r="W394" s="2" t="s">
        <v>42</v>
      </c>
      <c r="X394" s="1" t="s">
        <v>42</v>
      </c>
      <c r="Y394" s="2" t="s">
        <v>42</v>
      </c>
      <c r="Z394" s="1" t="s">
        <v>3362</v>
      </c>
      <c r="AA394" s="1" t="s">
        <v>1948</v>
      </c>
      <c r="AB394" s="1" t="s">
        <v>3363</v>
      </c>
      <c r="AC394" s="1" t="s">
        <v>129</v>
      </c>
      <c r="AD394" s="1">
        <v>7015572543</v>
      </c>
      <c r="AE394" s="1" t="s">
        <v>3506</v>
      </c>
      <c r="AF394" s="1"/>
      <c r="AG394" s="2">
        <v>44984</v>
      </c>
      <c r="AH394" s="1" t="s">
        <v>2812</v>
      </c>
      <c r="AI394" s="1" t="s">
        <v>42</v>
      </c>
      <c r="AJ394" s="1"/>
      <c r="AK394" s="2" t="s">
        <v>42</v>
      </c>
      <c r="AL394" s="1" t="s">
        <v>2806</v>
      </c>
    </row>
    <row r="395" spans="1:38" ht="20.100000000000001" customHeight="1" x14ac:dyDescent="0.2">
      <c r="A395" s="3">
        <f t="shared" si="12"/>
        <v>392</v>
      </c>
      <c r="B395" s="1" t="s">
        <v>3364</v>
      </c>
      <c r="C395" s="1" t="s">
        <v>3365</v>
      </c>
      <c r="D395" s="1" t="s">
        <v>38</v>
      </c>
      <c r="E395" s="1" t="s">
        <v>69</v>
      </c>
      <c r="F395" s="1"/>
      <c r="G395" s="1" t="s">
        <v>42</v>
      </c>
      <c r="H395" s="2">
        <v>44956</v>
      </c>
      <c r="I395" s="2">
        <v>34596</v>
      </c>
      <c r="J395" s="7">
        <f t="shared" ca="1" si="13"/>
        <v>29.12876712328767</v>
      </c>
      <c r="K395" s="1" t="s">
        <v>482</v>
      </c>
      <c r="L395" s="1" t="s">
        <v>134</v>
      </c>
      <c r="M395" s="2">
        <v>44977</v>
      </c>
      <c r="N395" s="1">
        <v>2</v>
      </c>
      <c r="O395" s="2" t="s">
        <v>42</v>
      </c>
      <c r="P395" s="1" t="s">
        <v>44</v>
      </c>
      <c r="Q395" s="1" t="s">
        <v>475</v>
      </c>
      <c r="R395" s="1" t="s">
        <v>60</v>
      </c>
      <c r="S395" s="1" t="s">
        <v>156</v>
      </c>
      <c r="T395" s="1">
        <v>0</v>
      </c>
      <c r="U395" s="2" t="s">
        <v>42</v>
      </c>
      <c r="V395" s="2" t="s">
        <v>42</v>
      </c>
      <c r="W395" s="2" t="s">
        <v>42</v>
      </c>
      <c r="X395" s="1" t="s">
        <v>42</v>
      </c>
      <c r="Y395" s="2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/>
      <c r="AE395" s="1" t="s">
        <v>788</v>
      </c>
      <c r="AF395" s="1"/>
      <c r="AG395" s="2" t="s">
        <v>42</v>
      </c>
      <c r="AH395" s="1"/>
      <c r="AI395" s="1" t="s">
        <v>42</v>
      </c>
      <c r="AJ395" s="1"/>
      <c r="AK395" s="2" t="s">
        <v>42</v>
      </c>
      <c r="AL395" s="1" t="s">
        <v>2806</v>
      </c>
    </row>
    <row r="396" spans="1:38" ht="20.100000000000001" customHeight="1" x14ac:dyDescent="0.2">
      <c r="A396" s="3">
        <f t="shared" si="12"/>
        <v>393</v>
      </c>
      <c r="B396" s="1" t="s">
        <v>1944</v>
      </c>
      <c r="C396" s="1" t="s">
        <v>1945</v>
      </c>
      <c r="D396" s="1" t="s">
        <v>121</v>
      </c>
      <c r="E396" s="1" t="s">
        <v>39</v>
      </c>
      <c r="F396" s="1" t="s">
        <v>40</v>
      </c>
      <c r="G396" s="1" t="s">
        <v>1946</v>
      </c>
      <c r="H396" s="2">
        <v>47313</v>
      </c>
      <c r="I396" s="2">
        <v>30420</v>
      </c>
      <c r="J396" s="7">
        <f t="shared" ca="1" si="13"/>
        <v>40.56986301369863</v>
      </c>
      <c r="K396" s="1" t="s">
        <v>42</v>
      </c>
      <c r="L396" s="1" t="s">
        <v>80</v>
      </c>
      <c r="M396" s="2">
        <v>44979</v>
      </c>
      <c r="N396" s="1">
        <v>2</v>
      </c>
      <c r="O396" s="2" t="s">
        <v>42</v>
      </c>
      <c r="P396" s="1" t="s">
        <v>44</v>
      </c>
      <c r="Q396" s="1" t="s">
        <v>408</v>
      </c>
      <c r="R396" s="1" t="s">
        <v>124</v>
      </c>
      <c r="S396" s="1" t="s">
        <v>125</v>
      </c>
      <c r="T396" s="1">
        <v>0</v>
      </c>
      <c r="U396" s="2">
        <v>44979</v>
      </c>
      <c r="V396" s="2">
        <v>45344</v>
      </c>
      <c r="W396" s="2" t="s">
        <v>42</v>
      </c>
      <c r="X396" s="1" t="s">
        <v>42</v>
      </c>
      <c r="Y396" s="2" t="s">
        <v>42</v>
      </c>
      <c r="Z396" s="1" t="s">
        <v>1947</v>
      </c>
      <c r="AA396" s="1" t="s">
        <v>1948</v>
      </c>
      <c r="AB396" s="1" t="s">
        <v>1949</v>
      </c>
      <c r="AC396" s="1" t="s">
        <v>129</v>
      </c>
      <c r="AD396" s="1">
        <v>7015572543</v>
      </c>
      <c r="AE396" s="1" t="s">
        <v>3506</v>
      </c>
      <c r="AF396" s="1"/>
      <c r="AG396" s="2" t="s">
        <v>42</v>
      </c>
      <c r="AH396" s="1"/>
      <c r="AI396" s="1" t="s">
        <v>42</v>
      </c>
      <c r="AJ396" s="1"/>
      <c r="AK396" s="2" t="s">
        <v>42</v>
      </c>
      <c r="AL396" s="1" t="s">
        <v>3507</v>
      </c>
    </row>
    <row r="397" spans="1:38" ht="20.100000000000001" customHeight="1" x14ac:dyDescent="0.2">
      <c r="A397" s="3">
        <f t="shared" si="12"/>
        <v>394</v>
      </c>
      <c r="B397" s="1" t="s">
        <v>3366</v>
      </c>
      <c r="C397" s="1" t="s">
        <v>3367</v>
      </c>
      <c r="D397" s="1" t="s">
        <v>38</v>
      </c>
      <c r="E397" s="1" t="s">
        <v>39</v>
      </c>
      <c r="F397" s="1" t="s">
        <v>40</v>
      </c>
      <c r="G397" s="1" t="s">
        <v>3368</v>
      </c>
      <c r="H397" s="2">
        <v>45345</v>
      </c>
      <c r="I397" s="2">
        <v>38300</v>
      </c>
      <c r="J397" s="7">
        <f t="shared" ca="1" si="13"/>
        <v>18.980821917808218</v>
      </c>
      <c r="K397" s="1" t="s">
        <v>42</v>
      </c>
      <c r="L397" s="1" t="s">
        <v>211</v>
      </c>
      <c r="M397" s="2">
        <v>44979</v>
      </c>
      <c r="N397" s="1">
        <v>2</v>
      </c>
      <c r="O397" s="2" t="s">
        <v>42</v>
      </c>
      <c r="P397" s="1" t="s">
        <v>44</v>
      </c>
      <c r="Q397" s="1" t="s">
        <v>431</v>
      </c>
      <c r="R397" s="1" t="s">
        <v>1214</v>
      </c>
      <c r="S397" s="1" t="s">
        <v>47</v>
      </c>
      <c r="T397" s="1">
        <v>8</v>
      </c>
      <c r="U397" s="2">
        <v>44979</v>
      </c>
      <c r="V397" s="2">
        <v>45344</v>
      </c>
      <c r="W397" s="2">
        <v>45323</v>
      </c>
      <c r="X397" s="1" t="s">
        <v>42</v>
      </c>
      <c r="Y397" s="2" t="s">
        <v>42</v>
      </c>
      <c r="Z397" s="1" t="s">
        <v>3369</v>
      </c>
      <c r="AA397" s="1" t="s">
        <v>3370</v>
      </c>
      <c r="AB397" s="1" t="s">
        <v>3371</v>
      </c>
      <c r="AC397" s="1" t="s">
        <v>129</v>
      </c>
      <c r="AD397" s="1">
        <v>7009073037</v>
      </c>
      <c r="AE397" s="1" t="s">
        <v>103</v>
      </c>
      <c r="AF397" s="1"/>
      <c r="AG397" s="2">
        <v>45179</v>
      </c>
      <c r="AH397" s="1" t="s">
        <v>2812</v>
      </c>
      <c r="AI397" s="1" t="s">
        <v>42</v>
      </c>
      <c r="AJ397" s="1"/>
      <c r="AK397" s="2" t="s">
        <v>42</v>
      </c>
      <c r="AL397" s="1" t="s">
        <v>3507</v>
      </c>
    </row>
    <row r="398" spans="1:38" ht="20.100000000000001" customHeight="1" x14ac:dyDescent="0.2">
      <c r="A398" s="3">
        <f t="shared" si="12"/>
        <v>395</v>
      </c>
      <c r="B398" s="1" t="s">
        <v>1950</v>
      </c>
      <c r="C398" s="1" t="s">
        <v>1951</v>
      </c>
      <c r="D398" s="1" t="s">
        <v>38</v>
      </c>
      <c r="E398" s="1" t="s">
        <v>150</v>
      </c>
      <c r="F398" s="1" t="s">
        <v>70</v>
      </c>
      <c r="G398" s="1" t="s">
        <v>1952</v>
      </c>
      <c r="H398" s="2">
        <v>45386</v>
      </c>
      <c r="I398" s="2">
        <v>35246</v>
      </c>
      <c r="J398" s="7">
        <f t="shared" ca="1" si="13"/>
        <v>27.347945205479451</v>
      </c>
      <c r="K398" s="1" t="s">
        <v>667</v>
      </c>
      <c r="L398" s="1" t="s">
        <v>798</v>
      </c>
      <c r="M398" s="2">
        <v>45118</v>
      </c>
      <c r="N398" s="1">
        <v>2</v>
      </c>
      <c r="O398" s="2" t="s">
        <v>42</v>
      </c>
      <c r="P398" s="1" t="s">
        <v>44</v>
      </c>
      <c r="Q398" s="1" t="s">
        <v>66</v>
      </c>
      <c r="R398" s="1" t="s">
        <v>155</v>
      </c>
      <c r="S398" s="1" t="s">
        <v>47</v>
      </c>
      <c r="T398" s="1">
        <v>8</v>
      </c>
      <c r="U398" s="2">
        <v>45118</v>
      </c>
      <c r="V398" s="2">
        <v>45483</v>
      </c>
      <c r="W398" s="2" t="s">
        <v>42</v>
      </c>
      <c r="X398" s="1" t="s">
        <v>1953</v>
      </c>
      <c r="Y398" s="2">
        <v>47632</v>
      </c>
      <c r="Z398" s="1" t="s">
        <v>1954</v>
      </c>
      <c r="AA398" s="1" t="s">
        <v>1955</v>
      </c>
      <c r="AB398" s="1" t="s">
        <v>1956</v>
      </c>
      <c r="AC398" s="1" t="s">
        <v>50</v>
      </c>
      <c r="AD398" s="1">
        <v>7015572543</v>
      </c>
      <c r="AE398" s="1" t="s">
        <v>3506</v>
      </c>
      <c r="AF398" s="1" t="s">
        <v>66</v>
      </c>
      <c r="AG398" s="2" t="s">
        <v>42</v>
      </c>
      <c r="AH398" s="1"/>
      <c r="AI398" s="1" t="s">
        <v>42</v>
      </c>
      <c r="AJ398" s="1"/>
      <c r="AK398" s="2" t="s">
        <v>42</v>
      </c>
      <c r="AL398" s="1" t="s">
        <v>3507</v>
      </c>
    </row>
    <row r="399" spans="1:38" ht="20.100000000000001" customHeight="1" x14ac:dyDescent="0.2">
      <c r="A399" s="3">
        <f t="shared" si="12"/>
        <v>396</v>
      </c>
      <c r="B399" s="1" t="s">
        <v>1957</v>
      </c>
      <c r="C399" s="1" t="s">
        <v>1958</v>
      </c>
      <c r="D399" s="1" t="s">
        <v>38</v>
      </c>
      <c r="E399" s="1" t="s">
        <v>69</v>
      </c>
      <c r="F399" s="1" t="s">
        <v>70</v>
      </c>
      <c r="G399" s="1" t="s">
        <v>1959</v>
      </c>
      <c r="H399" s="2">
        <v>45486</v>
      </c>
      <c r="I399" s="2">
        <v>37255</v>
      </c>
      <c r="J399" s="7">
        <f t="shared" ca="1" si="13"/>
        <v>21.843835616438355</v>
      </c>
      <c r="K399" s="1" t="s">
        <v>1960</v>
      </c>
      <c r="L399" s="1" t="s">
        <v>134</v>
      </c>
      <c r="M399" s="2">
        <v>44936</v>
      </c>
      <c r="N399" s="1">
        <v>2</v>
      </c>
      <c r="O399" s="2" t="s">
        <v>42</v>
      </c>
      <c r="P399" s="1" t="s">
        <v>221</v>
      </c>
      <c r="Q399" s="1" t="s">
        <v>1961</v>
      </c>
      <c r="R399" s="1" t="s">
        <v>60</v>
      </c>
      <c r="S399" s="1" t="s">
        <v>156</v>
      </c>
      <c r="T399" s="1" t="s">
        <v>42</v>
      </c>
      <c r="U399" s="2" t="s">
        <v>42</v>
      </c>
      <c r="V399" s="2" t="s">
        <v>42</v>
      </c>
      <c r="W399" s="2" t="s">
        <v>42</v>
      </c>
      <c r="X399" s="1" t="s">
        <v>42</v>
      </c>
      <c r="Y399" s="2" t="s">
        <v>42</v>
      </c>
      <c r="Z399" s="1" t="s">
        <v>1962</v>
      </c>
      <c r="AA399" s="1" t="s">
        <v>1963</v>
      </c>
      <c r="AB399" s="1" t="s">
        <v>1964</v>
      </c>
      <c r="AC399" s="1" t="s">
        <v>129</v>
      </c>
      <c r="AD399" s="1"/>
      <c r="AE399" s="1" t="s">
        <v>788</v>
      </c>
      <c r="AF399" s="1"/>
      <c r="AG399" s="2" t="s">
        <v>42</v>
      </c>
      <c r="AH399" s="1"/>
      <c r="AI399" s="1" t="s">
        <v>42</v>
      </c>
      <c r="AJ399" s="1"/>
      <c r="AK399" s="2" t="s">
        <v>42</v>
      </c>
      <c r="AL399" s="1" t="s">
        <v>3507</v>
      </c>
    </row>
    <row r="400" spans="1:38" ht="20.100000000000001" customHeight="1" x14ac:dyDescent="0.2">
      <c r="A400" s="3">
        <f t="shared" si="12"/>
        <v>397</v>
      </c>
      <c r="B400" s="1" t="s">
        <v>3372</v>
      </c>
      <c r="C400" s="1" t="s">
        <v>3373</v>
      </c>
      <c r="D400" s="1" t="s">
        <v>38</v>
      </c>
      <c r="E400" s="1" t="s">
        <v>54</v>
      </c>
      <c r="F400" s="1" t="s">
        <v>55</v>
      </c>
      <c r="G400" s="1" t="s">
        <v>42</v>
      </c>
      <c r="H400" s="2" t="s">
        <v>42</v>
      </c>
      <c r="I400" s="2">
        <v>36139</v>
      </c>
      <c r="J400" s="7">
        <f t="shared" ca="1" si="13"/>
        <v>24.901369863013699</v>
      </c>
      <c r="K400" s="1" t="s">
        <v>133</v>
      </c>
      <c r="L400" s="1" t="s">
        <v>134</v>
      </c>
      <c r="M400" s="2">
        <v>44977</v>
      </c>
      <c r="N400" s="1">
        <v>2</v>
      </c>
      <c r="O400" s="2" t="s">
        <v>42</v>
      </c>
      <c r="P400" s="1" t="s">
        <v>44</v>
      </c>
      <c r="Q400" s="1" t="s">
        <v>306</v>
      </c>
      <c r="R400" s="1" t="s">
        <v>60</v>
      </c>
      <c r="S400" s="1" t="s">
        <v>156</v>
      </c>
      <c r="T400" s="1" t="s">
        <v>42</v>
      </c>
      <c r="U400" s="2" t="s">
        <v>42</v>
      </c>
      <c r="V400" s="2" t="s">
        <v>42</v>
      </c>
      <c r="W400" s="2" t="s">
        <v>42</v>
      </c>
      <c r="X400" s="1" t="s">
        <v>42</v>
      </c>
      <c r="Y400" s="2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/>
      <c r="AE400" s="1" t="s">
        <v>788</v>
      </c>
      <c r="AF400" s="1"/>
      <c r="AG400" s="2" t="s">
        <v>42</v>
      </c>
      <c r="AH400" s="1" t="s">
        <v>2812</v>
      </c>
      <c r="AI400" s="1" t="s">
        <v>42</v>
      </c>
      <c r="AJ400" s="1"/>
      <c r="AK400" s="2" t="s">
        <v>42</v>
      </c>
      <c r="AL400" s="1" t="s">
        <v>2806</v>
      </c>
    </row>
    <row r="401" spans="1:38" ht="20.100000000000001" customHeight="1" x14ac:dyDescent="0.2">
      <c r="A401" s="3">
        <f t="shared" si="12"/>
        <v>398</v>
      </c>
      <c r="B401" s="1" t="s">
        <v>1965</v>
      </c>
      <c r="C401" s="1" t="s">
        <v>1966</v>
      </c>
      <c r="D401" s="1" t="s">
        <v>121</v>
      </c>
      <c r="E401" s="1" t="s">
        <v>39</v>
      </c>
      <c r="F401" s="1" t="s">
        <v>40</v>
      </c>
      <c r="G401" s="1" t="s">
        <v>1967</v>
      </c>
      <c r="H401" s="2">
        <v>45545</v>
      </c>
      <c r="I401" s="2">
        <v>36466</v>
      </c>
      <c r="J401" s="7">
        <f t="shared" ca="1" si="13"/>
        <v>24.005479452054793</v>
      </c>
      <c r="K401" s="1" t="s">
        <v>1968</v>
      </c>
      <c r="L401" s="1" t="s">
        <v>1158</v>
      </c>
      <c r="M401" s="2">
        <v>44983</v>
      </c>
      <c r="N401" s="1">
        <v>2</v>
      </c>
      <c r="O401" s="2" t="s">
        <v>42</v>
      </c>
      <c r="P401" s="1" t="s">
        <v>44</v>
      </c>
      <c r="Q401" s="1" t="s">
        <v>178</v>
      </c>
      <c r="R401" s="1" t="s">
        <v>179</v>
      </c>
      <c r="S401" s="1" t="s">
        <v>47</v>
      </c>
      <c r="T401" s="1">
        <v>8</v>
      </c>
      <c r="U401" s="2">
        <v>44983</v>
      </c>
      <c r="V401" s="2">
        <v>45348</v>
      </c>
      <c r="W401" s="2" t="s">
        <v>42</v>
      </c>
      <c r="X401" s="1" t="s">
        <v>42</v>
      </c>
      <c r="Y401" s="2" t="s">
        <v>42</v>
      </c>
      <c r="Z401" s="1" t="s">
        <v>1969</v>
      </c>
      <c r="AA401" s="1" t="s">
        <v>1970</v>
      </c>
      <c r="AB401" s="1" t="s">
        <v>1971</v>
      </c>
      <c r="AC401" s="1" t="s">
        <v>129</v>
      </c>
      <c r="AD401" s="1">
        <v>7021202564</v>
      </c>
      <c r="AE401" s="1" t="s">
        <v>567</v>
      </c>
      <c r="AF401" s="1"/>
      <c r="AG401" s="2" t="s">
        <v>42</v>
      </c>
      <c r="AH401" s="1"/>
      <c r="AI401" s="1" t="s">
        <v>42</v>
      </c>
      <c r="AJ401" s="1"/>
      <c r="AK401" s="2" t="s">
        <v>42</v>
      </c>
      <c r="AL401" s="1" t="s">
        <v>3507</v>
      </c>
    </row>
    <row r="402" spans="1:38" ht="20.100000000000001" customHeight="1" x14ac:dyDescent="0.2">
      <c r="A402" s="3">
        <f t="shared" si="12"/>
        <v>399</v>
      </c>
      <c r="B402" s="1" t="s">
        <v>3374</v>
      </c>
      <c r="C402" s="1" t="s">
        <v>3375</v>
      </c>
      <c r="D402" s="1" t="s">
        <v>38</v>
      </c>
      <c r="E402" s="1" t="s">
        <v>42</v>
      </c>
      <c r="F402" s="1"/>
      <c r="G402" s="1" t="s">
        <v>42</v>
      </c>
      <c r="H402" s="2" t="s">
        <v>42</v>
      </c>
      <c r="I402" s="2" t="s">
        <v>42</v>
      </c>
      <c r="J402" s="7"/>
      <c r="K402" s="1" t="s">
        <v>42</v>
      </c>
      <c r="L402" s="1" t="s">
        <v>42</v>
      </c>
      <c r="M402" s="2" t="s">
        <v>42</v>
      </c>
      <c r="N402" s="1">
        <v>2</v>
      </c>
      <c r="O402" s="2" t="s">
        <v>42</v>
      </c>
      <c r="P402" s="1" t="s">
        <v>42</v>
      </c>
      <c r="Q402" s="1" t="s">
        <v>42</v>
      </c>
      <c r="R402" s="1" t="s">
        <v>42</v>
      </c>
      <c r="S402" s="1"/>
      <c r="T402" s="1" t="s">
        <v>42</v>
      </c>
      <c r="U402" s="2" t="s">
        <v>42</v>
      </c>
      <c r="V402" s="2" t="s">
        <v>42</v>
      </c>
      <c r="W402" s="2" t="s">
        <v>42</v>
      </c>
      <c r="X402" s="1" t="s">
        <v>42</v>
      </c>
      <c r="Y402" s="2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/>
      <c r="AE402" s="1" t="s">
        <v>42</v>
      </c>
      <c r="AF402" s="1"/>
      <c r="AG402" s="2" t="s">
        <v>42</v>
      </c>
      <c r="AH402" s="1"/>
      <c r="AI402" s="1" t="s">
        <v>42</v>
      </c>
      <c r="AJ402" s="1"/>
      <c r="AK402" s="2" t="s">
        <v>42</v>
      </c>
      <c r="AL402" s="1" t="s">
        <v>42</v>
      </c>
    </row>
    <row r="403" spans="1:38" ht="20.100000000000001" customHeight="1" x14ac:dyDescent="0.2">
      <c r="A403" s="3">
        <f t="shared" si="12"/>
        <v>400</v>
      </c>
      <c r="B403" s="1" t="s">
        <v>3376</v>
      </c>
      <c r="C403" s="1" t="s">
        <v>3377</v>
      </c>
      <c r="D403" s="1" t="s">
        <v>38</v>
      </c>
      <c r="E403" s="1" t="s">
        <v>69</v>
      </c>
      <c r="F403" s="1" t="s">
        <v>70</v>
      </c>
      <c r="G403" s="1" t="s">
        <v>3378</v>
      </c>
      <c r="H403" s="2">
        <v>44822</v>
      </c>
      <c r="I403" s="2">
        <v>35191</v>
      </c>
      <c r="J403" s="7">
        <f t="shared" ca="1" si="13"/>
        <v>27.4986301369863</v>
      </c>
      <c r="K403" s="1" t="s">
        <v>482</v>
      </c>
      <c r="L403" s="1" t="s">
        <v>134</v>
      </c>
      <c r="M403" s="2">
        <v>45055</v>
      </c>
      <c r="N403" s="1">
        <v>2</v>
      </c>
      <c r="O403" s="2" t="s">
        <v>42</v>
      </c>
      <c r="P403" s="1" t="s">
        <v>221</v>
      </c>
      <c r="Q403" s="1" t="s">
        <v>222</v>
      </c>
      <c r="R403" s="1" t="s">
        <v>60</v>
      </c>
      <c r="S403" s="1" t="s">
        <v>156</v>
      </c>
      <c r="T403" s="1" t="s">
        <v>42</v>
      </c>
      <c r="U403" s="2" t="s">
        <v>42</v>
      </c>
      <c r="V403" s="2" t="s">
        <v>42</v>
      </c>
      <c r="W403" s="2" t="s">
        <v>42</v>
      </c>
      <c r="X403" s="1" t="s">
        <v>42</v>
      </c>
      <c r="Y403" s="2" t="s">
        <v>42</v>
      </c>
      <c r="Z403" s="1" t="s">
        <v>3379</v>
      </c>
      <c r="AA403" s="1" t="s">
        <v>3380</v>
      </c>
      <c r="AB403" s="1" t="s">
        <v>939</v>
      </c>
      <c r="AC403" s="1" t="s">
        <v>50</v>
      </c>
      <c r="AD403" s="1"/>
      <c r="AE403" s="1" t="s">
        <v>788</v>
      </c>
      <c r="AF403" s="1"/>
      <c r="AG403" s="2">
        <v>45163</v>
      </c>
      <c r="AH403" s="1" t="s">
        <v>2812</v>
      </c>
      <c r="AI403" s="1" t="s">
        <v>42</v>
      </c>
      <c r="AJ403" s="1"/>
      <c r="AK403" s="2" t="s">
        <v>42</v>
      </c>
      <c r="AL403" s="1" t="s">
        <v>2806</v>
      </c>
    </row>
    <row r="404" spans="1:38" ht="20.100000000000001" customHeight="1" x14ac:dyDescent="0.2">
      <c r="A404" s="3">
        <f t="shared" si="12"/>
        <v>401</v>
      </c>
      <c r="B404" s="1" t="s">
        <v>3381</v>
      </c>
      <c r="C404" s="1" t="s">
        <v>3382</v>
      </c>
      <c r="D404" s="1" t="s">
        <v>38</v>
      </c>
      <c r="E404" s="1" t="s">
        <v>54</v>
      </c>
      <c r="F404" s="1"/>
      <c r="G404" s="1" t="s">
        <v>42</v>
      </c>
      <c r="H404" s="2" t="s">
        <v>42</v>
      </c>
      <c r="I404" s="2">
        <v>35767</v>
      </c>
      <c r="J404" s="7">
        <f t="shared" ca="1" si="13"/>
        <v>25.920547945205481</v>
      </c>
      <c r="K404" s="1" t="s">
        <v>134</v>
      </c>
      <c r="L404" s="1" t="s">
        <v>134</v>
      </c>
      <c r="M404" s="2">
        <v>44977</v>
      </c>
      <c r="N404" s="1">
        <v>2</v>
      </c>
      <c r="O404" s="2" t="s">
        <v>42</v>
      </c>
      <c r="P404" s="1" t="s">
        <v>221</v>
      </c>
      <c r="Q404" s="1" t="s">
        <v>222</v>
      </c>
      <c r="R404" s="1" t="s">
        <v>60</v>
      </c>
      <c r="S404" s="1" t="s">
        <v>156</v>
      </c>
      <c r="T404" s="1" t="s">
        <v>42</v>
      </c>
      <c r="U404" s="2" t="s">
        <v>42</v>
      </c>
      <c r="V404" s="2" t="s">
        <v>42</v>
      </c>
      <c r="W404" s="2" t="s">
        <v>42</v>
      </c>
      <c r="X404" s="1" t="s">
        <v>42</v>
      </c>
      <c r="Y404" s="2" t="s">
        <v>42</v>
      </c>
      <c r="Z404" s="1" t="s">
        <v>3383</v>
      </c>
      <c r="AA404" s="1" t="s">
        <v>3384</v>
      </c>
      <c r="AB404" s="1" t="s">
        <v>42</v>
      </c>
      <c r="AC404" s="1" t="s">
        <v>42</v>
      </c>
      <c r="AD404" s="1"/>
      <c r="AE404" s="1" t="s">
        <v>788</v>
      </c>
      <c r="AF404" s="1"/>
      <c r="AG404" s="2" t="s">
        <v>42</v>
      </c>
      <c r="AH404" s="1"/>
      <c r="AI404" s="1" t="s">
        <v>42</v>
      </c>
      <c r="AJ404" s="1"/>
      <c r="AK404" s="2" t="s">
        <v>42</v>
      </c>
      <c r="AL404" s="1" t="s">
        <v>2806</v>
      </c>
    </row>
    <row r="405" spans="1:38" ht="20.100000000000001" customHeight="1" x14ac:dyDescent="0.2">
      <c r="A405" s="3">
        <f t="shared" si="12"/>
        <v>402</v>
      </c>
      <c r="B405" s="1" t="s">
        <v>3385</v>
      </c>
      <c r="C405" s="1" t="s">
        <v>3386</v>
      </c>
      <c r="D405" s="1" t="s">
        <v>38</v>
      </c>
      <c r="E405" s="1" t="s">
        <v>54</v>
      </c>
      <c r="F405" s="1"/>
      <c r="G405" s="1" t="s">
        <v>1718</v>
      </c>
      <c r="H405" s="2" t="s">
        <v>42</v>
      </c>
      <c r="I405" s="2">
        <v>33970</v>
      </c>
      <c r="J405" s="7">
        <f t="shared" ca="1" si="13"/>
        <v>30.843835616438355</v>
      </c>
      <c r="K405" s="1" t="s">
        <v>134</v>
      </c>
      <c r="L405" s="1" t="s">
        <v>134</v>
      </c>
      <c r="M405" s="2">
        <v>44977</v>
      </c>
      <c r="N405" s="1">
        <v>2</v>
      </c>
      <c r="O405" s="2" t="s">
        <v>42</v>
      </c>
      <c r="P405" s="1" t="s">
        <v>221</v>
      </c>
      <c r="Q405" s="1" t="s">
        <v>222</v>
      </c>
      <c r="R405" s="1" t="s">
        <v>60</v>
      </c>
      <c r="S405" s="1" t="s">
        <v>156</v>
      </c>
      <c r="T405" s="1" t="s">
        <v>42</v>
      </c>
      <c r="U405" s="2" t="s">
        <v>42</v>
      </c>
      <c r="V405" s="2" t="s">
        <v>42</v>
      </c>
      <c r="W405" s="2" t="s">
        <v>42</v>
      </c>
      <c r="X405" s="1" t="s">
        <v>42</v>
      </c>
      <c r="Y405" s="2" t="s">
        <v>42</v>
      </c>
      <c r="Z405" s="1" t="s">
        <v>42</v>
      </c>
      <c r="AA405" s="1" t="s">
        <v>3387</v>
      </c>
      <c r="AB405" s="1" t="s">
        <v>42</v>
      </c>
      <c r="AC405" s="1" t="s">
        <v>42</v>
      </c>
      <c r="AD405" s="1"/>
      <c r="AE405" s="1" t="s">
        <v>788</v>
      </c>
      <c r="AF405" s="1"/>
      <c r="AG405" s="2" t="s">
        <v>42</v>
      </c>
      <c r="AH405" s="1"/>
      <c r="AI405" s="1" t="s">
        <v>42</v>
      </c>
      <c r="AJ405" s="1"/>
      <c r="AK405" s="2" t="s">
        <v>42</v>
      </c>
      <c r="AL405" s="1" t="s">
        <v>2806</v>
      </c>
    </row>
    <row r="406" spans="1:38" ht="20.100000000000001" customHeight="1" x14ac:dyDescent="0.2">
      <c r="A406" s="3">
        <f t="shared" si="12"/>
        <v>403</v>
      </c>
      <c r="B406" s="1" t="s">
        <v>1972</v>
      </c>
      <c r="C406" s="1" t="s">
        <v>1973</v>
      </c>
      <c r="D406" s="1" t="s">
        <v>38</v>
      </c>
      <c r="E406" s="1" t="s">
        <v>54</v>
      </c>
      <c r="F406" s="1" t="s">
        <v>55</v>
      </c>
      <c r="G406" s="1" t="s">
        <v>42</v>
      </c>
      <c r="H406" s="2" t="s">
        <v>42</v>
      </c>
      <c r="I406" s="2">
        <v>35796</v>
      </c>
      <c r="J406" s="7">
        <f t="shared" ca="1" si="13"/>
        <v>25.841095890410958</v>
      </c>
      <c r="K406" s="1" t="s">
        <v>134</v>
      </c>
      <c r="L406" s="1" t="s">
        <v>134</v>
      </c>
      <c r="M406" s="2">
        <v>44977</v>
      </c>
      <c r="N406" s="1">
        <v>2</v>
      </c>
      <c r="O406" s="2" t="s">
        <v>42</v>
      </c>
      <c r="P406" s="1" t="s">
        <v>221</v>
      </c>
      <c r="Q406" s="1" t="s">
        <v>222</v>
      </c>
      <c r="R406" s="1" t="s">
        <v>60</v>
      </c>
      <c r="S406" s="1" t="s">
        <v>156</v>
      </c>
      <c r="T406" s="1" t="s">
        <v>42</v>
      </c>
      <c r="U406" s="2" t="s">
        <v>42</v>
      </c>
      <c r="V406" s="2" t="s">
        <v>42</v>
      </c>
      <c r="W406" s="2" t="s">
        <v>42</v>
      </c>
      <c r="X406" s="1" t="s">
        <v>42</v>
      </c>
      <c r="Y406" s="2" t="s">
        <v>42</v>
      </c>
      <c r="Z406" s="1" t="s">
        <v>42</v>
      </c>
      <c r="AA406" s="1" t="s">
        <v>1974</v>
      </c>
      <c r="AB406" s="1" t="s">
        <v>691</v>
      </c>
      <c r="AC406" s="1" t="s">
        <v>50</v>
      </c>
      <c r="AD406" s="1"/>
      <c r="AE406" s="1" t="s">
        <v>788</v>
      </c>
      <c r="AF406" s="1" t="s">
        <v>227</v>
      </c>
      <c r="AG406" s="2" t="s">
        <v>42</v>
      </c>
      <c r="AH406" s="1"/>
      <c r="AI406" s="1" t="s">
        <v>42</v>
      </c>
      <c r="AJ406" s="1"/>
      <c r="AK406" s="2" t="s">
        <v>42</v>
      </c>
      <c r="AL406" s="1" t="s">
        <v>3507</v>
      </c>
    </row>
    <row r="407" spans="1:38" ht="20.100000000000001" customHeight="1" x14ac:dyDescent="0.2">
      <c r="A407" s="3">
        <f t="shared" si="12"/>
        <v>404</v>
      </c>
      <c r="B407" s="1" t="s">
        <v>1975</v>
      </c>
      <c r="C407" s="1" t="s">
        <v>1976</v>
      </c>
      <c r="D407" s="1" t="s">
        <v>38</v>
      </c>
      <c r="E407" s="1" t="s">
        <v>54</v>
      </c>
      <c r="F407" s="1" t="s">
        <v>55</v>
      </c>
      <c r="G407" s="1" t="s">
        <v>1977</v>
      </c>
      <c r="H407" s="2">
        <v>45366</v>
      </c>
      <c r="I407" s="2">
        <v>37085</v>
      </c>
      <c r="J407" s="7">
        <f t="shared" ca="1" si="13"/>
        <v>22.30958904109589</v>
      </c>
      <c r="K407" s="1" t="s">
        <v>1652</v>
      </c>
      <c r="L407" s="1" t="s">
        <v>134</v>
      </c>
      <c r="M407" s="2">
        <v>44973</v>
      </c>
      <c r="N407" s="1">
        <v>2</v>
      </c>
      <c r="O407" s="2" t="s">
        <v>42</v>
      </c>
      <c r="P407" s="1" t="s">
        <v>44</v>
      </c>
      <c r="Q407" s="1" t="s">
        <v>203</v>
      </c>
      <c r="R407" s="1" t="s">
        <v>60</v>
      </c>
      <c r="S407" s="1" t="s">
        <v>47</v>
      </c>
      <c r="T407" s="1" t="s">
        <v>42</v>
      </c>
      <c r="U407" s="2" t="s">
        <v>42</v>
      </c>
      <c r="V407" s="2" t="s">
        <v>42</v>
      </c>
      <c r="W407" s="2" t="s">
        <v>42</v>
      </c>
      <c r="X407" s="1" t="s">
        <v>42</v>
      </c>
      <c r="Y407" s="2" t="s">
        <v>42</v>
      </c>
      <c r="Z407" s="1" t="s">
        <v>42</v>
      </c>
      <c r="AA407" s="1" t="s">
        <v>1978</v>
      </c>
      <c r="AB407" s="1" t="s">
        <v>1979</v>
      </c>
      <c r="AC407" s="1" t="s">
        <v>129</v>
      </c>
      <c r="AD407" s="1">
        <v>7014477116</v>
      </c>
      <c r="AE407" s="1" t="s">
        <v>65</v>
      </c>
      <c r="AF407" s="1" t="s">
        <v>66</v>
      </c>
      <c r="AG407" s="2" t="s">
        <v>42</v>
      </c>
      <c r="AH407" s="1"/>
      <c r="AI407" s="1" t="s">
        <v>42</v>
      </c>
      <c r="AJ407" s="1"/>
      <c r="AK407" s="2" t="s">
        <v>42</v>
      </c>
      <c r="AL407" s="1" t="s">
        <v>3507</v>
      </c>
    </row>
    <row r="408" spans="1:38" ht="20.100000000000001" customHeight="1" x14ac:dyDescent="0.2">
      <c r="A408" s="3">
        <f t="shared" si="12"/>
        <v>405</v>
      </c>
      <c r="B408" s="1" t="s">
        <v>1980</v>
      </c>
      <c r="C408" s="1" t="s">
        <v>1981</v>
      </c>
      <c r="D408" s="1" t="s">
        <v>38</v>
      </c>
      <c r="E408" s="1" t="s">
        <v>54</v>
      </c>
      <c r="F408" s="1" t="s">
        <v>55</v>
      </c>
      <c r="G408" s="1" t="s">
        <v>1982</v>
      </c>
      <c r="H408" s="2">
        <v>45349</v>
      </c>
      <c r="I408" s="2">
        <v>35969</v>
      </c>
      <c r="J408" s="7">
        <f t="shared" ca="1" si="13"/>
        <v>25.367123287671234</v>
      </c>
      <c r="K408" s="1" t="s">
        <v>482</v>
      </c>
      <c r="L408" s="1" t="s">
        <v>241</v>
      </c>
      <c r="M408" s="2">
        <v>44984</v>
      </c>
      <c r="N408" s="1">
        <v>2</v>
      </c>
      <c r="O408" s="2" t="s">
        <v>42</v>
      </c>
      <c r="P408" s="1" t="s">
        <v>221</v>
      </c>
      <c r="Q408" s="1" t="s">
        <v>1961</v>
      </c>
      <c r="R408" s="1" t="s">
        <v>60</v>
      </c>
      <c r="S408" s="1" t="s">
        <v>156</v>
      </c>
      <c r="T408" s="1" t="s">
        <v>42</v>
      </c>
      <c r="U408" s="2" t="s">
        <v>42</v>
      </c>
      <c r="V408" s="2" t="s">
        <v>42</v>
      </c>
      <c r="W408" s="2" t="s">
        <v>42</v>
      </c>
      <c r="X408" s="1" t="s">
        <v>42</v>
      </c>
      <c r="Y408" s="2" t="s">
        <v>42</v>
      </c>
      <c r="Z408" s="1" t="s">
        <v>1983</v>
      </c>
      <c r="AA408" s="1" t="s">
        <v>1984</v>
      </c>
      <c r="AB408" s="1" t="s">
        <v>1985</v>
      </c>
      <c r="AC408" s="1" t="s">
        <v>617</v>
      </c>
      <c r="AD408" s="1">
        <v>7021202564</v>
      </c>
      <c r="AE408" s="1" t="s">
        <v>567</v>
      </c>
      <c r="AF408" s="1"/>
      <c r="AG408" s="2" t="s">
        <v>42</v>
      </c>
      <c r="AH408" s="1"/>
      <c r="AI408" s="1" t="s">
        <v>42</v>
      </c>
      <c r="AJ408" s="1"/>
      <c r="AK408" s="2" t="s">
        <v>42</v>
      </c>
      <c r="AL408" s="1" t="s">
        <v>3507</v>
      </c>
    </row>
    <row r="409" spans="1:38" ht="20.100000000000001" customHeight="1" x14ac:dyDescent="0.2">
      <c r="A409" s="3">
        <f t="shared" si="12"/>
        <v>406</v>
      </c>
      <c r="B409" s="1" t="s">
        <v>3388</v>
      </c>
      <c r="C409" s="1" t="s">
        <v>3389</v>
      </c>
      <c r="D409" s="1" t="s">
        <v>38</v>
      </c>
      <c r="E409" s="1" t="s">
        <v>39</v>
      </c>
      <c r="F409" s="1" t="s">
        <v>40</v>
      </c>
      <c r="G409" s="1" t="s">
        <v>3390</v>
      </c>
      <c r="H409" s="2">
        <v>45345</v>
      </c>
      <c r="I409" s="2">
        <v>38161</v>
      </c>
      <c r="J409" s="7">
        <f t="shared" ca="1" si="13"/>
        <v>19.361643835616437</v>
      </c>
      <c r="K409" s="1" t="s">
        <v>42</v>
      </c>
      <c r="L409" s="1" t="s">
        <v>211</v>
      </c>
      <c r="M409" s="2">
        <v>44985</v>
      </c>
      <c r="N409" s="1">
        <v>2</v>
      </c>
      <c r="O409" s="2" t="s">
        <v>42</v>
      </c>
      <c r="P409" s="1" t="s">
        <v>44</v>
      </c>
      <c r="Q409" s="1" t="s">
        <v>107</v>
      </c>
      <c r="R409" s="1" t="s">
        <v>60</v>
      </c>
      <c r="S409" s="1" t="s">
        <v>47</v>
      </c>
      <c r="T409" s="1">
        <v>8</v>
      </c>
      <c r="U409" s="2">
        <v>44985</v>
      </c>
      <c r="V409" s="2">
        <v>45350</v>
      </c>
      <c r="W409" s="2" t="s">
        <v>42</v>
      </c>
      <c r="X409" s="1" t="s">
        <v>42</v>
      </c>
      <c r="Y409" s="2" t="s">
        <v>42</v>
      </c>
      <c r="Z409" s="1" t="s">
        <v>3391</v>
      </c>
      <c r="AA409" s="1" t="s">
        <v>3392</v>
      </c>
      <c r="AB409" s="1" t="s">
        <v>3393</v>
      </c>
      <c r="AC409" s="1" t="s">
        <v>551</v>
      </c>
      <c r="AD409" s="1">
        <v>7015572543</v>
      </c>
      <c r="AE409" s="1" t="s">
        <v>3506</v>
      </c>
      <c r="AF409" s="1"/>
      <c r="AG409" s="2">
        <v>45180</v>
      </c>
      <c r="AH409" s="1" t="s">
        <v>2812</v>
      </c>
      <c r="AI409" s="1" t="s">
        <v>42</v>
      </c>
      <c r="AJ409" s="1"/>
      <c r="AK409" s="2" t="s">
        <v>42</v>
      </c>
      <c r="AL409" s="1" t="s">
        <v>2806</v>
      </c>
    </row>
    <row r="410" spans="1:38" ht="20.100000000000001" customHeight="1" x14ac:dyDescent="0.2">
      <c r="A410" s="3">
        <f t="shared" si="12"/>
        <v>407</v>
      </c>
      <c r="B410" s="1" t="s">
        <v>1986</v>
      </c>
      <c r="C410" s="1" t="s">
        <v>1987</v>
      </c>
      <c r="D410" s="1" t="s">
        <v>121</v>
      </c>
      <c r="E410" s="1" t="s">
        <v>39</v>
      </c>
      <c r="F410" s="1" t="s">
        <v>40</v>
      </c>
      <c r="G410" s="1" t="s">
        <v>1988</v>
      </c>
      <c r="H410" s="2">
        <v>46974</v>
      </c>
      <c r="I410" s="2">
        <v>31699</v>
      </c>
      <c r="J410" s="7">
        <f t="shared" ca="1" si="13"/>
        <v>37.065753424657537</v>
      </c>
      <c r="K410" s="1" t="s">
        <v>42</v>
      </c>
      <c r="L410" s="1" t="s">
        <v>1415</v>
      </c>
      <c r="M410" s="2">
        <v>44986</v>
      </c>
      <c r="N410" s="1">
        <v>2</v>
      </c>
      <c r="O410" s="2" t="s">
        <v>42</v>
      </c>
      <c r="P410" s="1" t="s">
        <v>44</v>
      </c>
      <c r="Q410" s="1" t="s">
        <v>408</v>
      </c>
      <c r="R410" s="1" t="s">
        <v>124</v>
      </c>
      <c r="S410" s="1" t="s">
        <v>125</v>
      </c>
      <c r="T410" s="1">
        <v>0</v>
      </c>
      <c r="U410" s="2">
        <v>44986</v>
      </c>
      <c r="V410" s="2">
        <v>45352</v>
      </c>
      <c r="W410" s="2" t="s">
        <v>42</v>
      </c>
      <c r="X410" s="1" t="s">
        <v>42</v>
      </c>
      <c r="Y410" s="2" t="s">
        <v>42</v>
      </c>
      <c r="Z410" s="1" t="s">
        <v>1989</v>
      </c>
      <c r="AA410" s="1" t="s">
        <v>1990</v>
      </c>
      <c r="AB410" s="1" t="s">
        <v>1991</v>
      </c>
      <c r="AC410" s="1" t="s">
        <v>50</v>
      </c>
      <c r="AD410" s="1">
        <v>7014477116</v>
      </c>
      <c r="AE410" s="1" t="s">
        <v>65</v>
      </c>
      <c r="AF410" s="1"/>
      <c r="AG410" s="2" t="s">
        <v>42</v>
      </c>
      <c r="AH410" s="1"/>
      <c r="AI410" s="1" t="s">
        <v>42</v>
      </c>
      <c r="AJ410" s="1"/>
      <c r="AK410" s="2" t="s">
        <v>42</v>
      </c>
      <c r="AL410" s="1" t="s">
        <v>3507</v>
      </c>
    </row>
    <row r="411" spans="1:38" ht="20.100000000000001" customHeight="1" x14ac:dyDescent="0.2">
      <c r="A411" s="3">
        <f t="shared" si="12"/>
        <v>408</v>
      </c>
      <c r="B411" s="1" t="s">
        <v>1992</v>
      </c>
      <c r="C411" s="1" t="s">
        <v>1993</v>
      </c>
      <c r="D411" s="1" t="s">
        <v>38</v>
      </c>
      <c r="E411" s="1" t="s">
        <v>69</v>
      </c>
      <c r="F411" s="1" t="s">
        <v>70</v>
      </c>
      <c r="G411" s="1" t="s">
        <v>1994</v>
      </c>
      <c r="H411" s="2">
        <v>45438</v>
      </c>
      <c r="I411" s="2">
        <v>36526</v>
      </c>
      <c r="J411" s="7">
        <f t="shared" ca="1" si="13"/>
        <v>23.841095890410958</v>
      </c>
      <c r="K411" s="1" t="s">
        <v>133</v>
      </c>
      <c r="L411" s="1" t="s">
        <v>134</v>
      </c>
      <c r="M411" s="2">
        <v>44990</v>
      </c>
      <c r="N411" s="1">
        <v>2</v>
      </c>
      <c r="O411" s="2" t="s">
        <v>42</v>
      </c>
      <c r="P411" s="1" t="s">
        <v>44</v>
      </c>
      <c r="Q411" s="1" t="s">
        <v>107</v>
      </c>
      <c r="R411" s="1" t="s">
        <v>60</v>
      </c>
      <c r="S411" s="1" t="s">
        <v>47</v>
      </c>
      <c r="T411" s="1">
        <v>8</v>
      </c>
      <c r="U411" s="2">
        <v>44990</v>
      </c>
      <c r="V411" s="2">
        <v>45355</v>
      </c>
      <c r="W411" s="2" t="s">
        <v>42</v>
      </c>
      <c r="X411" s="1" t="s">
        <v>1995</v>
      </c>
      <c r="Y411" s="2">
        <v>46993</v>
      </c>
      <c r="Z411" s="1" t="s">
        <v>1996</v>
      </c>
      <c r="AA411" s="1" t="s">
        <v>42</v>
      </c>
      <c r="AB411" s="1" t="s">
        <v>1997</v>
      </c>
      <c r="AC411" s="1" t="s">
        <v>129</v>
      </c>
      <c r="AD411" s="1">
        <v>7015572543</v>
      </c>
      <c r="AE411" s="1" t="s">
        <v>3506</v>
      </c>
      <c r="AF411" s="1" t="s">
        <v>66</v>
      </c>
      <c r="AG411" s="2" t="s">
        <v>42</v>
      </c>
      <c r="AH411" s="1"/>
      <c r="AI411" s="1" t="s">
        <v>42</v>
      </c>
      <c r="AJ411" s="1"/>
      <c r="AK411" s="2" t="s">
        <v>42</v>
      </c>
      <c r="AL411" s="1" t="s">
        <v>3507</v>
      </c>
    </row>
    <row r="412" spans="1:38" ht="20.100000000000001" customHeight="1" x14ac:dyDescent="0.2">
      <c r="A412" s="3">
        <f t="shared" si="12"/>
        <v>409</v>
      </c>
      <c r="B412" s="1" t="s">
        <v>1998</v>
      </c>
      <c r="C412" s="1" t="s">
        <v>1999</v>
      </c>
      <c r="D412" s="1" t="s">
        <v>38</v>
      </c>
      <c r="E412" s="1" t="s">
        <v>69</v>
      </c>
      <c r="F412" s="1" t="s">
        <v>70</v>
      </c>
      <c r="G412" s="1" t="s">
        <v>2000</v>
      </c>
      <c r="H412" s="2">
        <v>45036</v>
      </c>
      <c r="I412" s="2">
        <v>35133</v>
      </c>
      <c r="J412" s="7">
        <f t="shared" ca="1" si="13"/>
        <v>27.657534246575342</v>
      </c>
      <c r="K412" s="1" t="s">
        <v>195</v>
      </c>
      <c r="L412" s="1" t="s">
        <v>134</v>
      </c>
      <c r="M412" s="2">
        <v>44986</v>
      </c>
      <c r="N412" s="1">
        <v>2</v>
      </c>
      <c r="O412" s="2" t="s">
        <v>42</v>
      </c>
      <c r="P412" s="1" t="s">
        <v>44</v>
      </c>
      <c r="Q412" s="1" t="s">
        <v>466</v>
      </c>
      <c r="R412" s="1" t="s">
        <v>60</v>
      </c>
      <c r="S412" s="1" t="s">
        <v>156</v>
      </c>
      <c r="T412" s="1" t="s">
        <v>42</v>
      </c>
      <c r="U412" s="2" t="s">
        <v>42</v>
      </c>
      <c r="V412" s="2" t="s">
        <v>42</v>
      </c>
      <c r="W412" s="2" t="s">
        <v>42</v>
      </c>
      <c r="X412" s="1" t="s">
        <v>42</v>
      </c>
      <c r="Y412" s="2" t="s">
        <v>42</v>
      </c>
      <c r="Z412" s="1" t="s">
        <v>2001</v>
      </c>
      <c r="AA412" s="1" t="s">
        <v>2002</v>
      </c>
      <c r="AB412" s="1" t="s">
        <v>42</v>
      </c>
      <c r="AC412" s="1" t="s">
        <v>42</v>
      </c>
      <c r="AD412" s="1"/>
      <c r="AE412" s="1" t="s">
        <v>788</v>
      </c>
      <c r="AF412" s="1" t="s">
        <v>66</v>
      </c>
      <c r="AG412" s="2" t="s">
        <v>42</v>
      </c>
      <c r="AH412" s="1"/>
      <c r="AI412" s="1" t="s">
        <v>42</v>
      </c>
      <c r="AJ412" s="1"/>
      <c r="AK412" s="2" t="s">
        <v>42</v>
      </c>
      <c r="AL412" s="1" t="s">
        <v>3507</v>
      </c>
    </row>
    <row r="413" spans="1:38" ht="20.100000000000001" customHeight="1" x14ac:dyDescent="0.2">
      <c r="A413" s="3">
        <f t="shared" si="12"/>
        <v>410</v>
      </c>
      <c r="B413" s="1" t="s">
        <v>2003</v>
      </c>
      <c r="C413" s="1" t="s">
        <v>2004</v>
      </c>
      <c r="D413" s="1" t="s">
        <v>38</v>
      </c>
      <c r="E413" s="1" t="s">
        <v>811</v>
      </c>
      <c r="F413" s="1" t="s">
        <v>55</v>
      </c>
      <c r="G413" s="1" t="s">
        <v>42</v>
      </c>
      <c r="H413" s="2" t="s">
        <v>42</v>
      </c>
      <c r="I413" s="2">
        <v>28981</v>
      </c>
      <c r="J413" s="7">
        <f t="shared" ca="1" si="13"/>
        <v>44.512328767123286</v>
      </c>
      <c r="K413" s="1" t="s">
        <v>908</v>
      </c>
      <c r="L413" s="1" t="s">
        <v>42</v>
      </c>
      <c r="M413" s="2" t="s">
        <v>42</v>
      </c>
      <c r="N413" s="1">
        <v>2</v>
      </c>
      <c r="O413" s="2" t="s">
        <v>42</v>
      </c>
      <c r="P413" s="1" t="s">
        <v>221</v>
      </c>
      <c r="Q413" s="1" t="s">
        <v>222</v>
      </c>
      <c r="R413" s="1" t="s">
        <v>60</v>
      </c>
      <c r="S413" s="1"/>
      <c r="T413" s="1" t="s">
        <v>42</v>
      </c>
      <c r="U413" s="2" t="s">
        <v>42</v>
      </c>
      <c r="V413" s="2" t="s">
        <v>42</v>
      </c>
      <c r="W413" s="2" t="s">
        <v>42</v>
      </c>
      <c r="X413" s="1" t="s">
        <v>42</v>
      </c>
      <c r="Y413" s="2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>
        <v>7009073037</v>
      </c>
      <c r="AE413" s="1" t="s">
        <v>103</v>
      </c>
      <c r="AF413" s="1" t="s">
        <v>227</v>
      </c>
      <c r="AG413" s="2" t="s">
        <v>42</v>
      </c>
      <c r="AH413" s="1"/>
      <c r="AI413" s="1" t="s">
        <v>42</v>
      </c>
      <c r="AJ413" s="1"/>
      <c r="AK413" s="2" t="s">
        <v>42</v>
      </c>
      <c r="AL413" s="1" t="s">
        <v>42</v>
      </c>
    </row>
    <row r="414" spans="1:38" ht="20.100000000000001" customHeight="1" x14ac:dyDescent="0.2">
      <c r="A414" s="3">
        <f t="shared" si="12"/>
        <v>411</v>
      </c>
      <c r="B414" s="1" t="s">
        <v>2005</v>
      </c>
      <c r="C414" s="1" t="s">
        <v>2006</v>
      </c>
      <c r="D414" s="1" t="s">
        <v>38</v>
      </c>
      <c r="E414" s="1" t="s">
        <v>1147</v>
      </c>
      <c r="F414" s="1" t="s">
        <v>70</v>
      </c>
      <c r="G414" s="1" t="s">
        <v>2007</v>
      </c>
      <c r="H414" s="2">
        <v>45390</v>
      </c>
      <c r="I414" s="2">
        <v>28950</v>
      </c>
      <c r="J414" s="7">
        <f t="shared" ca="1" si="13"/>
        <v>44.597260273972601</v>
      </c>
      <c r="K414" s="1" t="s">
        <v>2008</v>
      </c>
      <c r="L414" s="1" t="s">
        <v>2008</v>
      </c>
      <c r="M414" s="2">
        <v>45030</v>
      </c>
      <c r="N414" s="1">
        <v>2</v>
      </c>
      <c r="O414" s="2" t="s">
        <v>42</v>
      </c>
      <c r="P414" s="1" t="s">
        <v>44</v>
      </c>
      <c r="Q414" s="1" t="s">
        <v>431</v>
      </c>
      <c r="R414" s="1" t="s">
        <v>606</v>
      </c>
      <c r="S414" s="1" t="s">
        <v>47</v>
      </c>
      <c r="T414" s="1" t="s">
        <v>42</v>
      </c>
      <c r="U414" s="2" t="s">
        <v>42</v>
      </c>
      <c r="V414" s="2" t="s">
        <v>42</v>
      </c>
      <c r="W414" s="2" t="s">
        <v>42</v>
      </c>
      <c r="X414" s="1" t="s">
        <v>42</v>
      </c>
      <c r="Y414" s="2" t="s">
        <v>42</v>
      </c>
      <c r="Z414" s="1" t="s">
        <v>42</v>
      </c>
      <c r="AA414" s="1" t="s">
        <v>42</v>
      </c>
      <c r="AB414" s="1" t="s">
        <v>2009</v>
      </c>
      <c r="AC414" s="1" t="s">
        <v>129</v>
      </c>
      <c r="AD414" s="1">
        <v>7009073037</v>
      </c>
      <c r="AE414" s="1" t="s">
        <v>103</v>
      </c>
      <c r="AF414" s="1" t="s">
        <v>436</v>
      </c>
      <c r="AG414" s="2" t="s">
        <v>42</v>
      </c>
      <c r="AH414" s="1"/>
      <c r="AI414" s="1" t="s">
        <v>42</v>
      </c>
      <c r="AJ414" s="1"/>
      <c r="AK414" s="2" t="s">
        <v>42</v>
      </c>
      <c r="AL414" s="1" t="s">
        <v>3507</v>
      </c>
    </row>
    <row r="415" spans="1:38" ht="20.100000000000001" customHeight="1" x14ac:dyDescent="0.2">
      <c r="A415" s="3">
        <f t="shared" si="12"/>
        <v>412</v>
      </c>
      <c r="B415" s="1" t="s">
        <v>2010</v>
      </c>
      <c r="C415" s="1" t="s">
        <v>2011</v>
      </c>
      <c r="D415" s="1" t="s">
        <v>38</v>
      </c>
      <c r="E415" s="1" t="s">
        <v>1147</v>
      </c>
      <c r="F415" s="1" t="s">
        <v>70</v>
      </c>
      <c r="G415" s="1" t="s">
        <v>2012</v>
      </c>
      <c r="H415" s="2">
        <v>45389</v>
      </c>
      <c r="I415" s="2">
        <v>32656</v>
      </c>
      <c r="J415" s="7">
        <f t="shared" ca="1" si="13"/>
        <v>34.443835616438356</v>
      </c>
      <c r="K415" s="1" t="s">
        <v>2008</v>
      </c>
      <c r="L415" s="1" t="s">
        <v>2008</v>
      </c>
      <c r="M415" s="2">
        <v>45030</v>
      </c>
      <c r="N415" s="1">
        <v>2</v>
      </c>
      <c r="O415" s="2" t="s">
        <v>42</v>
      </c>
      <c r="P415" s="1" t="s">
        <v>44</v>
      </c>
      <c r="Q415" s="1" t="s">
        <v>154</v>
      </c>
      <c r="R415" s="1" t="s">
        <v>606</v>
      </c>
      <c r="S415" s="1" t="s">
        <v>47</v>
      </c>
      <c r="T415" s="1" t="s">
        <v>42</v>
      </c>
      <c r="U415" s="2" t="s">
        <v>42</v>
      </c>
      <c r="V415" s="2" t="s">
        <v>42</v>
      </c>
      <c r="W415" s="2" t="s">
        <v>42</v>
      </c>
      <c r="X415" s="1" t="s">
        <v>42</v>
      </c>
      <c r="Y415" s="2" t="s">
        <v>42</v>
      </c>
      <c r="Z415" s="1" t="s">
        <v>42</v>
      </c>
      <c r="AA415" s="1" t="s">
        <v>42</v>
      </c>
      <c r="AB415" s="1" t="s">
        <v>2013</v>
      </c>
      <c r="AC415" s="1" t="s">
        <v>50</v>
      </c>
      <c r="AD415" s="1">
        <v>7009073037</v>
      </c>
      <c r="AE415" s="1" t="s">
        <v>103</v>
      </c>
      <c r="AF415" s="1"/>
      <c r="AG415" s="2" t="s">
        <v>42</v>
      </c>
      <c r="AH415" s="1"/>
      <c r="AI415" s="1" t="s">
        <v>42</v>
      </c>
      <c r="AJ415" s="1"/>
      <c r="AK415" s="2" t="s">
        <v>42</v>
      </c>
      <c r="AL415" s="1" t="s">
        <v>3507</v>
      </c>
    </row>
    <row r="416" spans="1:38" ht="20.100000000000001" customHeight="1" x14ac:dyDescent="0.2">
      <c r="A416" s="3">
        <f t="shared" si="12"/>
        <v>413</v>
      </c>
      <c r="B416" s="1" t="s">
        <v>2014</v>
      </c>
      <c r="C416" s="1" t="s">
        <v>2015</v>
      </c>
      <c r="D416" s="1" t="s">
        <v>38</v>
      </c>
      <c r="E416" s="1" t="s">
        <v>1147</v>
      </c>
      <c r="F416" s="1" t="s">
        <v>70</v>
      </c>
      <c r="G416" s="1" t="s">
        <v>2016</v>
      </c>
      <c r="H416" s="2">
        <v>45389</v>
      </c>
      <c r="I416" s="2">
        <v>34190</v>
      </c>
      <c r="J416" s="7">
        <f t="shared" ca="1" si="13"/>
        <v>30.241095890410961</v>
      </c>
      <c r="K416" s="1" t="s">
        <v>2008</v>
      </c>
      <c r="L416" s="1" t="s">
        <v>2008</v>
      </c>
      <c r="M416" s="2">
        <v>45030</v>
      </c>
      <c r="N416" s="1">
        <v>2</v>
      </c>
      <c r="O416" s="2" t="s">
        <v>42</v>
      </c>
      <c r="P416" s="1" t="s">
        <v>44</v>
      </c>
      <c r="Q416" s="1" t="s">
        <v>431</v>
      </c>
      <c r="R416" s="1" t="s">
        <v>606</v>
      </c>
      <c r="S416" s="1" t="s">
        <v>47</v>
      </c>
      <c r="T416" s="1" t="s">
        <v>42</v>
      </c>
      <c r="U416" s="2" t="s">
        <v>42</v>
      </c>
      <c r="V416" s="2" t="s">
        <v>42</v>
      </c>
      <c r="W416" s="2" t="s">
        <v>42</v>
      </c>
      <c r="X416" s="1" t="s">
        <v>42</v>
      </c>
      <c r="Y416" s="2" t="s">
        <v>42</v>
      </c>
      <c r="Z416" s="1" t="s">
        <v>42</v>
      </c>
      <c r="AA416" s="1" t="s">
        <v>42</v>
      </c>
      <c r="AB416" s="1" t="s">
        <v>2017</v>
      </c>
      <c r="AC416" s="1" t="s">
        <v>50</v>
      </c>
      <c r="AD416" s="1">
        <v>7009073037</v>
      </c>
      <c r="AE416" s="1" t="s">
        <v>103</v>
      </c>
      <c r="AF416" s="1" t="s">
        <v>436</v>
      </c>
      <c r="AG416" s="2" t="s">
        <v>42</v>
      </c>
      <c r="AH416" s="1"/>
      <c r="AI416" s="1" t="s">
        <v>42</v>
      </c>
      <c r="AJ416" s="1"/>
      <c r="AK416" s="2" t="s">
        <v>42</v>
      </c>
      <c r="AL416" s="1" t="s">
        <v>3507</v>
      </c>
    </row>
    <row r="417" spans="1:38" ht="20.100000000000001" customHeight="1" x14ac:dyDescent="0.2">
      <c r="A417" s="3">
        <f t="shared" si="12"/>
        <v>414</v>
      </c>
      <c r="B417" s="1" t="s">
        <v>3394</v>
      </c>
      <c r="C417" s="1" t="s">
        <v>3395</v>
      </c>
      <c r="D417" s="1" t="s">
        <v>38</v>
      </c>
      <c r="E417" s="1" t="s">
        <v>39</v>
      </c>
      <c r="F417" s="1" t="s">
        <v>40</v>
      </c>
      <c r="G417" s="1" t="s">
        <v>3396</v>
      </c>
      <c r="H417" s="2">
        <v>46310</v>
      </c>
      <c r="I417" s="2">
        <v>36759</v>
      </c>
      <c r="J417" s="7">
        <f t="shared" ca="1" si="13"/>
        <v>23.202739726027396</v>
      </c>
      <c r="K417" s="1" t="s">
        <v>42</v>
      </c>
      <c r="L417" s="1" t="s">
        <v>211</v>
      </c>
      <c r="M417" s="2">
        <v>44994</v>
      </c>
      <c r="N417" s="1">
        <v>2</v>
      </c>
      <c r="O417" s="2" t="s">
        <v>42</v>
      </c>
      <c r="P417" s="1" t="s">
        <v>44</v>
      </c>
      <c r="Q417" s="1" t="s">
        <v>744</v>
      </c>
      <c r="R417" s="1" t="s">
        <v>60</v>
      </c>
      <c r="S417" s="1" t="s">
        <v>47</v>
      </c>
      <c r="T417" s="1">
        <v>8</v>
      </c>
      <c r="U417" s="2" t="s">
        <v>42</v>
      </c>
      <c r="V417" s="2" t="s">
        <v>42</v>
      </c>
      <c r="W417" s="2" t="s">
        <v>42</v>
      </c>
      <c r="X417" s="1" t="s">
        <v>42</v>
      </c>
      <c r="Y417" s="2" t="s">
        <v>42</v>
      </c>
      <c r="Z417" s="1" t="s">
        <v>3397</v>
      </c>
      <c r="AA417" s="1" t="s">
        <v>3398</v>
      </c>
      <c r="AB417" s="1" t="s">
        <v>3399</v>
      </c>
      <c r="AC417" s="1" t="s">
        <v>129</v>
      </c>
      <c r="AD417" s="1">
        <v>7015572543</v>
      </c>
      <c r="AE417" s="1" t="s">
        <v>3506</v>
      </c>
      <c r="AF417" s="1"/>
      <c r="AG417" s="2">
        <v>45077</v>
      </c>
      <c r="AH417" s="1" t="s">
        <v>2812</v>
      </c>
      <c r="AI417" s="1" t="s">
        <v>42</v>
      </c>
      <c r="AJ417" s="1"/>
      <c r="AK417" s="2" t="s">
        <v>42</v>
      </c>
      <c r="AL417" s="1" t="s">
        <v>2806</v>
      </c>
    </row>
    <row r="418" spans="1:38" ht="20.100000000000001" customHeight="1" x14ac:dyDescent="0.2">
      <c r="A418" s="3">
        <f t="shared" si="12"/>
        <v>415</v>
      </c>
      <c r="B418" s="1" t="s">
        <v>2018</v>
      </c>
      <c r="C418" s="1" t="s">
        <v>2019</v>
      </c>
      <c r="D418" s="1" t="s">
        <v>38</v>
      </c>
      <c r="E418" s="1" t="s">
        <v>69</v>
      </c>
      <c r="F418" s="1" t="s">
        <v>70</v>
      </c>
      <c r="G418" s="1" t="s">
        <v>2020</v>
      </c>
      <c r="H418" s="2">
        <v>45274</v>
      </c>
      <c r="I418" s="2">
        <v>35810</v>
      </c>
      <c r="J418" s="7">
        <f t="shared" ca="1" si="13"/>
        <v>25.802739726027397</v>
      </c>
      <c r="K418" s="1" t="s">
        <v>134</v>
      </c>
      <c r="L418" s="1" t="s">
        <v>134</v>
      </c>
      <c r="M418" s="2">
        <v>45011</v>
      </c>
      <c r="N418" s="1">
        <v>2</v>
      </c>
      <c r="O418" s="2" t="s">
        <v>42</v>
      </c>
      <c r="P418" s="1" t="s">
        <v>44</v>
      </c>
      <c r="Q418" s="1" t="s">
        <v>107</v>
      </c>
      <c r="R418" s="1" t="s">
        <v>60</v>
      </c>
      <c r="S418" s="1" t="s">
        <v>47</v>
      </c>
      <c r="T418" s="1" t="s">
        <v>42</v>
      </c>
      <c r="U418" s="2" t="s">
        <v>42</v>
      </c>
      <c r="V418" s="2" t="s">
        <v>42</v>
      </c>
      <c r="W418" s="2" t="s">
        <v>42</v>
      </c>
      <c r="X418" s="1" t="s">
        <v>42</v>
      </c>
      <c r="Y418" s="2" t="s">
        <v>42</v>
      </c>
      <c r="Z418" s="1" t="s">
        <v>2021</v>
      </c>
      <c r="AA418" s="1" t="s">
        <v>42</v>
      </c>
      <c r="AB418" s="1" t="s">
        <v>2022</v>
      </c>
      <c r="AC418" s="1" t="s">
        <v>617</v>
      </c>
      <c r="AD418" s="1">
        <v>7015572543</v>
      </c>
      <c r="AE418" s="1" t="s">
        <v>3506</v>
      </c>
      <c r="AF418" s="1" t="s">
        <v>66</v>
      </c>
      <c r="AG418" s="2" t="s">
        <v>42</v>
      </c>
      <c r="AH418" s="1"/>
      <c r="AI418" s="1" t="s">
        <v>42</v>
      </c>
      <c r="AJ418" s="1"/>
      <c r="AK418" s="2" t="s">
        <v>42</v>
      </c>
      <c r="AL418" s="1" t="s">
        <v>3507</v>
      </c>
    </row>
    <row r="419" spans="1:38" ht="20.100000000000001" customHeight="1" x14ac:dyDescent="0.2">
      <c r="A419" s="3">
        <f t="shared" si="12"/>
        <v>416</v>
      </c>
      <c r="B419" s="1" t="s">
        <v>2023</v>
      </c>
      <c r="C419" s="1" t="s">
        <v>2024</v>
      </c>
      <c r="D419" s="1" t="s">
        <v>121</v>
      </c>
      <c r="E419" s="1" t="s">
        <v>39</v>
      </c>
      <c r="F419" s="1" t="s">
        <v>40</v>
      </c>
      <c r="G419" s="1" t="s">
        <v>2025</v>
      </c>
      <c r="H419" s="2">
        <v>46490</v>
      </c>
      <c r="I419" s="2">
        <v>38346</v>
      </c>
      <c r="J419" s="7">
        <f t="shared" ca="1" si="13"/>
        <v>18.854794520547944</v>
      </c>
      <c r="K419" s="1" t="s">
        <v>42</v>
      </c>
      <c r="L419" s="1" t="s">
        <v>211</v>
      </c>
      <c r="M419" s="2">
        <v>45215</v>
      </c>
      <c r="N419" s="1">
        <v>2</v>
      </c>
      <c r="O419" s="2">
        <v>45215</v>
      </c>
      <c r="P419" s="1" t="s">
        <v>44</v>
      </c>
      <c r="Q419" s="1" t="s">
        <v>744</v>
      </c>
      <c r="R419" s="1" t="s">
        <v>60</v>
      </c>
      <c r="S419" s="1" t="s">
        <v>47</v>
      </c>
      <c r="T419" s="1">
        <v>8</v>
      </c>
      <c r="U419" s="2" t="s">
        <v>42</v>
      </c>
      <c r="V419" s="2" t="s">
        <v>42</v>
      </c>
      <c r="W419" s="2" t="s">
        <v>42</v>
      </c>
      <c r="X419" s="1" t="s">
        <v>42</v>
      </c>
      <c r="Y419" s="2" t="s">
        <v>42</v>
      </c>
      <c r="Z419" s="1" t="s">
        <v>2026</v>
      </c>
      <c r="AA419" s="1" t="s">
        <v>2027</v>
      </c>
      <c r="AB419" s="1" t="s">
        <v>2028</v>
      </c>
      <c r="AC419" s="1" t="s">
        <v>50</v>
      </c>
      <c r="AD419" s="1">
        <v>7015572543</v>
      </c>
      <c r="AE419" s="1" t="s">
        <v>3506</v>
      </c>
      <c r="AF419" s="1" t="s">
        <v>66</v>
      </c>
      <c r="AG419" s="2" t="s">
        <v>42</v>
      </c>
      <c r="AH419" s="1"/>
      <c r="AI419" s="1" t="s">
        <v>42</v>
      </c>
      <c r="AJ419" s="1"/>
      <c r="AK419" s="2" t="s">
        <v>42</v>
      </c>
      <c r="AL419" s="1" t="s">
        <v>3507</v>
      </c>
    </row>
    <row r="420" spans="1:38" ht="20.100000000000001" customHeight="1" x14ac:dyDescent="0.2">
      <c r="A420" s="3">
        <f t="shared" si="12"/>
        <v>417</v>
      </c>
      <c r="B420" s="1" t="s">
        <v>2029</v>
      </c>
      <c r="C420" s="1" t="s">
        <v>2030</v>
      </c>
      <c r="D420" s="1" t="s">
        <v>121</v>
      </c>
      <c r="E420" s="1" t="s">
        <v>39</v>
      </c>
      <c r="F420" s="1" t="s">
        <v>40</v>
      </c>
      <c r="G420" s="1" t="s">
        <v>2031</v>
      </c>
      <c r="H420" s="2">
        <v>46252</v>
      </c>
      <c r="I420" s="2">
        <v>36166</v>
      </c>
      <c r="J420" s="7">
        <f t="shared" ca="1" si="13"/>
        <v>24.827397260273973</v>
      </c>
      <c r="K420" s="1" t="s">
        <v>42</v>
      </c>
      <c r="L420" s="1" t="s">
        <v>211</v>
      </c>
      <c r="M420" s="2">
        <v>45004</v>
      </c>
      <c r="N420" s="1">
        <v>2</v>
      </c>
      <c r="O420" s="2" t="s">
        <v>42</v>
      </c>
      <c r="P420" s="1" t="s">
        <v>221</v>
      </c>
      <c r="Q420" s="1" t="s">
        <v>292</v>
      </c>
      <c r="R420" s="1" t="s">
        <v>60</v>
      </c>
      <c r="S420" s="1" t="s">
        <v>47</v>
      </c>
      <c r="T420" s="1">
        <v>8</v>
      </c>
      <c r="U420" s="2" t="s">
        <v>42</v>
      </c>
      <c r="V420" s="2" t="s">
        <v>42</v>
      </c>
      <c r="W420" s="2" t="s">
        <v>42</v>
      </c>
      <c r="X420" s="1" t="s">
        <v>42</v>
      </c>
      <c r="Y420" s="2" t="s">
        <v>42</v>
      </c>
      <c r="Z420" s="1" t="s">
        <v>2032</v>
      </c>
      <c r="AA420" s="1" t="s">
        <v>42</v>
      </c>
      <c r="AB420" s="1" t="s">
        <v>2033</v>
      </c>
      <c r="AC420" s="1" t="s">
        <v>129</v>
      </c>
      <c r="AD420" s="1">
        <v>7014477116</v>
      </c>
      <c r="AE420" s="1" t="s">
        <v>65</v>
      </c>
      <c r="AF420" s="1" t="s">
        <v>66</v>
      </c>
      <c r="AG420" s="2" t="s">
        <v>42</v>
      </c>
      <c r="AH420" s="1"/>
      <c r="AI420" s="1" t="s">
        <v>42</v>
      </c>
      <c r="AJ420" s="1"/>
      <c r="AK420" s="2" t="s">
        <v>42</v>
      </c>
      <c r="AL420" s="1" t="s">
        <v>3507</v>
      </c>
    </row>
    <row r="421" spans="1:38" ht="20.100000000000001" customHeight="1" x14ac:dyDescent="0.2">
      <c r="A421" s="3">
        <f t="shared" si="12"/>
        <v>418</v>
      </c>
      <c r="B421" s="1" t="s">
        <v>2034</v>
      </c>
      <c r="C421" s="1" t="s">
        <v>2035</v>
      </c>
      <c r="D421" s="1" t="s">
        <v>38</v>
      </c>
      <c r="E421" s="1" t="s">
        <v>54</v>
      </c>
      <c r="F421" s="1" t="s">
        <v>55</v>
      </c>
      <c r="G421" s="1" t="s">
        <v>42</v>
      </c>
      <c r="H421" s="2" t="s">
        <v>42</v>
      </c>
      <c r="I421" s="2">
        <v>36895</v>
      </c>
      <c r="J421" s="7">
        <f t="shared" ca="1" si="13"/>
        <v>22.830136986301369</v>
      </c>
      <c r="K421" s="1" t="s">
        <v>134</v>
      </c>
      <c r="L421" s="1" t="s">
        <v>134</v>
      </c>
      <c r="M421" s="2">
        <v>44977</v>
      </c>
      <c r="N421" s="1">
        <v>2</v>
      </c>
      <c r="O421" s="2" t="s">
        <v>42</v>
      </c>
      <c r="P421" s="1" t="s">
        <v>221</v>
      </c>
      <c r="Q421" s="1" t="s">
        <v>1961</v>
      </c>
      <c r="R421" s="1" t="s">
        <v>60</v>
      </c>
      <c r="S421" s="1" t="s">
        <v>156</v>
      </c>
      <c r="T421" s="1">
        <v>8</v>
      </c>
      <c r="U421" s="2" t="s">
        <v>42</v>
      </c>
      <c r="V421" s="2" t="s">
        <v>42</v>
      </c>
      <c r="W421" s="2" t="s">
        <v>42</v>
      </c>
      <c r="X421" s="1" t="s">
        <v>2036</v>
      </c>
      <c r="Y421" s="2">
        <v>48235</v>
      </c>
      <c r="Z421" s="1" t="s">
        <v>42</v>
      </c>
      <c r="AA421" s="1" t="s">
        <v>2037</v>
      </c>
      <c r="AB421" s="1" t="s">
        <v>2038</v>
      </c>
      <c r="AC421" s="1" t="s">
        <v>129</v>
      </c>
      <c r="AD421" s="1"/>
      <c r="AE421" s="1" t="s">
        <v>788</v>
      </c>
      <c r="AF421" s="1"/>
      <c r="AG421" s="2" t="s">
        <v>42</v>
      </c>
      <c r="AH421" s="1"/>
      <c r="AI421" s="1" t="s">
        <v>42</v>
      </c>
      <c r="AJ421" s="1"/>
      <c r="AK421" s="2" t="s">
        <v>42</v>
      </c>
      <c r="AL421" s="1" t="s">
        <v>3507</v>
      </c>
    </row>
    <row r="422" spans="1:38" ht="20.100000000000001" customHeight="1" x14ac:dyDescent="0.2">
      <c r="A422" s="3">
        <f t="shared" si="12"/>
        <v>419</v>
      </c>
      <c r="B422" s="1" t="s">
        <v>2039</v>
      </c>
      <c r="C422" s="1" t="s">
        <v>2040</v>
      </c>
      <c r="D422" s="1" t="s">
        <v>38</v>
      </c>
      <c r="E422" s="1" t="s">
        <v>1147</v>
      </c>
      <c r="F422" s="1" t="s">
        <v>70</v>
      </c>
      <c r="G422" s="1" t="s">
        <v>2041</v>
      </c>
      <c r="H422" s="2">
        <v>45305</v>
      </c>
      <c r="I422" s="2">
        <v>31911</v>
      </c>
      <c r="J422" s="7">
        <f t="shared" ca="1" si="13"/>
        <v>36.484931506849314</v>
      </c>
      <c r="K422" s="1" t="s">
        <v>2042</v>
      </c>
      <c r="L422" s="1" t="s">
        <v>2043</v>
      </c>
      <c r="M422" s="2">
        <v>44996</v>
      </c>
      <c r="N422" s="1">
        <v>2</v>
      </c>
      <c r="O422" s="2" t="s">
        <v>42</v>
      </c>
      <c r="P422" s="1" t="s">
        <v>44</v>
      </c>
      <c r="Q422" s="1" t="s">
        <v>431</v>
      </c>
      <c r="R422" s="1" t="s">
        <v>606</v>
      </c>
      <c r="S422" s="1" t="s">
        <v>47</v>
      </c>
      <c r="T422" s="1">
        <v>8</v>
      </c>
      <c r="U422" s="2" t="s">
        <v>42</v>
      </c>
      <c r="V422" s="2" t="s">
        <v>42</v>
      </c>
      <c r="W422" s="2" t="s">
        <v>42</v>
      </c>
      <c r="X422" s="1" t="s">
        <v>42</v>
      </c>
      <c r="Y422" s="2" t="s">
        <v>42</v>
      </c>
      <c r="Z422" s="1" t="s">
        <v>2044</v>
      </c>
      <c r="AA422" s="1" t="s">
        <v>2045</v>
      </c>
      <c r="AB422" s="1" t="s">
        <v>2046</v>
      </c>
      <c r="AC422" s="1" t="s">
        <v>50</v>
      </c>
      <c r="AD422" s="1">
        <v>7009073037</v>
      </c>
      <c r="AE422" s="1" t="s">
        <v>103</v>
      </c>
      <c r="AF422" s="1" t="s">
        <v>436</v>
      </c>
      <c r="AG422" s="2" t="s">
        <v>42</v>
      </c>
      <c r="AH422" s="1"/>
      <c r="AI422" s="1" t="s">
        <v>42</v>
      </c>
      <c r="AJ422" s="1"/>
      <c r="AK422" s="2" t="s">
        <v>42</v>
      </c>
      <c r="AL422" s="1" t="s">
        <v>3507</v>
      </c>
    </row>
    <row r="423" spans="1:38" ht="20.100000000000001" customHeight="1" x14ac:dyDescent="0.2">
      <c r="A423" s="3">
        <f t="shared" si="12"/>
        <v>420</v>
      </c>
      <c r="B423" s="1" t="s">
        <v>3400</v>
      </c>
      <c r="C423" s="1" t="s">
        <v>3401</v>
      </c>
      <c r="D423" s="1" t="s">
        <v>38</v>
      </c>
      <c r="E423" s="1" t="s">
        <v>39</v>
      </c>
      <c r="F423" s="1" t="s">
        <v>40</v>
      </c>
      <c r="G423" s="1" t="s">
        <v>3402</v>
      </c>
      <c r="H423" s="2">
        <v>46223</v>
      </c>
      <c r="I423" s="2">
        <v>35535</v>
      </c>
      <c r="J423" s="7">
        <f t="shared" ca="1" si="13"/>
        <v>26.556164383561644</v>
      </c>
      <c r="K423" s="1" t="s">
        <v>42</v>
      </c>
      <c r="L423" s="1" t="s">
        <v>90</v>
      </c>
      <c r="M423" s="2">
        <v>45007</v>
      </c>
      <c r="N423" s="1">
        <v>2</v>
      </c>
      <c r="O423" s="2" t="s">
        <v>42</v>
      </c>
      <c r="P423" s="1" t="s">
        <v>44</v>
      </c>
      <c r="Q423" s="1" t="s">
        <v>178</v>
      </c>
      <c r="R423" s="1" t="s">
        <v>504</v>
      </c>
      <c r="S423" s="1" t="s">
        <v>47</v>
      </c>
      <c r="T423" s="1">
        <v>8</v>
      </c>
      <c r="U423" s="2" t="s">
        <v>42</v>
      </c>
      <c r="V423" s="2" t="s">
        <v>42</v>
      </c>
      <c r="W423" s="2" t="s">
        <v>42</v>
      </c>
      <c r="X423" s="1" t="s">
        <v>42</v>
      </c>
      <c r="Y423" s="2" t="s">
        <v>42</v>
      </c>
      <c r="Z423" s="1" t="s">
        <v>3403</v>
      </c>
      <c r="AA423" s="1" t="s">
        <v>3404</v>
      </c>
      <c r="AB423" s="1" t="s">
        <v>3405</v>
      </c>
      <c r="AC423" s="1" t="s">
        <v>129</v>
      </c>
      <c r="AD423" s="1">
        <v>7014477116</v>
      </c>
      <c r="AE423" s="1" t="s">
        <v>65</v>
      </c>
      <c r="AF423" s="1"/>
      <c r="AG423" s="2">
        <v>45092</v>
      </c>
      <c r="AH423" s="1" t="s">
        <v>2985</v>
      </c>
      <c r="AI423" s="1" t="s">
        <v>42</v>
      </c>
      <c r="AJ423" s="1"/>
      <c r="AK423" s="2" t="s">
        <v>42</v>
      </c>
      <c r="AL423" s="1" t="s">
        <v>2806</v>
      </c>
    </row>
    <row r="424" spans="1:38" ht="20.100000000000001" customHeight="1" x14ac:dyDescent="0.2">
      <c r="A424" s="3">
        <f t="shared" si="12"/>
        <v>421</v>
      </c>
      <c r="B424" s="1" t="s">
        <v>3406</v>
      </c>
      <c r="C424" s="1" t="s">
        <v>3407</v>
      </c>
      <c r="D424" s="1" t="s">
        <v>121</v>
      </c>
      <c r="E424" s="1" t="s">
        <v>39</v>
      </c>
      <c r="F424" s="1" t="s">
        <v>40</v>
      </c>
      <c r="G424" s="1" t="s">
        <v>3408</v>
      </c>
      <c r="H424" s="2">
        <v>46155</v>
      </c>
      <c r="I424" s="2">
        <v>29710</v>
      </c>
      <c r="J424" s="7">
        <f t="shared" ca="1" si="13"/>
        <v>42.515068493150686</v>
      </c>
      <c r="K424" s="1" t="s">
        <v>42</v>
      </c>
      <c r="L424" s="1" t="s">
        <v>211</v>
      </c>
      <c r="M424" s="2">
        <v>45008</v>
      </c>
      <c r="N424" s="1">
        <v>2</v>
      </c>
      <c r="O424" s="2" t="s">
        <v>42</v>
      </c>
      <c r="P424" s="1" t="s">
        <v>221</v>
      </c>
      <c r="Q424" s="1" t="s">
        <v>292</v>
      </c>
      <c r="R424" s="1" t="s">
        <v>60</v>
      </c>
      <c r="S424" s="1" t="s">
        <v>47</v>
      </c>
      <c r="T424" s="1">
        <v>8</v>
      </c>
      <c r="U424" s="2" t="s">
        <v>42</v>
      </c>
      <c r="V424" s="2" t="s">
        <v>42</v>
      </c>
      <c r="W424" s="2" t="s">
        <v>42</v>
      </c>
      <c r="X424" s="1" t="s">
        <v>42</v>
      </c>
      <c r="Y424" s="2">
        <v>45185</v>
      </c>
      <c r="Z424" s="1" t="s">
        <v>3409</v>
      </c>
      <c r="AA424" s="1" t="s">
        <v>42</v>
      </c>
      <c r="AB424" s="1" t="s">
        <v>3410</v>
      </c>
      <c r="AC424" s="1" t="s">
        <v>266</v>
      </c>
      <c r="AD424" s="1">
        <v>7014477116</v>
      </c>
      <c r="AE424" s="1" t="s">
        <v>65</v>
      </c>
      <c r="AF424" s="1"/>
      <c r="AG424" s="2" t="s">
        <v>42</v>
      </c>
      <c r="AH424" s="1" t="s">
        <v>2812</v>
      </c>
      <c r="AI424" s="1" t="s">
        <v>42</v>
      </c>
      <c r="AJ424" s="1"/>
      <c r="AK424" s="2" t="s">
        <v>42</v>
      </c>
      <c r="AL424" s="1" t="s">
        <v>2806</v>
      </c>
    </row>
    <row r="425" spans="1:38" ht="20.100000000000001" customHeight="1" x14ac:dyDescent="0.2">
      <c r="A425" s="3">
        <f t="shared" si="12"/>
        <v>422</v>
      </c>
      <c r="B425" s="1" t="s">
        <v>3411</v>
      </c>
      <c r="C425" s="1" t="s">
        <v>3412</v>
      </c>
      <c r="D425" s="1" t="s">
        <v>38</v>
      </c>
      <c r="E425" s="1" t="s">
        <v>39</v>
      </c>
      <c r="F425" s="1"/>
      <c r="G425" s="1" t="s">
        <v>3413</v>
      </c>
      <c r="H425" s="2">
        <v>45211</v>
      </c>
      <c r="I425" s="2">
        <v>33852</v>
      </c>
      <c r="J425" s="7">
        <f t="shared" ca="1" si="13"/>
        <v>31.167123287671235</v>
      </c>
      <c r="K425" s="1" t="s">
        <v>42</v>
      </c>
      <c r="L425" s="1" t="s">
        <v>211</v>
      </c>
      <c r="M425" s="2">
        <v>45011</v>
      </c>
      <c r="N425" s="1">
        <v>2</v>
      </c>
      <c r="O425" s="2" t="s">
        <v>42</v>
      </c>
      <c r="P425" s="1" t="s">
        <v>44</v>
      </c>
      <c r="Q425" s="1" t="s">
        <v>59</v>
      </c>
      <c r="R425" s="1" t="s">
        <v>60</v>
      </c>
      <c r="S425" s="1" t="s">
        <v>47</v>
      </c>
      <c r="T425" s="1">
        <v>8</v>
      </c>
      <c r="U425" s="2" t="s">
        <v>42</v>
      </c>
      <c r="V425" s="2" t="s">
        <v>42</v>
      </c>
      <c r="W425" s="2" t="s">
        <v>42</v>
      </c>
      <c r="X425" s="1" t="s">
        <v>42</v>
      </c>
      <c r="Y425" s="2" t="s">
        <v>42</v>
      </c>
      <c r="Z425" s="1" t="s">
        <v>3414</v>
      </c>
      <c r="AA425" s="1" t="s">
        <v>3415</v>
      </c>
      <c r="AB425" s="1" t="s">
        <v>3416</v>
      </c>
      <c r="AC425" s="1" t="s">
        <v>129</v>
      </c>
      <c r="AD425" s="1">
        <v>7014477116</v>
      </c>
      <c r="AE425" s="1" t="s">
        <v>65</v>
      </c>
      <c r="AF425" s="1"/>
      <c r="AG425" s="2">
        <v>45045</v>
      </c>
      <c r="AH425" s="1" t="s">
        <v>2812</v>
      </c>
      <c r="AI425" s="1" t="s">
        <v>42</v>
      </c>
      <c r="AJ425" s="1"/>
      <c r="AK425" s="2" t="s">
        <v>42</v>
      </c>
      <c r="AL425" s="1" t="s">
        <v>2806</v>
      </c>
    </row>
    <row r="426" spans="1:38" ht="20.100000000000001" customHeight="1" x14ac:dyDescent="0.2">
      <c r="A426" s="3">
        <f t="shared" si="12"/>
        <v>423</v>
      </c>
      <c r="B426" s="1" t="s">
        <v>2047</v>
      </c>
      <c r="C426" s="1" t="s">
        <v>2048</v>
      </c>
      <c r="D426" s="1" t="s">
        <v>38</v>
      </c>
      <c r="E426" s="1" t="s">
        <v>39</v>
      </c>
      <c r="F426" s="1" t="s">
        <v>40</v>
      </c>
      <c r="G426" s="1" t="s">
        <v>2049</v>
      </c>
      <c r="H426" s="2">
        <v>46468</v>
      </c>
      <c r="I426" s="2">
        <v>37592</v>
      </c>
      <c r="J426" s="7">
        <f t="shared" ca="1" si="13"/>
        <v>20.920547945205481</v>
      </c>
      <c r="K426" s="1" t="s">
        <v>42</v>
      </c>
      <c r="L426" s="1" t="s">
        <v>211</v>
      </c>
      <c r="M426" s="2">
        <v>44982</v>
      </c>
      <c r="N426" s="1">
        <v>2</v>
      </c>
      <c r="O426" s="2" t="s">
        <v>42</v>
      </c>
      <c r="P426" s="1" t="s">
        <v>44</v>
      </c>
      <c r="Q426" s="1" t="s">
        <v>431</v>
      </c>
      <c r="R426" s="1" t="s">
        <v>1214</v>
      </c>
      <c r="S426" s="1" t="s">
        <v>47</v>
      </c>
      <c r="T426" s="1">
        <v>8</v>
      </c>
      <c r="U426" s="2">
        <v>44982</v>
      </c>
      <c r="V426" s="2">
        <v>45347</v>
      </c>
      <c r="W426" s="2" t="s">
        <v>42</v>
      </c>
      <c r="X426" s="1" t="s">
        <v>42</v>
      </c>
      <c r="Y426" s="2" t="s">
        <v>42</v>
      </c>
      <c r="Z426" s="1" t="s">
        <v>2050</v>
      </c>
      <c r="AA426" s="1" t="s">
        <v>2051</v>
      </c>
      <c r="AB426" s="1" t="s">
        <v>2052</v>
      </c>
      <c r="AC426" s="1" t="s">
        <v>129</v>
      </c>
      <c r="AD426" s="1">
        <v>7009073037</v>
      </c>
      <c r="AE426" s="1" t="s">
        <v>103</v>
      </c>
      <c r="AF426" s="1" t="s">
        <v>436</v>
      </c>
      <c r="AG426" s="2" t="s">
        <v>42</v>
      </c>
      <c r="AH426" s="1"/>
      <c r="AI426" s="1" t="s">
        <v>42</v>
      </c>
      <c r="AJ426" s="1"/>
      <c r="AK426" s="2" t="s">
        <v>42</v>
      </c>
      <c r="AL426" s="1" t="s">
        <v>3507</v>
      </c>
    </row>
    <row r="427" spans="1:38" ht="20.100000000000001" customHeight="1" x14ac:dyDescent="0.2">
      <c r="A427" s="3">
        <f t="shared" si="12"/>
        <v>424</v>
      </c>
      <c r="B427" s="1" t="s">
        <v>3417</v>
      </c>
      <c r="C427" s="1" t="s">
        <v>3418</v>
      </c>
      <c r="D427" s="1" t="s">
        <v>38</v>
      </c>
      <c r="E427" s="1" t="s">
        <v>69</v>
      </c>
      <c r="F427" s="1"/>
      <c r="G427" s="1" t="s">
        <v>42</v>
      </c>
      <c r="H427" s="2" t="s">
        <v>42</v>
      </c>
      <c r="I427" s="2" t="s">
        <v>42</v>
      </c>
      <c r="J427" s="7"/>
      <c r="K427" s="1" t="s">
        <v>42</v>
      </c>
      <c r="L427" s="1" t="s">
        <v>42</v>
      </c>
      <c r="M427" s="2">
        <v>44996</v>
      </c>
      <c r="N427" s="1">
        <v>2</v>
      </c>
      <c r="O427" s="2" t="s">
        <v>42</v>
      </c>
      <c r="P427" s="1" t="s">
        <v>44</v>
      </c>
      <c r="Q427" s="1" t="s">
        <v>899</v>
      </c>
      <c r="R427" s="1" t="s">
        <v>900</v>
      </c>
      <c r="S427" s="1" t="s">
        <v>156</v>
      </c>
      <c r="T427" s="1" t="s">
        <v>42</v>
      </c>
      <c r="U427" s="2" t="s">
        <v>42</v>
      </c>
      <c r="V427" s="2" t="s">
        <v>42</v>
      </c>
      <c r="W427" s="2" t="s">
        <v>42</v>
      </c>
      <c r="X427" s="1" t="s">
        <v>42</v>
      </c>
      <c r="Y427" s="2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/>
      <c r="AE427" s="1" t="s">
        <v>788</v>
      </c>
      <c r="AF427" s="1"/>
      <c r="AG427" s="2">
        <v>45041</v>
      </c>
      <c r="AH427" s="1" t="s">
        <v>2805</v>
      </c>
      <c r="AI427" s="1" t="s">
        <v>42</v>
      </c>
      <c r="AJ427" s="1"/>
      <c r="AK427" s="2" t="s">
        <v>42</v>
      </c>
      <c r="AL427" s="1" t="s">
        <v>2806</v>
      </c>
    </row>
    <row r="428" spans="1:38" ht="20.100000000000001" customHeight="1" x14ac:dyDescent="0.2">
      <c r="A428" s="3">
        <f t="shared" si="12"/>
        <v>425</v>
      </c>
      <c r="B428" s="1" t="s">
        <v>2053</v>
      </c>
      <c r="C428" s="1" t="s">
        <v>2054</v>
      </c>
      <c r="D428" s="1" t="s">
        <v>38</v>
      </c>
      <c r="E428" s="1" t="s">
        <v>69</v>
      </c>
      <c r="F428" s="1" t="s">
        <v>70</v>
      </c>
      <c r="G428" s="1" t="s">
        <v>42</v>
      </c>
      <c r="H428" s="2" t="s">
        <v>42</v>
      </c>
      <c r="I428" s="2" t="s">
        <v>42</v>
      </c>
      <c r="J428" s="7"/>
      <c r="K428" s="1" t="s">
        <v>42</v>
      </c>
      <c r="L428" s="1" t="s">
        <v>42</v>
      </c>
      <c r="M428" s="2">
        <v>44998</v>
      </c>
      <c r="N428" s="1">
        <v>2</v>
      </c>
      <c r="O428" s="2" t="s">
        <v>42</v>
      </c>
      <c r="P428" s="1" t="s">
        <v>44</v>
      </c>
      <c r="Q428" s="1" t="s">
        <v>899</v>
      </c>
      <c r="R428" s="1" t="s">
        <v>900</v>
      </c>
      <c r="S428" s="1" t="s">
        <v>156</v>
      </c>
      <c r="T428" s="1" t="s">
        <v>42</v>
      </c>
      <c r="U428" s="2" t="s">
        <v>42</v>
      </c>
      <c r="V428" s="2" t="s">
        <v>42</v>
      </c>
      <c r="W428" s="2" t="s">
        <v>42</v>
      </c>
      <c r="X428" s="1" t="s">
        <v>42</v>
      </c>
      <c r="Y428" s="2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/>
      <c r="AE428" s="1" t="s">
        <v>788</v>
      </c>
      <c r="AF428" s="1" t="s">
        <v>904</v>
      </c>
      <c r="AG428" s="2" t="s">
        <v>42</v>
      </c>
      <c r="AH428" s="1"/>
      <c r="AI428" s="1" t="s">
        <v>42</v>
      </c>
      <c r="AJ428" s="1"/>
      <c r="AK428" s="2" t="s">
        <v>42</v>
      </c>
      <c r="AL428" s="1" t="s">
        <v>3507</v>
      </c>
    </row>
    <row r="429" spans="1:38" ht="20.100000000000001" customHeight="1" x14ac:dyDescent="0.2">
      <c r="A429" s="3">
        <f t="shared" si="12"/>
        <v>426</v>
      </c>
      <c r="B429" s="1" t="s">
        <v>2055</v>
      </c>
      <c r="C429" s="1" t="s">
        <v>2056</v>
      </c>
      <c r="D429" s="1" t="s">
        <v>121</v>
      </c>
      <c r="E429" s="1" t="s">
        <v>39</v>
      </c>
      <c r="F429" s="1" t="s">
        <v>40</v>
      </c>
      <c r="G429" s="1" t="s">
        <v>2057</v>
      </c>
      <c r="H429" s="2">
        <v>45026</v>
      </c>
      <c r="I429" s="2">
        <v>32669</v>
      </c>
      <c r="J429" s="7">
        <f t="shared" ca="1" si="13"/>
        <v>34.408219178082192</v>
      </c>
      <c r="K429" s="1" t="s">
        <v>42</v>
      </c>
      <c r="L429" s="1" t="s">
        <v>211</v>
      </c>
      <c r="M429" s="2">
        <v>45014</v>
      </c>
      <c r="N429" s="1">
        <v>2</v>
      </c>
      <c r="O429" s="2" t="s">
        <v>42</v>
      </c>
      <c r="P429" s="1" t="s">
        <v>44</v>
      </c>
      <c r="Q429" s="1" t="s">
        <v>107</v>
      </c>
      <c r="R429" s="1" t="s">
        <v>60</v>
      </c>
      <c r="S429" s="1" t="s">
        <v>47</v>
      </c>
      <c r="T429" s="1">
        <v>8</v>
      </c>
      <c r="U429" s="2" t="s">
        <v>42</v>
      </c>
      <c r="V429" s="2" t="s">
        <v>42</v>
      </c>
      <c r="W429" s="2" t="s">
        <v>42</v>
      </c>
      <c r="X429" s="1" t="s">
        <v>42</v>
      </c>
      <c r="Y429" s="2" t="s">
        <v>42</v>
      </c>
      <c r="Z429" s="1" t="s">
        <v>2058</v>
      </c>
      <c r="AA429" s="1" t="s">
        <v>2059</v>
      </c>
      <c r="AB429" s="1" t="s">
        <v>2060</v>
      </c>
      <c r="AC429" s="1" t="s">
        <v>129</v>
      </c>
      <c r="AD429" s="1">
        <v>7015572543</v>
      </c>
      <c r="AE429" s="1" t="s">
        <v>3506</v>
      </c>
      <c r="AF429" s="1" t="s">
        <v>66</v>
      </c>
      <c r="AG429" s="2" t="s">
        <v>42</v>
      </c>
      <c r="AH429" s="1"/>
      <c r="AI429" s="1" t="s">
        <v>42</v>
      </c>
      <c r="AJ429" s="1"/>
      <c r="AK429" s="2" t="s">
        <v>42</v>
      </c>
      <c r="AL429" s="1" t="s">
        <v>3507</v>
      </c>
    </row>
    <row r="430" spans="1:38" ht="20.100000000000001" customHeight="1" x14ac:dyDescent="0.2">
      <c r="A430" s="3">
        <f t="shared" si="12"/>
        <v>427</v>
      </c>
      <c r="B430" s="1" t="s">
        <v>2061</v>
      </c>
      <c r="C430" s="1" t="s">
        <v>2062</v>
      </c>
      <c r="D430" s="1" t="s">
        <v>121</v>
      </c>
      <c r="E430" s="1" t="s">
        <v>39</v>
      </c>
      <c r="F430" s="1" t="s">
        <v>40</v>
      </c>
      <c r="G430" s="1" t="s">
        <v>2063</v>
      </c>
      <c r="H430" s="2">
        <v>45411</v>
      </c>
      <c r="I430" s="2">
        <v>37403</v>
      </c>
      <c r="J430" s="7">
        <f t="shared" ca="1" si="13"/>
        <v>21.438356164383563</v>
      </c>
      <c r="K430" s="1" t="s">
        <v>42</v>
      </c>
      <c r="L430" s="1" t="s">
        <v>211</v>
      </c>
      <c r="M430" s="2">
        <v>45011</v>
      </c>
      <c r="N430" s="1">
        <v>2</v>
      </c>
      <c r="O430" s="2" t="s">
        <v>42</v>
      </c>
      <c r="P430" s="1" t="s">
        <v>165</v>
      </c>
      <c r="Q430" s="1" t="s">
        <v>166</v>
      </c>
      <c r="R430" s="1" t="s">
        <v>60</v>
      </c>
      <c r="S430" s="1" t="s">
        <v>47</v>
      </c>
      <c r="T430" s="1">
        <v>8</v>
      </c>
      <c r="U430" s="2" t="s">
        <v>42</v>
      </c>
      <c r="V430" s="2" t="s">
        <v>42</v>
      </c>
      <c r="W430" s="2" t="s">
        <v>42</v>
      </c>
      <c r="X430" s="1" t="s">
        <v>42</v>
      </c>
      <c r="Y430" s="2" t="s">
        <v>42</v>
      </c>
      <c r="Z430" s="1" t="s">
        <v>2064</v>
      </c>
      <c r="AA430" s="1" t="s">
        <v>2065</v>
      </c>
      <c r="AB430" s="1" t="s">
        <v>2066</v>
      </c>
      <c r="AC430" s="1" t="s">
        <v>129</v>
      </c>
      <c r="AD430" s="1">
        <v>7014477116</v>
      </c>
      <c r="AE430" s="1" t="s">
        <v>65</v>
      </c>
      <c r="AF430" s="1" t="s">
        <v>66</v>
      </c>
      <c r="AG430" s="2" t="s">
        <v>42</v>
      </c>
      <c r="AH430" s="1"/>
      <c r="AI430" s="1" t="s">
        <v>42</v>
      </c>
      <c r="AJ430" s="1"/>
      <c r="AK430" s="2" t="s">
        <v>42</v>
      </c>
      <c r="AL430" s="1" t="s">
        <v>3507</v>
      </c>
    </row>
    <row r="431" spans="1:38" ht="20.100000000000001" customHeight="1" x14ac:dyDescent="0.2">
      <c r="A431" s="3">
        <f t="shared" si="12"/>
        <v>428</v>
      </c>
      <c r="B431" s="1" t="s">
        <v>2067</v>
      </c>
      <c r="C431" s="1" t="s">
        <v>2068</v>
      </c>
      <c r="D431" s="1" t="s">
        <v>38</v>
      </c>
      <c r="E431" s="1" t="s">
        <v>39</v>
      </c>
      <c r="F431" s="1" t="s">
        <v>40</v>
      </c>
      <c r="G431" s="1" t="s">
        <v>2069</v>
      </c>
      <c r="H431" s="2">
        <v>45562</v>
      </c>
      <c r="I431" s="2">
        <v>37352</v>
      </c>
      <c r="J431" s="7">
        <f t="shared" ca="1" si="13"/>
        <v>21.578082191780823</v>
      </c>
      <c r="K431" s="1" t="s">
        <v>42</v>
      </c>
      <c r="L431" s="1" t="s">
        <v>211</v>
      </c>
      <c r="M431" s="2">
        <v>45025</v>
      </c>
      <c r="N431" s="1">
        <v>2</v>
      </c>
      <c r="O431" s="2" t="s">
        <v>42</v>
      </c>
      <c r="P431" s="1" t="s">
        <v>44</v>
      </c>
      <c r="Q431" s="1" t="s">
        <v>45</v>
      </c>
      <c r="R431" s="1" t="s">
        <v>60</v>
      </c>
      <c r="S431" s="1" t="s">
        <v>47</v>
      </c>
      <c r="T431" s="1">
        <v>8</v>
      </c>
      <c r="U431" s="2" t="s">
        <v>42</v>
      </c>
      <c r="V431" s="2" t="s">
        <v>42</v>
      </c>
      <c r="W431" s="2" t="s">
        <v>42</v>
      </c>
      <c r="X431" s="1" t="s">
        <v>42</v>
      </c>
      <c r="Y431" s="2" t="s">
        <v>42</v>
      </c>
      <c r="Z431" s="1" t="s">
        <v>2070</v>
      </c>
      <c r="AA431" s="1" t="s">
        <v>2071</v>
      </c>
      <c r="AB431" s="1" t="s">
        <v>2072</v>
      </c>
      <c r="AC431" s="1" t="s">
        <v>129</v>
      </c>
      <c r="AD431" s="1">
        <v>7015572543</v>
      </c>
      <c r="AE431" s="1" t="s">
        <v>3506</v>
      </c>
      <c r="AF431" s="1"/>
      <c r="AG431" s="2" t="s">
        <v>42</v>
      </c>
      <c r="AH431" s="1"/>
      <c r="AI431" s="1" t="s">
        <v>42</v>
      </c>
      <c r="AJ431" s="1"/>
      <c r="AK431" s="2" t="s">
        <v>42</v>
      </c>
      <c r="AL431" s="1" t="s">
        <v>3507</v>
      </c>
    </row>
    <row r="432" spans="1:38" ht="20.100000000000001" customHeight="1" x14ac:dyDescent="0.2">
      <c r="A432" s="3">
        <f t="shared" si="12"/>
        <v>429</v>
      </c>
      <c r="B432" s="1" t="s">
        <v>2073</v>
      </c>
      <c r="C432" s="1" t="s">
        <v>2074</v>
      </c>
      <c r="D432" s="1" t="s">
        <v>38</v>
      </c>
      <c r="E432" s="1" t="s">
        <v>150</v>
      </c>
      <c r="F432" s="1" t="s">
        <v>70</v>
      </c>
      <c r="G432" s="1" t="s">
        <v>2075</v>
      </c>
      <c r="H432" s="2">
        <v>45570</v>
      </c>
      <c r="I432" s="2" t="s">
        <v>42</v>
      </c>
      <c r="J432" s="7"/>
      <c r="K432" s="1" t="s">
        <v>42</v>
      </c>
      <c r="L432" s="1" t="s">
        <v>42</v>
      </c>
      <c r="M432" s="2">
        <v>45060</v>
      </c>
      <c r="N432" s="1">
        <v>2</v>
      </c>
      <c r="O432" s="2" t="s">
        <v>42</v>
      </c>
      <c r="P432" s="1" t="s">
        <v>221</v>
      </c>
      <c r="Q432" s="1" t="s">
        <v>222</v>
      </c>
      <c r="R432" s="1" t="s">
        <v>2076</v>
      </c>
      <c r="S432" s="1" t="s">
        <v>47</v>
      </c>
      <c r="T432" s="1" t="s">
        <v>42</v>
      </c>
      <c r="U432" s="2" t="s">
        <v>42</v>
      </c>
      <c r="V432" s="2" t="s">
        <v>42</v>
      </c>
      <c r="W432" s="2" t="s">
        <v>42</v>
      </c>
      <c r="X432" s="1" t="s">
        <v>42</v>
      </c>
      <c r="Y432" s="2" t="s">
        <v>42</v>
      </c>
      <c r="Z432" s="1" t="s">
        <v>2077</v>
      </c>
      <c r="AA432" s="1" t="s">
        <v>2078</v>
      </c>
      <c r="AB432" s="1" t="s">
        <v>2079</v>
      </c>
      <c r="AC432" s="1" t="s">
        <v>50</v>
      </c>
      <c r="AD432" s="1">
        <v>7021202564</v>
      </c>
      <c r="AE432" s="1" t="s">
        <v>567</v>
      </c>
      <c r="AF432" s="1" t="s">
        <v>227</v>
      </c>
      <c r="AG432" s="2" t="s">
        <v>42</v>
      </c>
      <c r="AH432" s="1"/>
      <c r="AI432" s="1" t="s">
        <v>42</v>
      </c>
      <c r="AJ432" s="1"/>
      <c r="AK432" s="2" t="s">
        <v>42</v>
      </c>
      <c r="AL432" s="1" t="s">
        <v>514</v>
      </c>
    </row>
    <row r="433" spans="1:38" ht="20.100000000000001" customHeight="1" x14ac:dyDescent="0.2">
      <c r="A433" s="3">
        <f t="shared" si="12"/>
        <v>430</v>
      </c>
      <c r="B433" s="1" t="s">
        <v>2080</v>
      </c>
      <c r="C433" s="1" t="s">
        <v>2081</v>
      </c>
      <c r="D433" s="1" t="s">
        <v>38</v>
      </c>
      <c r="E433" s="1" t="s">
        <v>150</v>
      </c>
      <c r="F433" s="1" t="s">
        <v>70</v>
      </c>
      <c r="G433" s="1" t="s">
        <v>2082</v>
      </c>
      <c r="H433" s="2">
        <v>45392</v>
      </c>
      <c r="I433" s="2">
        <v>31265</v>
      </c>
      <c r="J433" s="7">
        <f t="shared" ca="1" si="13"/>
        <v>38.254794520547946</v>
      </c>
      <c r="K433" s="1" t="s">
        <v>134</v>
      </c>
      <c r="L433" s="1" t="s">
        <v>1452</v>
      </c>
      <c r="M433" s="2">
        <v>45031</v>
      </c>
      <c r="N433" s="1">
        <v>2</v>
      </c>
      <c r="O433" s="2" t="s">
        <v>42</v>
      </c>
      <c r="P433" s="1" t="s">
        <v>44</v>
      </c>
      <c r="Q433" s="1" t="s">
        <v>899</v>
      </c>
      <c r="R433" s="1" t="s">
        <v>900</v>
      </c>
      <c r="S433" s="1" t="s">
        <v>47</v>
      </c>
      <c r="T433" s="1">
        <v>8</v>
      </c>
      <c r="U433" s="2" t="s">
        <v>42</v>
      </c>
      <c r="V433" s="2" t="s">
        <v>42</v>
      </c>
      <c r="W433" s="2" t="s">
        <v>42</v>
      </c>
      <c r="X433" s="1" t="s">
        <v>2083</v>
      </c>
      <c r="Y433" s="2">
        <v>46784</v>
      </c>
      <c r="Z433" s="1" t="s">
        <v>2084</v>
      </c>
      <c r="AA433" s="1" t="s">
        <v>2085</v>
      </c>
      <c r="AB433" s="1" t="s">
        <v>2086</v>
      </c>
      <c r="AC433" s="1" t="s">
        <v>50</v>
      </c>
      <c r="AD433" s="1">
        <v>7026482336</v>
      </c>
      <c r="AE433" s="1" t="s">
        <v>903</v>
      </c>
      <c r="AF433" s="1" t="s">
        <v>904</v>
      </c>
      <c r="AG433" s="2" t="s">
        <v>42</v>
      </c>
      <c r="AH433" s="1"/>
      <c r="AI433" s="1" t="s">
        <v>42</v>
      </c>
      <c r="AJ433" s="1"/>
      <c r="AK433" s="2" t="s">
        <v>42</v>
      </c>
      <c r="AL433" s="1" t="s">
        <v>3507</v>
      </c>
    </row>
    <row r="434" spans="1:38" ht="20.100000000000001" customHeight="1" x14ac:dyDescent="0.2">
      <c r="A434" s="3">
        <f t="shared" si="12"/>
        <v>431</v>
      </c>
      <c r="B434" s="1" t="s">
        <v>3419</v>
      </c>
      <c r="C434" s="1" t="s">
        <v>3420</v>
      </c>
      <c r="D434" s="1" t="s">
        <v>38</v>
      </c>
      <c r="E434" s="1" t="s">
        <v>69</v>
      </c>
      <c r="F434" s="1" t="s">
        <v>70</v>
      </c>
      <c r="G434" s="1" t="s">
        <v>3421</v>
      </c>
      <c r="H434" s="2" t="s">
        <v>42</v>
      </c>
      <c r="I434" s="2" t="s">
        <v>42</v>
      </c>
      <c r="J434" s="7"/>
      <c r="K434" s="1" t="s">
        <v>42</v>
      </c>
      <c r="L434" s="1" t="s">
        <v>42</v>
      </c>
      <c r="M434" s="2" t="s">
        <v>42</v>
      </c>
      <c r="N434" s="1">
        <v>2</v>
      </c>
      <c r="O434" s="2" t="s">
        <v>42</v>
      </c>
      <c r="P434" s="1" t="s">
        <v>44</v>
      </c>
      <c r="Q434" s="1" t="s">
        <v>466</v>
      </c>
      <c r="R434" s="1" t="s">
        <v>60</v>
      </c>
      <c r="S434" s="1" t="s">
        <v>156</v>
      </c>
      <c r="T434" s="1" t="s">
        <v>42</v>
      </c>
      <c r="U434" s="2" t="s">
        <v>42</v>
      </c>
      <c r="V434" s="2" t="s">
        <v>42</v>
      </c>
      <c r="W434" s="2" t="s">
        <v>42</v>
      </c>
      <c r="X434" s="1" t="s">
        <v>42</v>
      </c>
      <c r="Y434" s="2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/>
      <c r="AE434" s="1" t="s">
        <v>788</v>
      </c>
      <c r="AF434" s="1"/>
      <c r="AG434" s="2" t="s">
        <v>42</v>
      </c>
      <c r="AH434" s="1" t="s">
        <v>2812</v>
      </c>
      <c r="AI434" s="1" t="s">
        <v>42</v>
      </c>
      <c r="AJ434" s="1"/>
      <c r="AK434" s="2" t="s">
        <v>42</v>
      </c>
      <c r="AL434" s="1" t="s">
        <v>2806</v>
      </c>
    </row>
    <row r="435" spans="1:38" ht="20.100000000000001" customHeight="1" x14ac:dyDescent="0.2">
      <c r="A435" s="3">
        <f t="shared" si="12"/>
        <v>432</v>
      </c>
      <c r="B435" s="1" t="s">
        <v>2087</v>
      </c>
      <c r="C435" s="1" t="s">
        <v>2088</v>
      </c>
      <c r="D435" s="1" t="s">
        <v>38</v>
      </c>
      <c r="E435" s="1" t="s">
        <v>69</v>
      </c>
      <c r="F435" s="1" t="s">
        <v>70</v>
      </c>
      <c r="G435" s="1" t="s">
        <v>2089</v>
      </c>
      <c r="H435" s="2">
        <v>45315</v>
      </c>
      <c r="I435" s="2">
        <v>35827</v>
      </c>
      <c r="J435" s="7">
        <f t="shared" ca="1" si="13"/>
        <v>25.756164383561643</v>
      </c>
      <c r="K435" s="1" t="s">
        <v>42</v>
      </c>
      <c r="L435" s="1" t="s">
        <v>2090</v>
      </c>
      <c r="M435" s="2">
        <v>45048</v>
      </c>
      <c r="N435" s="1">
        <v>2</v>
      </c>
      <c r="O435" s="2" t="s">
        <v>42</v>
      </c>
      <c r="P435" s="1" t="s">
        <v>44</v>
      </c>
      <c r="Q435" s="1" t="s">
        <v>178</v>
      </c>
      <c r="R435" s="1" t="s">
        <v>179</v>
      </c>
      <c r="S435" s="1" t="s">
        <v>156</v>
      </c>
      <c r="T435" s="1" t="s">
        <v>42</v>
      </c>
      <c r="U435" s="2" t="s">
        <v>42</v>
      </c>
      <c r="V435" s="2" t="s">
        <v>42</v>
      </c>
      <c r="W435" s="2" t="s">
        <v>42</v>
      </c>
      <c r="X435" s="1" t="s">
        <v>42</v>
      </c>
      <c r="Y435" s="2" t="s">
        <v>42</v>
      </c>
      <c r="Z435" s="1" t="s">
        <v>1160</v>
      </c>
      <c r="AA435" s="1" t="s">
        <v>42</v>
      </c>
      <c r="AB435" s="1" t="s">
        <v>2091</v>
      </c>
      <c r="AC435" s="1" t="s">
        <v>129</v>
      </c>
      <c r="AD435" s="1">
        <v>7009073037</v>
      </c>
      <c r="AE435" s="1" t="s">
        <v>103</v>
      </c>
      <c r="AF435" s="1"/>
      <c r="AG435" s="2" t="s">
        <v>42</v>
      </c>
      <c r="AH435" s="1"/>
      <c r="AI435" s="1" t="s">
        <v>42</v>
      </c>
      <c r="AJ435" s="1"/>
      <c r="AK435" s="2" t="s">
        <v>42</v>
      </c>
      <c r="AL435" s="1" t="s">
        <v>3507</v>
      </c>
    </row>
    <row r="436" spans="1:38" ht="20.100000000000001" customHeight="1" x14ac:dyDescent="0.2">
      <c r="A436" s="3">
        <f t="shared" si="12"/>
        <v>433</v>
      </c>
      <c r="B436" s="1" t="s">
        <v>3422</v>
      </c>
      <c r="C436" s="1" t="s">
        <v>3423</v>
      </c>
      <c r="D436" s="1" t="s">
        <v>38</v>
      </c>
      <c r="E436" s="1" t="s">
        <v>39</v>
      </c>
      <c r="F436" s="1" t="s">
        <v>40</v>
      </c>
      <c r="G436" s="1" t="s">
        <v>3424</v>
      </c>
      <c r="H436" s="2" t="s">
        <v>42</v>
      </c>
      <c r="I436" s="2">
        <v>37843</v>
      </c>
      <c r="J436" s="7">
        <f t="shared" ca="1" si="13"/>
        <v>20.232876712328768</v>
      </c>
      <c r="K436" s="1" t="s">
        <v>42</v>
      </c>
      <c r="L436" s="1" t="s">
        <v>211</v>
      </c>
      <c r="M436" s="2">
        <v>45054</v>
      </c>
      <c r="N436" s="1">
        <v>2</v>
      </c>
      <c r="O436" s="2" t="s">
        <v>42</v>
      </c>
      <c r="P436" s="1" t="s">
        <v>44</v>
      </c>
      <c r="Q436" s="1" t="s">
        <v>59</v>
      </c>
      <c r="R436" s="1" t="s">
        <v>60</v>
      </c>
      <c r="S436" s="1" t="s">
        <v>47</v>
      </c>
      <c r="T436" s="1">
        <v>8</v>
      </c>
      <c r="U436" s="2" t="s">
        <v>42</v>
      </c>
      <c r="V436" s="2" t="s">
        <v>42</v>
      </c>
      <c r="W436" s="2" t="s">
        <v>42</v>
      </c>
      <c r="X436" s="1" t="s">
        <v>42</v>
      </c>
      <c r="Y436" s="2" t="s">
        <v>42</v>
      </c>
      <c r="Z436" s="1" t="s">
        <v>3425</v>
      </c>
      <c r="AA436" s="1" t="s">
        <v>3426</v>
      </c>
      <c r="AB436" s="1" t="s">
        <v>3427</v>
      </c>
      <c r="AC436" s="1" t="s">
        <v>129</v>
      </c>
      <c r="AD436" s="1">
        <v>7014477116</v>
      </c>
      <c r="AE436" s="1" t="s">
        <v>65</v>
      </c>
      <c r="AF436" s="1"/>
      <c r="AG436" s="2">
        <v>45194</v>
      </c>
      <c r="AH436" s="1" t="s">
        <v>2812</v>
      </c>
      <c r="AI436" s="1" t="s">
        <v>42</v>
      </c>
      <c r="AJ436" s="1"/>
      <c r="AK436" s="2" t="s">
        <v>42</v>
      </c>
      <c r="AL436" s="1" t="s">
        <v>3507</v>
      </c>
    </row>
    <row r="437" spans="1:38" ht="20.100000000000001" customHeight="1" x14ac:dyDescent="0.2">
      <c r="A437" s="3">
        <f t="shared" si="12"/>
        <v>434</v>
      </c>
      <c r="B437" s="1" t="s">
        <v>2092</v>
      </c>
      <c r="C437" s="1" t="s">
        <v>2093</v>
      </c>
      <c r="D437" s="1" t="s">
        <v>38</v>
      </c>
      <c r="E437" s="1" t="s">
        <v>150</v>
      </c>
      <c r="F437" s="1" t="s">
        <v>70</v>
      </c>
      <c r="G437" s="1" t="s">
        <v>2094</v>
      </c>
      <c r="H437" s="2">
        <v>45276</v>
      </c>
      <c r="I437" s="2">
        <v>34063</v>
      </c>
      <c r="J437" s="7">
        <f t="shared" ca="1" si="13"/>
        <v>30.589041095890412</v>
      </c>
      <c r="K437" s="1" t="s">
        <v>80</v>
      </c>
      <c r="L437" s="1" t="s">
        <v>80</v>
      </c>
      <c r="M437" s="2">
        <v>45055</v>
      </c>
      <c r="N437" s="1">
        <v>2</v>
      </c>
      <c r="O437" s="2" t="s">
        <v>42</v>
      </c>
      <c r="P437" s="1" t="s">
        <v>221</v>
      </c>
      <c r="Q437" s="1" t="s">
        <v>222</v>
      </c>
      <c r="R437" s="1" t="s">
        <v>2076</v>
      </c>
      <c r="S437" s="1" t="s">
        <v>156</v>
      </c>
      <c r="T437" s="1" t="s">
        <v>42</v>
      </c>
      <c r="U437" s="2" t="s">
        <v>42</v>
      </c>
      <c r="V437" s="2" t="s">
        <v>42</v>
      </c>
      <c r="W437" s="2" t="s">
        <v>42</v>
      </c>
      <c r="X437" s="1" t="s">
        <v>42</v>
      </c>
      <c r="Y437" s="2" t="s">
        <v>42</v>
      </c>
      <c r="Z437" s="1" t="s">
        <v>2095</v>
      </c>
      <c r="AA437" s="1" t="s">
        <v>2096</v>
      </c>
      <c r="AB437" s="1" t="s">
        <v>2097</v>
      </c>
      <c r="AC437" s="1" t="s">
        <v>50</v>
      </c>
      <c r="AD437" s="1">
        <v>7021202564</v>
      </c>
      <c r="AE437" s="1" t="s">
        <v>567</v>
      </c>
      <c r="AF437" s="1" t="s">
        <v>227</v>
      </c>
      <c r="AG437" s="2" t="s">
        <v>42</v>
      </c>
      <c r="AH437" s="1"/>
      <c r="AI437" s="1" t="s">
        <v>42</v>
      </c>
      <c r="AJ437" s="1"/>
      <c r="AK437" s="2" t="s">
        <v>42</v>
      </c>
      <c r="AL437" s="1" t="s">
        <v>3507</v>
      </c>
    </row>
    <row r="438" spans="1:38" ht="20.100000000000001" customHeight="1" x14ac:dyDescent="0.2">
      <c r="A438" s="3">
        <f t="shared" si="12"/>
        <v>435</v>
      </c>
      <c r="B438" s="1" t="s">
        <v>2098</v>
      </c>
      <c r="C438" s="1" t="s">
        <v>2099</v>
      </c>
      <c r="D438" s="1" t="s">
        <v>38</v>
      </c>
      <c r="E438" s="1" t="s">
        <v>150</v>
      </c>
      <c r="F438" s="1" t="s">
        <v>70</v>
      </c>
      <c r="G438" s="1" t="s">
        <v>2100</v>
      </c>
      <c r="H438" s="2">
        <v>45269</v>
      </c>
      <c r="I438" s="2" t="s">
        <v>42</v>
      </c>
      <c r="J438" s="7"/>
      <c r="K438" s="1" t="s">
        <v>667</v>
      </c>
      <c r="L438" s="1" t="s">
        <v>798</v>
      </c>
      <c r="M438" s="2">
        <v>45090</v>
      </c>
      <c r="N438" s="1">
        <v>2</v>
      </c>
      <c r="O438" s="2" t="s">
        <v>42</v>
      </c>
      <c r="P438" s="1" t="s">
        <v>221</v>
      </c>
      <c r="Q438" s="1" t="s">
        <v>222</v>
      </c>
      <c r="R438" s="1" t="s">
        <v>155</v>
      </c>
      <c r="S438" s="1" t="s">
        <v>47</v>
      </c>
      <c r="T438" s="1" t="s">
        <v>42</v>
      </c>
      <c r="U438" s="2" t="s">
        <v>42</v>
      </c>
      <c r="V438" s="2" t="s">
        <v>42</v>
      </c>
      <c r="W438" s="2" t="s">
        <v>42</v>
      </c>
      <c r="X438" s="1" t="s">
        <v>2101</v>
      </c>
      <c r="Y438" s="2">
        <v>47601</v>
      </c>
      <c r="Z438" s="1" t="s">
        <v>42</v>
      </c>
      <c r="AA438" s="1" t="s">
        <v>2102</v>
      </c>
      <c r="AB438" s="1" t="s">
        <v>2103</v>
      </c>
      <c r="AC438" s="1" t="s">
        <v>551</v>
      </c>
      <c r="AD438" s="1">
        <v>7015572543</v>
      </c>
      <c r="AE438" s="1" t="s">
        <v>3506</v>
      </c>
      <c r="AF438" s="1" t="s">
        <v>227</v>
      </c>
      <c r="AG438" s="2" t="s">
        <v>42</v>
      </c>
      <c r="AH438" s="1"/>
      <c r="AI438" s="1" t="s">
        <v>42</v>
      </c>
      <c r="AJ438" s="1"/>
      <c r="AK438" s="2" t="s">
        <v>42</v>
      </c>
      <c r="AL438" s="1" t="s">
        <v>3507</v>
      </c>
    </row>
    <row r="439" spans="1:38" ht="20.100000000000001" customHeight="1" x14ac:dyDescent="0.2">
      <c r="A439" s="3">
        <f t="shared" si="12"/>
        <v>436</v>
      </c>
      <c r="B439" s="1" t="s">
        <v>3428</v>
      </c>
      <c r="C439" s="1" t="s">
        <v>3429</v>
      </c>
      <c r="D439" s="1" t="s">
        <v>121</v>
      </c>
      <c r="E439" s="1" t="s">
        <v>39</v>
      </c>
      <c r="F439" s="1" t="s">
        <v>40</v>
      </c>
      <c r="G439" s="1" t="s">
        <v>3430</v>
      </c>
      <c r="H439" s="2" t="s">
        <v>42</v>
      </c>
      <c r="I439" s="2">
        <v>24395</v>
      </c>
      <c r="J439" s="7">
        <f t="shared" ca="1" si="13"/>
        <v>57.076712328767123</v>
      </c>
      <c r="K439" s="1" t="s">
        <v>1415</v>
      </c>
      <c r="L439" s="1" t="s">
        <v>42</v>
      </c>
      <c r="M439" s="2">
        <v>45069</v>
      </c>
      <c r="N439" s="1">
        <v>2</v>
      </c>
      <c r="O439" s="2" t="s">
        <v>42</v>
      </c>
      <c r="P439" s="1" t="s">
        <v>44</v>
      </c>
      <c r="Q439" s="1" t="s">
        <v>408</v>
      </c>
      <c r="R439" s="1" t="s">
        <v>124</v>
      </c>
      <c r="S439" s="1" t="s">
        <v>47</v>
      </c>
      <c r="T439" s="1" t="s">
        <v>42</v>
      </c>
      <c r="U439" s="2" t="s">
        <v>42</v>
      </c>
      <c r="V439" s="2" t="s">
        <v>42</v>
      </c>
      <c r="W439" s="2" t="s">
        <v>42</v>
      </c>
      <c r="X439" s="1" t="s">
        <v>42</v>
      </c>
      <c r="Y439" s="2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>
        <v>7026482336</v>
      </c>
      <c r="AE439" s="1" t="s">
        <v>903</v>
      </c>
      <c r="AF439" s="1"/>
      <c r="AG439" s="2">
        <v>45099</v>
      </c>
      <c r="AH439" s="1" t="s">
        <v>2812</v>
      </c>
      <c r="AI439" s="1" t="s">
        <v>42</v>
      </c>
      <c r="AJ439" s="1"/>
      <c r="AK439" s="2" t="s">
        <v>42</v>
      </c>
      <c r="AL439" s="1" t="s">
        <v>2806</v>
      </c>
    </row>
    <row r="440" spans="1:38" ht="20.100000000000001" customHeight="1" x14ac:dyDescent="0.2">
      <c r="A440" s="3">
        <f t="shared" si="12"/>
        <v>437</v>
      </c>
      <c r="B440" s="1" t="s">
        <v>2104</v>
      </c>
      <c r="C440" s="1" t="s">
        <v>2105</v>
      </c>
      <c r="D440" s="1" t="s">
        <v>38</v>
      </c>
      <c r="E440" s="1" t="s">
        <v>69</v>
      </c>
      <c r="F440" s="1" t="s">
        <v>70</v>
      </c>
      <c r="G440" s="1" t="s">
        <v>2106</v>
      </c>
      <c r="H440" s="2">
        <v>45236</v>
      </c>
      <c r="I440" s="2">
        <v>36161</v>
      </c>
      <c r="J440" s="7">
        <f t="shared" ca="1" si="13"/>
        <v>24.841095890410958</v>
      </c>
      <c r="K440" s="1" t="s">
        <v>42</v>
      </c>
      <c r="L440" s="1" t="s">
        <v>57</v>
      </c>
      <c r="M440" s="2">
        <v>45064</v>
      </c>
      <c r="N440" s="1">
        <v>2</v>
      </c>
      <c r="O440" s="2" t="s">
        <v>42</v>
      </c>
      <c r="P440" s="1" t="s">
        <v>335</v>
      </c>
      <c r="Q440" s="1" t="s">
        <v>270</v>
      </c>
      <c r="R440" s="1" t="s">
        <v>60</v>
      </c>
      <c r="S440" s="1" t="s">
        <v>156</v>
      </c>
      <c r="T440" s="1">
        <v>8</v>
      </c>
      <c r="U440" s="2" t="s">
        <v>42</v>
      </c>
      <c r="V440" s="2" t="s">
        <v>42</v>
      </c>
      <c r="W440" s="2" t="s">
        <v>42</v>
      </c>
      <c r="X440" s="1" t="s">
        <v>42</v>
      </c>
      <c r="Y440" s="2" t="s">
        <v>42</v>
      </c>
      <c r="Z440" s="1" t="s">
        <v>2107</v>
      </c>
      <c r="AA440" s="1" t="s">
        <v>42</v>
      </c>
      <c r="AB440" s="1" t="s">
        <v>2108</v>
      </c>
      <c r="AC440" s="1" t="s">
        <v>50</v>
      </c>
      <c r="AD440" s="1">
        <v>7034664628</v>
      </c>
      <c r="AE440" s="1" t="s">
        <v>443</v>
      </c>
      <c r="AF440" s="1" t="s">
        <v>66</v>
      </c>
      <c r="AG440" s="2" t="s">
        <v>42</v>
      </c>
      <c r="AH440" s="1"/>
      <c r="AI440" s="1" t="s">
        <v>42</v>
      </c>
      <c r="AJ440" s="1"/>
      <c r="AK440" s="2" t="s">
        <v>42</v>
      </c>
      <c r="AL440" s="1" t="s">
        <v>3507</v>
      </c>
    </row>
    <row r="441" spans="1:38" ht="20.100000000000001" customHeight="1" x14ac:dyDescent="0.2">
      <c r="A441" s="3">
        <f t="shared" si="12"/>
        <v>438</v>
      </c>
      <c r="B441" s="1" t="s">
        <v>3431</v>
      </c>
      <c r="C441" s="1" t="s">
        <v>3432</v>
      </c>
      <c r="D441" s="1" t="s">
        <v>38</v>
      </c>
      <c r="E441" s="1" t="s">
        <v>811</v>
      </c>
      <c r="F441" s="1" t="s">
        <v>55</v>
      </c>
      <c r="G441" s="1" t="s">
        <v>3433</v>
      </c>
      <c r="H441" s="2">
        <v>44901</v>
      </c>
      <c r="I441" s="2">
        <v>31661</v>
      </c>
      <c r="J441" s="7">
        <f t="shared" ca="1" si="13"/>
        <v>37.169863013698631</v>
      </c>
      <c r="K441" s="1" t="s">
        <v>80</v>
      </c>
      <c r="L441" s="1" t="s">
        <v>72</v>
      </c>
      <c r="M441" s="2">
        <v>45073</v>
      </c>
      <c r="N441" s="1">
        <v>2</v>
      </c>
      <c r="O441" s="2" t="s">
        <v>42</v>
      </c>
      <c r="P441" s="1" t="s">
        <v>44</v>
      </c>
      <c r="Q441" s="1" t="s">
        <v>431</v>
      </c>
      <c r="R441" s="1" t="s">
        <v>73</v>
      </c>
      <c r="S441" s="1" t="s">
        <v>156</v>
      </c>
      <c r="T441" s="1">
        <v>8</v>
      </c>
      <c r="U441" s="2">
        <v>45073</v>
      </c>
      <c r="V441" s="2">
        <v>45438</v>
      </c>
      <c r="W441" s="2" t="s">
        <v>42</v>
      </c>
      <c r="X441" s="1" t="s">
        <v>42</v>
      </c>
      <c r="Y441" s="2" t="s">
        <v>42</v>
      </c>
      <c r="Z441" s="1" t="s">
        <v>3434</v>
      </c>
      <c r="AA441" s="1" t="s">
        <v>3435</v>
      </c>
      <c r="AB441" s="1" t="s">
        <v>3436</v>
      </c>
      <c r="AC441" s="1" t="s">
        <v>266</v>
      </c>
      <c r="AD441" s="1"/>
      <c r="AE441" s="1" t="s">
        <v>788</v>
      </c>
      <c r="AF441" s="1"/>
      <c r="AG441" s="2" t="s">
        <v>42</v>
      </c>
      <c r="AH441" s="1"/>
      <c r="AI441" s="1" t="s">
        <v>42</v>
      </c>
      <c r="AJ441" s="1"/>
      <c r="AK441" s="2" t="s">
        <v>42</v>
      </c>
      <c r="AL441" s="1" t="s">
        <v>2806</v>
      </c>
    </row>
    <row r="442" spans="1:38" ht="20.100000000000001" customHeight="1" x14ac:dyDescent="0.2">
      <c r="A442" s="3">
        <f t="shared" si="12"/>
        <v>439</v>
      </c>
      <c r="B442" s="1" t="s">
        <v>2109</v>
      </c>
      <c r="C442" s="1" t="s">
        <v>2110</v>
      </c>
      <c r="D442" s="1" t="s">
        <v>121</v>
      </c>
      <c r="E442" s="1" t="s">
        <v>69</v>
      </c>
      <c r="F442" s="1" t="s">
        <v>70</v>
      </c>
      <c r="G442" s="1" t="s">
        <v>2111</v>
      </c>
      <c r="H442" s="2">
        <v>45478</v>
      </c>
      <c r="I442" s="2">
        <v>28126</v>
      </c>
      <c r="J442" s="7">
        <f t="shared" ca="1" si="13"/>
        <v>46.854794520547948</v>
      </c>
      <c r="K442" s="1" t="s">
        <v>2112</v>
      </c>
      <c r="L442" s="1" t="s">
        <v>2113</v>
      </c>
      <c r="M442" s="2" t="s">
        <v>42</v>
      </c>
      <c r="N442" s="1">
        <v>2</v>
      </c>
      <c r="O442" s="2" t="s">
        <v>42</v>
      </c>
      <c r="P442" s="1" t="s">
        <v>44</v>
      </c>
      <c r="Q442" s="1" t="s">
        <v>1497</v>
      </c>
      <c r="R442" s="1" t="s">
        <v>196</v>
      </c>
      <c r="S442" s="1" t="s">
        <v>47</v>
      </c>
      <c r="T442" s="1">
        <v>0</v>
      </c>
      <c r="U442" s="2" t="s">
        <v>42</v>
      </c>
      <c r="V442" s="2" t="s">
        <v>42</v>
      </c>
      <c r="W442" s="2" t="s">
        <v>42</v>
      </c>
      <c r="X442" s="1" t="s">
        <v>2114</v>
      </c>
      <c r="Y442" s="2">
        <v>47226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>
        <v>1061419220</v>
      </c>
      <c r="AE442" s="1" t="s">
        <v>247</v>
      </c>
      <c r="AF442" s="1"/>
      <c r="AG442" s="2" t="s">
        <v>42</v>
      </c>
      <c r="AH442" s="1"/>
      <c r="AI442" s="1" t="s">
        <v>42</v>
      </c>
      <c r="AJ442" s="1"/>
      <c r="AK442" s="2" t="s">
        <v>42</v>
      </c>
      <c r="AL442" s="1" t="s">
        <v>3507</v>
      </c>
    </row>
    <row r="443" spans="1:38" ht="20.100000000000001" customHeight="1" x14ac:dyDescent="0.2">
      <c r="A443" s="3">
        <f t="shared" si="12"/>
        <v>440</v>
      </c>
      <c r="B443" s="1" t="s">
        <v>2115</v>
      </c>
      <c r="C443" s="1" t="s">
        <v>2116</v>
      </c>
      <c r="D443" s="1" t="s">
        <v>38</v>
      </c>
      <c r="E443" s="1" t="s">
        <v>69</v>
      </c>
      <c r="F443" s="1" t="s">
        <v>70</v>
      </c>
      <c r="G443" s="1" t="s">
        <v>2117</v>
      </c>
      <c r="H443" s="2">
        <v>45097</v>
      </c>
      <c r="I443" s="2">
        <v>35432</v>
      </c>
      <c r="J443" s="7">
        <f t="shared" ca="1" si="13"/>
        <v>26.838356164383562</v>
      </c>
      <c r="K443" s="1" t="s">
        <v>2118</v>
      </c>
      <c r="L443" s="1" t="s">
        <v>798</v>
      </c>
      <c r="M443" s="2">
        <v>45082</v>
      </c>
      <c r="N443" s="1">
        <v>2</v>
      </c>
      <c r="O443" s="2" t="s">
        <v>42</v>
      </c>
      <c r="P443" s="1" t="s">
        <v>44</v>
      </c>
      <c r="Q443" s="1" t="s">
        <v>899</v>
      </c>
      <c r="R443" s="1" t="s">
        <v>155</v>
      </c>
      <c r="S443" s="1" t="s">
        <v>156</v>
      </c>
      <c r="T443" s="1">
        <v>8</v>
      </c>
      <c r="U443" s="2">
        <v>45082</v>
      </c>
      <c r="V443" s="2">
        <v>45447</v>
      </c>
      <c r="W443" s="2" t="s">
        <v>42</v>
      </c>
      <c r="X443" s="1" t="s">
        <v>42</v>
      </c>
      <c r="Y443" s="2" t="s">
        <v>42</v>
      </c>
      <c r="Z443" s="1" t="s">
        <v>2119</v>
      </c>
      <c r="AA443" s="1" t="s">
        <v>2120</v>
      </c>
      <c r="AB443" s="1" t="s">
        <v>1733</v>
      </c>
      <c r="AC443" s="1" t="s">
        <v>617</v>
      </c>
      <c r="AD443" s="1"/>
      <c r="AE443" s="1" t="s">
        <v>788</v>
      </c>
      <c r="AF443" s="1" t="s">
        <v>904</v>
      </c>
      <c r="AG443" s="2" t="s">
        <v>42</v>
      </c>
      <c r="AH443" s="1"/>
      <c r="AI443" s="1" t="s">
        <v>42</v>
      </c>
      <c r="AJ443" s="1"/>
      <c r="AK443" s="2" t="s">
        <v>42</v>
      </c>
      <c r="AL443" s="1" t="s">
        <v>3507</v>
      </c>
    </row>
    <row r="444" spans="1:38" ht="20.100000000000001" customHeight="1" x14ac:dyDescent="0.2">
      <c r="A444" s="3">
        <f t="shared" si="12"/>
        <v>441</v>
      </c>
      <c r="B444" s="1" t="s">
        <v>2121</v>
      </c>
      <c r="C444" s="1" t="s">
        <v>2122</v>
      </c>
      <c r="D444" s="1" t="s">
        <v>121</v>
      </c>
      <c r="E444" s="1" t="s">
        <v>39</v>
      </c>
      <c r="F444" s="1" t="s">
        <v>40</v>
      </c>
      <c r="G444" s="1" t="s">
        <v>2123</v>
      </c>
      <c r="H444" s="2">
        <v>45826</v>
      </c>
      <c r="I444" s="2">
        <v>36566</v>
      </c>
      <c r="J444" s="7">
        <f t="shared" ca="1" si="13"/>
        <v>23.731506849315068</v>
      </c>
      <c r="K444" s="1" t="s">
        <v>42</v>
      </c>
      <c r="L444" s="1" t="s">
        <v>2124</v>
      </c>
      <c r="M444" s="2">
        <v>45084</v>
      </c>
      <c r="N444" s="1">
        <v>2</v>
      </c>
      <c r="O444" s="2" t="s">
        <v>42</v>
      </c>
      <c r="P444" s="1" t="s">
        <v>44</v>
      </c>
      <c r="Q444" s="1" t="s">
        <v>408</v>
      </c>
      <c r="R444" s="1" t="s">
        <v>124</v>
      </c>
      <c r="S444" s="1" t="s">
        <v>125</v>
      </c>
      <c r="T444" s="1" t="s">
        <v>42</v>
      </c>
      <c r="U444" s="2" t="s">
        <v>42</v>
      </c>
      <c r="V444" s="2" t="s">
        <v>42</v>
      </c>
      <c r="W444" s="2" t="s">
        <v>42</v>
      </c>
      <c r="X444" s="1" t="s">
        <v>42</v>
      </c>
      <c r="Y444" s="2" t="s">
        <v>42</v>
      </c>
      <c r="Z444" s="1" t="s">
        <v>2125</v>
      </c>
      <c r="AA444" s="1" t="s">
        <v>2126</v>
      </c>
      <c r="AB444" s="1" t="s">
        <v>2127</v>
      </c>
      <c r="AC444" s="1" t="s">
        <v>129</v>
      </c>
      <c r="AD444" s="1">
        <v>7021202564</v>
      </c>
      <c r="AE444" s="1" t="s">
        <v>567</v>
      </c>
      <c r="AF444" s="1"/>
      <c r="AG444" s="2">
        <v>45172</v>
      </c>
      <c r="AH444" s="1"/>
      <c r="AI444" s="1" t="s">
        <v>42</v>
      </c>
      <c r="AJ444" s="1"/>
      <c r="AK444" s="2" t="s">
        <v>42</v>
      </c>
      <c r="AL444" s="1" t="s">
        <v>3507</v>
      </c>
    </row>
    <row r="445" spans="1:38" ht="20.100000000000001" customHeight="1" x14ac:dyDescent="0.2">
      <c r="A445" s="3">
        <f t="shared" si="12"/>
        <v>442</v>
      </c>
      <c r="B445" s="1" t="s">
        <v>2128</v>
      </c>
      <c r="C445" s="1" t="s">
        <v>2129</v>
      </c>
      <c r="D445" s="1" t="s">
        <v>121</v>
      </c>
      <c r="E445" s="1" t="s">
        <v>39</v>
      </c>
      <c r="F445" s="1" t="s">
        <v>40</v>
      </c>
      <c r="G445" s="1" t="s">
        <v>2130</v>
      </c>
      <c r="H445" s="2">
        <v>47953</v>
      </c>
      <c r="I445" s="2">
        <v>31854</v>
      </c>
      <c r="J445" s="7">
        <f t="shared" ca="1" si="13"/>
        <v>36.641095890410959</v>
      </c>
      <c r="K445" s="1" t="s">
        <v>42</v>
      </c>
      <c r="L445" s="1" t="s">
        <v>2124</v>
      </c>
      <c r="M445" s="2">
        <v>45084</v>
      </c>
      <c r="N445" s="1">
        <v>2</v>
      </c>
      <c r="O445" s="2" t="s">
        <v>42</v>
      </c>
      <c r="P445" s="1" t="s">
        <v>44</v>
      </c>
      <c r="Q445" s="1" t="s">
        <v>408</v>
      </c>
      <c r="R445" s="1" t="s">
        <v>124</v>
      </c>
      <c r="S445" s="1" t="s">
        <v>125</v>
      </c>
      <c r="T445" s="1" t="s">
        <v>42</v>
      </c>
      <c r="U445" s="2" t="s">
        <v>42</v>
      </c>
      <c r="V445" s="2" t="s">
        <v>42</v>
      </c>
      <c r="W445" s="2" t="s">
        <v>42</v>
      </c>
      <c r="X445" s="1" t="s">
        <v>42</v>
      </c>
      <c r="Y445" s="2" t="s">
        <v>42</v>
      </c>
      <c r="Z445" s="1" t="s">
        <v>2131</v>
      </c>
      <c r="AA445" s="1" t="s">
        <v>2132</v>
      </c>
      <c r="AB445" s="1" t="s">
        <v>2133</v>
      </c>
      <c r="AC445" s="1" t="s">
        <v>129</v>
      </c>
      <c r="AD445" s="1">
        <v>7021202564</v>
      </c>
      <c r="AE445" s="1" t="s">
        <v>567</v>
      </c>
      <c r="AF445" s="1"/>
      <c r="AG445" s="2" t="s">
        <v>42</v>
      </c>
      <c r="AH445" s="1"/>
      <c r="AI445" s="1" t="s">
        <v>42</v>
      </c>
      <c r="AJ445" s="1"/>
      <c r="AK445" s="2" t="s">
        <v>42</v>
      </c>
      <c r="AL445" s="1" t="s">
        <v>3507</v>
      </c>
    </row>
    <row r="446" spans="1:38" ht="20.100000000000001" customHeight="1" x14ac:dyDescent="0.2">
      <c r="A446" s="3">
        <f t="shared" si="12"/>
        <v>443</v>
      </c>
      <c r="B446" s="1" t="s">
        <v>2134</v>
      </c>
      <c r="C446" s="1" t="s">
        <v>2135</v>
      </c>
      <c r="D446" s="1" t="s">
        <v>38</v>
      </c>
      <c r="E446" s="1" t="s">
        <v>69</v>
      </c>
      <c r="F446" s="1" t="s">
        <v>70</v>
      </c>
      <c r="G446" s="1" t="s">
        <v>2136</v>
      </c>
      <c r="H446" s="2">
        <v>45439</v>
      </c>
      <c r="I446" s="2">
        <v>36251</v>
      </c>
      <c r="J446" s="7">
        <f t="shared" ca="1" si="13"/>
        <v>24.594520547945205</v>
      </c>
      <c r="K446" s="1" t="s">
        <v>57</v>
      </c>
      <c r="L446" s="1" t="s">
        <v>134</v>
      </c>
      <c r="M446" s="2">
        <v>45072</v>
      </c>
      <c r="N446" s="1">
        <v>2</v>
      </c>
      <c r="O446" s="2" t="s">
        <v>42</v>
      </c>
      <c r="P446" s="1" t="s">
        <v>335</v>
      </c>
      <c r="Q446" s="1" t="s">
        <v>336</v>
      </c>
      <c r="R446" s="1" t="s">
        <v>60</v>
      </c>
      <c r="S446" s="1" t="s">
        <v>47</v>
      </c>
      <c r="T446" s="1" t="s">
        <v>42</v>
      </c>
      <c r="U446" s="2" t="s">
        <v>42</v>
      </c>
      <c r="V446" s="2" t="s">
        <v>42</v>
      </c>
      <c r="W446" s="2" t="s">
        <v>42</v>
      </c>
      <c r="X446" s="1" t="s">
        <v>42</v>
      </c>
      <c r="Y446" s="2" t="s">
        <v>42</v>
      </c>
      <c r="Z446" s="1" t="s">
        <v>2137</v>
      </c>
      <c r="AA446" s="1" t="s">
        <v>42</v>
      </c>
      <c r="AB446" s="1" t="s">
        <v>2138</v>
      </c>
      <c r="AC446" s="1" t="s">
        <v>50</v>
      </c>
      <c r="AD446" s="1">
        <v>7034664628</v>
      </c>
      <c r="AE446" s="1" t="s">
        <v>443</v>
      </c>
      <c r="AF446" s="1" t="s">
        <v>66</v>
      </c>
      <c r="AG446" s="2" t="s">
        <v>42</v>
      </c>
      <c r="AH446" s="1"/>
      <c r="AI446" s="1" t="s">
        <v>42</v>
      </c>
      <c r="AJ446" s="1"/>
      <c r="AK446" s="2" t="s">
        <v>42</v>
      </c>
      <c r="AL446" s="1" t="s">
        <v>3507</v>
      </c>
    </row>
    <row r="447" spans="1:38" ht="20.100000000000001" customHeight="1" x14ac:dyDescent="0.2">
      <c r="A447" s="3">
        <f t="shared" si="12"/>
        <v>444</v>
      </c>
      <c r="B447" s="1" t="s">
        <v>2139</v>
      </c>
      <c r="C447" s="1" t="s">
        <v>2140</v>
      </c>
      <c r="D447" s="1" t="s">
        <v>38</v>
      </c>
      <c r="E447" s="1" t="s">
        <v>54</v>
      </c>
      <c r="F447" s="1" t="s">
        <v>55</v>
      </c>
      <c r="G447" s="1" t="s">
        <v>2141</v>
      </c>
      <c r="H447" s="2">
        <v>45337</v>
      </c>
      <c r="I447" s="2" t="s">
        <v>42</v>
      </c>
      <c r="J447" s="7"/>
      <c r="K447" s="1" t="s">
        <v>2142</v>
      </c>
      <c r="L447" s="1" t="s">
        <v>134</v>
      </c>
      <c r="M447" s="2">
        <v>45087</v>
      </c>
      <c r="N447" s="1">
        <v>2</v>
      </c>
      <c r="O447" s="2">
        <v>45087</v>
      </c>
      <c r="P447" s="1" t="s">
        <v>44</v>
      </c>
      <c r="Q447" s="1" t="s">
        <v>2143</v>
      </c>
      <c r="R447" s="1" t="s">
        <v>60</v>
      </c>
      <c r="S447" s="1" t="s">
        <v>47</v>
      </c>
      <c r="T447" s="1">
        <v>8</v>
      </c>
      <c r="U447" s="2" t="s">
        <v>42</v>
      </c>
      <c r="V447" s="2" t="s">
        <v>42</v>
      </c>
      <c r="W447" s="2" t="s">
        <v>42</v>
      </c>
      <c r="X447" s="1" t="s">
        <v>42</v>
      </c>
      <c r="Y447" s="2" t="s">
        <v>42</v>
      </c>
      <c r="Z447" s="1" t="s">
        <v>2144</v>
      </c>
      <c r="AA447" s="1" t="s">
        <v>42</v>
      </c>
      <c r="AB447" s="1" t="s">
        <v>2145</v>
      </c>
      <c r="AC447" s="1" t="s">
        <v>50</v>
      </c>
      <c r="AD447" s="1">
        <v>7034664628</v>
      </c>
      <c r="AE447" s="1" t="s">
        <v>443</v>
      </c>
      <c r="AF447" s="1" t="s">
        <v>66</v>
      </c>
      <c r="AG447" s="2" t="s">
        <v>42</v>
      </c>
      <c r="AH447" s="1"/>
      <c r="AI447" s="1" t="s">
        <v>42</v>
      </c>
      <c r="AJ447" s="1"/>
      <c r="AK447" s="2" t="s">
        <v>42</v>
      </c>
      <c r="AL447" s="1" t="s">
        <v>3507</v>
      </c>
    </row>
    <row r="448" spans="1:38" ht="20.100000000000001" customHeight="1" x14ac:dyDescent="0.2">
      <c r="A448" s="3">
        <f t="shared" si="12"/>
        <v>445</v>
      </c>
      <c r="B448" s="1" t="s">
        <v>2146</v>
      </c>
      <c r="C448" s="1" t="s">
        <v>2147</v>
      </c>
      <c r="D448" s="1" t="s">
        <v>38</v>
      </c>
      <c r="E448" s="1" t="s">
        <v>39</v>
      </c>
      <c r="F448" s="1" t="s">
        <v>40</v>
      </c>
      <c r="G448" s="1" t="s">
        <v>2148</v>
      </c>
      <c r="H448" s="2">
        <v>45840</v>
      </c>
      <c r="I448" s="2">
        <v>37654</v>
      </c>
      <c r="J448" s="7">
        <f t="shared" ca="1" si="13"/>
        <v>20.75068493150685</v>
      </c>
      <c r="K448" s="1" t="s">
        <v>42</v>
      </c>
      <c r="L448" s="1" t="s">
        <v>211</v>
      </c>
      <c r="M448" s="2">
        <v>45085</v>
      </c>
      <c r="N448" s="1">
        <v>2</v>
      </c>
      <c r="O448" s="2">
        <v>45085</v>
      </c>
      <c r="P448" s="1" t="s">
        <v>44</v>
      </c>
      <c r="Q448" s="1" t="s">
        <v>306</v>
      </c>
      <c r="R448" s="1" t="s">
        <v>60</v>
      </c>
      <c r="S448" s="1" t="s">
        <v>47</v>
      </c>
      <c r="T448" s="1">
        <v>8</v>
      </c>
      <c r="U448" s="2">
        <v>45085</v>
      </c>
      <c r="V448" s="2">
        <v>45450</v>
      </c>
      <c r="W448" s="2" t="s">
        <v>42</v>
      </c>
      <c r="X448" s="1" t="s">
        <v>42</v>
      </c>
      <c r="Y448" s="2" t="s">
        <v>42</v>
      </c>
      <c r="Z448" s="1" t="s">
        <v>2149</v>
      </c>
      <c r="AA448" s="1" t="s">
        <v>2150</v>
      </c>
      <c r="AB448" s="1" t="s">
        <v>2151</v>
      </c>
      <c r="AC448" s="1" t="s">
        <v>50</v>
      </c>
      <c r="AD448" s="1">
        <v>7015572543</v>
      </c>
      <c r="AE448" s="1" t="s">
        <v>3506</v>
      </c>
      <c r="AF448" s="1" t="s">
        <v>66</v>
      </c>
      <c r="AG448" s="2" t="s">
        <v>42</v>
      </c>
      <c r="AH448" s="1"/>
      <c r="AI448" s="1" t="s">
        <v>42</v>
      </c>
      <c r="AJ448" s="1"/>
      <c r="AK448" s="2" t="s">
        <v>42</v>
      </c>
      <c r="AL448" s="1" t="s">
        <v>3507</v>
      </c>
    </row>
    <row r="449" spans="1:38" ht="20.100000000000001" customHeight="1" x14ac:dyDescent="0.2">
      <c r="A449" s="3">
        <f t="shared" si="12"/>
        <v>446</v>
      </c>
      <c r="B449" s="1" t="s">
        <v>2152</v>
      </c>
      <c r="C449" s="1" t="s">
        <v>2153</v>
      </c>
      <c r="D449" s="1" t="s">
        <v>38</v>
      </c>
      <c r="E449" s="1" t="s">
        <v>69</v>
      </c>
      <c r="F449" s="1" t="s">
        <v>70</v>
      </c>
      <c r="G449" s="1" t="s">
        <v>2154</v>
      </c>
      <c r="H449" s="2" t="s">
        <v>42</v>
      </c>
      <c r="I449" s="2" t="s">
        <v>42</v>
      </c>
      <c r="J449" s="7"/>
      <c r="K449" s="1" t="s">
        <v>42</v>
      </c>
      <c r="L449" s="1" t="s">
        <v>80</v>
      </c>
      <c r="M449" s="2">
        <v>45109</v>
      </c>
      <c r="N449" s="1">
        <v>2</v>
      </c>
      <c r="O449" s="2" t="s">
        <v>42</v>
      </c>
      <c r="P449" s="1" t="s">
        <v>221</v>
      </c>
      <c r="Q449" s="1" t="s">
        <v>222</v>
      </c>
      <c r="R449" s="1" t="s">
        <v>2076</v>
      </c>
      <c r="S449" s="1" t="s">
        <v>47</v>
      </c>
      <c r="T449" s="1" t="s">
        <v>42</v>
      </c>
      <c r="U449" s="2" t="s">
        <v>42</v>
      </c>
      <c r="V449" s="2" t="s">
        <v>42</v>
      </c>
      <c r="W449" s="2" t="s">
        <v>42</v>
      </c>
      <c r="X449" s="1" t="s">
        <v>42</v>
      </c>
      <c r="Y449" s="2" t="s">
        <v>42</v>
      </c>
      <c r="Z449" s="1" t="s">
        <v>2155</v>
      </c>
      <c r="AA449" s="1" t="s">
        <v>2156</v>
      </c>
      <c r="AB449" s="1" t="s">
        <v>2157</v>
      </c>
      <c r="AC449" s="1" t="s">
        <v>50</v>
      </c>
      <c r="AD449" s="1">
        <v>7021202564</v>
      </c>
      <c r="AE449" s="1" t="s">
        <v>567</v>
      </c>
      <c r="AF449" s="1" t="s">
        <v>227</v>
      </c>
      <c r="AG449" s="2" t="s">
        <v>42</v>
      </c>
      <c r="AH449" s="1"/>
      <c r="AI449" s="1" t="s">
        <v>42</v>
      </c>
      <c r="AJ449" s="1"/>
      <c r="AK449" s="2" t="s">
        <v>42</v>
      </c>
      <c r="AL449" s="1" t="s">
        <v>42</v>
      </c>
    </row>
    <row r="450" spans="1:38" ht="20.100000000000001" customHeight="1" x14ac:dyDescent="0.2">
      <c r="A450" s="3">
        <f t="shared" si="12"/>
        <v>447</v>
      </c>
      <c r="B450" s="1" t="s">
        <v>3437</v>
      </c>
      <c r="C450" s="1" t="s">
        <v>3438</v>
      </c>
      <c r="D450" s="1" t="s">
        <v>121</v>
      </c>
      <c r="E450" s="1" t="s">
        <v>39</v>
      </c>
      <c r="F450" s="1" t="s">
        <v>40</v>
      </c>
      <c r="G450" s="1" t="s">
        <v>3439</v>
      </c>
      <c r="H450" s="2">
        <v>47130</v>
      </c>
      <c r="I450" s="2">
        <v>32599</v>
      </c>
      <c r="J450" s="7">
        <f t="shared" ca="1" si="13"/>
        <v>34.6</v>
      </c>
      <c r="K450" s="1" t="s">
        <v>42</v>
      </c>
      <c r="L450" s="1" t="s">
        <v>2213</v>
      </c>
      <c r="M450" s="2">
        <v>45090</v>
      </c>
      <c r="N450" s="1">
        <v>2</v>
      </c>
      <c r="O450" s="2" t="s">
        <v>42</v>
      </c>
      <c r="P450" s="1" t="s">
        <v>44</v>
      </c>
      <c r="Q450" s="1" t="s">
        <v>408</v>
      </c>
      <c r="R450" s="1" t="s">
        <v>124</v>
      </c>
      <c r="S450" s="1" t="s">
        <v>125</v>
      </c>
      <c r="T450" s="1" t="s">
        <v>42</v>
      </c>
      <c r="U450" s="2" t="s">
        <v>42</v>
      </c>
      <c r="V450" s="2" t="s">
        <v>42</v>
      </c>
      <c r="W450" s="2" t="s">
        <v>42</v>
      </c>
      <c r="X450" s="1" t="s">
        <v>42</v>
      </c>
      <c r="Y450" s="2" t="s">
        <v>42</v>
      </c>
      <c r="Z450" s="1" t="s">
        <v>42</v>
      </c>
      <c r="AA450" s="1" t="s">
        <v>42</v>
      </c>
      <c r="AB450" s="1" t="s">
        <v>3440</v>
      </c>
      <c r="AC450" s="1" t="s">
        <v>129</v>
      </c>
      <c r="AD450" s="1">
        <v>7014477116</v>
      </c>
      <c r="AE450" s="1" t="s">
        <v>65</v>
      </c>
      <c r="AF450" s="1"/>
      <c r="AG450" s="2">
        <v>45178</v>
      </c>
      <c r="AH450" s="1" t="s">
        <v>2812</v>
      </c>
      <c r="AI450" s="1" t="s">
        <v>42</v>
      </c>
      <c r="AJ450" s="1"/>
      <c r="AK450" s="2" t="s">
        <v>42</v>
      </c>
      <c r="AL450" s="1" t="s">
        <v>2806</v>
      </c>
    </row>
    <row r="451" spans="1:38" ht="20.100000000000001" customHeight="1" x14ac:dyDescent="0.2">
      <c r="A451" s="3">
        <f t="shared" si="12"/>
        <v>448</v>
      </c>
      <c r="B451" s="1" t="s">
        <v>2158</v>
      </c>
      <c r="C451" s="1" t="s">
        <v>2159</v>
      </c>
      <c r="D451" s="1" t="s">
        <v>38</v>
      </c>
      <c r="E451" s="1" t="s">
        <v>39</v>
      </c>
      <c r="F451" s="1" t="s">
        <v>40</v>
      </c>
      <c r="G451" s="1" t="s">
        <v>2160</v>
      </c>
      <c r="H451" s="2" t="s">
        <v>42</v>
      </c>
      <c r="I451" s="2">
        <v>36950</v>
      </c>
      <c r="J451" s="7">
        <f t="shared" ca="1" si="13"/>
        <v>22.67945205479452</v>
      </c>
      <c r="K451" s="1" t="s">
        <v>42</v>
      </c>
      <c r="L451" s="1" t="s">
        <v>211</v>
      </c>
      <c r="M451" s="2">
        <v>45089</v>
      </c>
      <c r="N451" s="1">
        <v>2</v>
      </c>
      <c r="O451" s="2">
        <v>45089</v>
      </c>
      <c r="P451" s="1" t="s">
        <v>44</v>
      </c>
      <c r="Q451" s="1" t="s">
        <v>107</v>
      </c>
      <c r="R451" s="1" t="s">
        <v>60</v>
      </c>
      <c r="S451" s="1" t="s">
        <v>47</v>
      </c>
      <c r="T451" s="1">
        <v>8</v>
      </c>
      <c r="U451" s="2">
        <v>45089</v>
      </c>
      <c r="V451" s="2">
        <v>45454</v>
      </c>
      <c r="W451" s="2" t="s">
        <v>42</v>
      </c>
      <c r="X451" s="1" t="s">
        <v>42</v>
      </c>
      <c r="Y451" s="2" t="s">
        <v>42</v>
      </c>
      <c r="Z451" s="1" t="s">
        <v>2161</v>
      </c>
      <c r="AA451" s="1" t="s">
        <v>2162</v>
      </c>
      <c r="AB451" s="1" t="s">
        <v>2163</v>
      </c>
      <c r="AC451" s="1" t="s">
        <v>129</v>
      </c>
      <c r="AD451" s="1">
        <v>7015572543</v>
      </c>
      <c r="AE451" s="1" t="s">
        <v>3506</v>
      </c>
      <c r="AF451" s="1" t="s">
        <v>66</v>
      </c>
      <c r="AG451" s="2" t="s">
        <v>42</v>
      </c>
      <c r="AH451" s="1"/>
      <c r="AI451" s="1" t="s">
        <v>42</v>
      </c>
      <c r="AJ451" s="1"/>
      <c r="AK451" s="2" t="s">
        <v>42</v>
      </c>
      <c r="AL451" s="1" t="s">
        <v>3507</v>
      </c>
    </row>
    <row r="452" spans="1:38" ht="20.100000000000001" customHeight="1" x14ac:dyDescent="0.2">
      <c r="A452" s="3">
        <f t="shared" ref="A452:A515" si="14">ROW()-3</f>
        <v>449</v>
      </c>
      <c r="B452" s="1" t="s">
        <v>2164</v>
      </c>
      <c r="C452" s="1" t="s">
        <v>2165</v>
      </c>
      <c r="D452" s="1" t="s">
        <v>38</v>
      </c>
      <c r="E452" s="1" t="s">
        <v>39</v>
      </c>
      <c r="F452" s="1" t="s">
        <v>40</v>
      </c>
      <c r="G452" s="1" t="s">
        <v>2166</v>
      </c>
      <c r="H452" s="2" t="s">
        <v>42</v>
      </c>
      <c r="I452" s="2">
        <v>36149</v>
      </c>
      <c r="J452" s="7">
        <f t="shared" ca="1" si="13"/>
        <v>24.873972602739727</v>
      </c>
      <c r="K452" s="1" t="s">
        <v>42</v>
      </c>
      <c r="L452" s="1" t="s">
        <v>211</v>
      </c>
      <c r="M452" s="2">
        <v>45091</v>
      </c>
      <c r="N452" s="1">
        <v>2</v>
      </c>
      <c r="O452" s="2">
        <v>45091</v>
      </c>
      <c r="P452" s="1" t="s">
        <v>335</v>
      </c>
      <c r="Q452" s="1" t="s">
        <v>336</v>
      </c>
      <c r="R452" s="1" t="s">
        <v>60</v>
      </c>
      <c r="S452" s="1" t="s">
        <v>47</v>
      </c>
      <c r="T452" s="1">
        <v>8</v>
      </c>
      <c r="U452" s="2">
        <v>45091</v>
      </c>
      <c r="V452" s="2">
        <v>45456</v>
      </c>
      <c r="W452" s="2" t="s">
        <v>42</v>
      </c>
      <c r="X452" s="1" t="s">
        <v>42</v>
      </c>
      <c r="Y452" s="2" t="s">
        <v>42</v>
      </c>
      <c r="Z452" s="1" t="s">
        <v>2167</v>
      </c>
      <c r="AA452" s="1" t="s">
        <v>2168</v>
      </c>
      <c r="AB452" s="1" t="s">
        <v>2169</v>
      </c>
      <c r="AC452" s="1" t="s">
        <v>129</v>
      </c>
      <c r="AD452" s="1">
        <v>7034664628</v>
      </c>
      <c r="AE452" s="1" t="s">
        <v>443</v>
      </c>
      <c r="AF452" s="1" t="s">
        <v>66</v>
      </c>
      <c r="AG452" s="2" t="s">
        <v>42</v>
      </c>
      <c r="AH452" s="1"/>
      <c r="AI452" s="1" t="s">
        <v>42</v>
      </c>
      <c r="AJ452" s="1"/>
      <c r="AK452" s="2" t="s">
        <v>42</v>
      </c>
      <c r="AL452" s="1" t="s">
        <v>3507</v>
      </c>
    </row>
    <row r="453" spans="1:38" ht="20.100000000000001" customHeight="1" x14ac:dyDescent="0.2">
      <c r="A453" s="3">
        <f t="shared" si="14"/>
        <v>450</v>
      </c>
      <c r="B453" s="1" t="s">
        <v>2170</v>
      </c>
      <c r="C453" s="1" t="s">
        <v>2171</v>
      </c>
      <c r="D453" s="1" t="s">
        <v>38</v>
      </c>
      <c r="E453" s="1" t="s">
        <v>39</v>
      </c>
      <c r="F453" s="1" t="s">
        <v>40</v>
      </c>
      <c r="G453" s="1" t="s">
        <v>2172</v>
      </c>
      <c r="H453" s="2" t="s">
        <v>42</v>
      </c>
      <c r="I453" s="2">
        <v>32513</v>
      </c>
      <c r="J453" s="7">
        <f t="shared" ref="J453:J516" ca="1" si="15">($H$1-I453)/365</f>
        <v>34.835616438356162</v>
      </c>
      <c r="K453" s="1" t="s">
        <v>42</v>
      </c>
      <c r="L453" s="1" t="s">
        <v>211</v>
      </c>
      <c r="M453" s="2">
        <v>45091</v>
      </c>
      <c r="N453" s="1">
        <v>2</v>
      </c>
      <c r="O453" s="2">
        <v>45091</v>
      </c>
      <c r="P453" s="1" t="s">
        <v>335</v>
      </c>
      <c r="Q453" s="1" t="s">
        <v>336</v>
      </c>
      <c r="R453" s="1" t="s">
        <v>60</v>
      </c>
      <c r="S453" s="1" t="s">
        <v>47</v>
      </c>
      <c r="T453" s="1">
        <v>8</v>
      </c>
      <c r="U453" s="2">
        <v>45091</v>
      </c>
      <c r="V453" s="2">
        <v>45456</v>
      </c>
      <c r="W453" s="2" t="s">
        <v>42</v>
      </c>
      <c r="X453" s="1" t="s">
        <v>42</v>
      </c>
      <c r="Y453" s="2" t="s">
        <v>42</v>
      </c>
      <c r="Z453" s="1" t="s">
        <v>2173</v>
      </c>
      <c r="AA453" s="1" t="s">
        <v>42</v>
      </c>
      <c r="AB453" s="1" t="s">
        <v>2174</v>
      </c>
      <c r="AC453" s="1" t="s">
        <v>129</v>
      </c>
      <c r="AD453" s="1">
        <v>7034664628</v>
      </c>
      <c r="AE453" s="1" t="s">
        <v>443</v>
      </c>
      <c r="AF453" s="1" t="s">
        <v>66</v>
      </c>
      <c r="AG453" s="2" t="s">
        <v>42</v>
      </c>
      <c r="AH453" s="1"/>
      <c r="AI453" s="1" t="s">
        <v>42</v>
      </c>
      <c r="AJ453" s="1"/>
      <c r="AK453" s="2" t="s">
        <v>42</v>
      </c>
      <c r="AL453" s="1" t="s">
        <v>3507</v>
      </c>
    </row>
    <row r="454" spans="1:38" ht="20.100000000000001" customHeight="1" x14ac:dyDescent="0.2">
      <c r="A454" s="3">
        <f t="shared" si="14"/>
        <v>451</v>
      </c>
      <c r="B454" s="1" t="s">
        <v>2175</v>
      </c>
      <c r="C454" s="1" t="s">
        <v>2176</v>
      </c>
      <c r="D454" s="1" t="s">
        <v>38</v>
      </c>
      <c r="E454" s="1" t="s">
        <v>54</v>
      </c>
      <c r="F454" s="1" t="s">
        <v>55</v>
      </c>
      <c r="G454" s="1" t="s">
        <v>2177</v>
      </c>
      <c r="H454" s="2">
        <v>45327</v>
      </c>
      <c r="I454" s="2">
        <v>36418</v>
      </c>
      <c r="J454" s="7">
        <f t="shared" ca="1" si="15"/>
        <v>24.136986301369863</v>
      </c>
      <c r="K454" s="1" t="s">
        <v>57</v>
      </c>
      <c r="L454" s="1" t="s">
        <v>57</v>
      </c>
      <c r="M454" s="2">
        <v>45072</v>
      </c>
      <c r="N454" s="1">
        <v>2</v>
      </c>
      <c r="O454" s="2" t="s">
        <v>42</v>
      </c>
      <c r="P454" s="1" t="s">
        <v>44</v>
      </c>
      <c r="Q454" s="1" t="s">
        <v>2143</v>
      </c>
      <c r="R454" s="1" t="s">
        <v>60</v>
      </c>
      <c r="S454" s="1" t="s">
        <v>47</v>
      </c>
      <c r="T454" s="1">
        <v>8</v>
      </c>
      <c r="U454" s="2">
        <v>45072</v>
      </c>
      <c r="V454" s="2" t="s">
        <v>42</v>
      </c>
      <c r="W454" s="2" t="s">
        <v>42</v>
      </c>
      <c r="X454" s="1" t="s">
        <v>42</v>
      </c>
      <c r="Y454" s="2" t="s">
        <v>42</v>
      </c>
      <c r="Z454" s="1" t="s">
        <v>2178</v>
      </c>
      <c r="AA454" s="1" t="s">
        <v>2179</v>
      </c>
      <c r="AB454" s="1" t="s">
        <v>2180</v>
      </c>
      <c r="AC454" s="1" t="s">
        <v>50</v>
      </c>
      <c r="AD454" s="1">
        <v>7034664628</v>
      </c>
      <c r="AE454" s="1" t="s">
        <v>443</v>
      </c>
      <c r="AF454" s="1" t="s">
        <v>66</v>
      </c>
      <c r="AG454" s="2" t="s">
        <v>42</v>
      </c>
      <c r="AH454" s="1"/>
      <c r="AI454" s="1" t="s">
        <v>42</v>
      </c>
      <c r="AJ454" s="1"/>
      <c r="AK454" s="2" t="s">
        <v>42</v>
      </c>
      <c r="AL454" s="1" t="s">
        <v>3507</v>
      </c>
    </row>
    <row r="455" spans="1:38" ht="20.100000000000001" customHeight="1" x14ac:dyDescent="0.2">
      <c r="A455" s="3">
        <f t="shared" si="14"/>
        <v>452</v>
      </c>
      <c r="B455" s="1" t="s">
        <v>2181</v>
      </c>
      <c r="C455" s="1" t="s">
        <v>2182</v>
      </c>
      <c r="D455" s="1" t="s">
        <v>38</v>
      </c>
      <c r="E455" s="1" t="s">
        <v>54</v>
      </c>
      <c r="F455" s="1" t="s">
        <v>55</v>
      </c>
      <c r="G455" s="1" t="s">
        <v>2183</v>
      </c>
      <c r="H455" s="2">
        <v>45327</v>
      </c>
      <c r="I455" s="2">
        <v>37257</v>
      </c>
      <c r="J455" s="7">
        <f t="shared" ca="1" si="15"/>
        <v>21.838356164383562</v>
      </c>
      <c r="K455" s="1" t="s">
        <v>57</v>
      </c>
      <c r="L455" s="1" t="s">
        <v>57</v>
      </c>
      <c r="M455" s="2">
        <v>45072</v>
      </c>
      <c r="N455" s="1">
        <v>2</v>
      </c>
      <c r="O455" s="2" t="s">
        <v>42</v>
      </c>
      <c r="P455" s="1" t="s">
        <v>44</v>
      </c>
      <c r="Q455" s="1" t="s">
        <v>2143</v>
      </c>
      <c r="R455" s="1" t="s">
        <v>60</v>
      </c>
      <c r="S455" s="1" t="s">
        <v>47</v>
      </c>
      <c r="T455" s="1">
        <v>8</v>
      </c>
      <c r="U455" s="2">
        <v>45072</v>
      </c>
      <c r="V455" s="2" t="s">
        <v>42</v>
      </c>
      <c r="W455" s="2" t="s">
        <v>42</v>
      </c>
      <c r="X455" s="1" t="s">
        <v>42</v>
      </c>
      <c r="Y455" s="2" t="s">
        <v>42</v>
      </c>
      <c r="Z455" s="1" t="s">
        <v>2184</v>
      </c>
      <c r="AA455" s="1" t="s">
        <v>2185</v>
      </c>
      <c r="AB455" s="1" t="s">
        <v>2186</v>
      </c>
      <c r="AC455" s="1" t="s">
        <v>50</v>
      </c>
      <c r="AD455" s="1">
        <v>7034664628</v>
      </c>
      <c r="AE455" s="1" t="s">
        <v>443</v>
      </c>
      <c r="AF455" s="1" t="s">
        <v>66</v>
      </c>
      <c r="AG455" s="2" t="s">
        <v>42</v>
      </c>
      <c r="AH455" s="1"/>
      <c r="AI455" s="1" t="s">
        <v>42</v>
      </c>
      <c r="AJ455" s="1"/>
      <c r="AK455" s="2" t="s">
        <v>42</v>
      </c>
      <c r="AL455" s="1" t="s">
        <v>3507</v>
      </c>
    </row>
    <row r="456" spans="1:38" ht="20.100000000000001" customHeight="1" x14ac:dyDescent="0.2">
      <c r="A456" s="3">
        <f t="shared" si="14"/>
        <v>453</v>
      </c>
      <c r="B456" s="1" t="s">
        <v>2187</v>
      </c>
      <c r="C456" s="1" t="s">
        <v>2188</v>
      </c>
      <c r="D456" s="1" t="s">
        <v>38</v>
      </c>
      <c r="E456" s="1" t="s">
        <v>54</v>
      </c>
      <c r="F456" s="1" t="s">
        <v>55</v>
      </c>
      <c r="G456" s="1" t="s">
        <v>2189</v>
      </c>
      <c r="H456" s="2">
        <v>45336</v>
      </c>
      <c r="I456" s="2">
        <v>32241</v>
      </c>
      <c r="J456" s="7">
        <f t="shared" ca="1" si="15"/>
        <v>35.580821917808223</v>
      </c>
      <c r="K456" s="1" t="s">
        <v>134</v>
      </c>
      <c r="L456" s="1" t="s">
        <v>134</v>
      </c>
      <c r="M456" s="2">
        <v>45092</v>
      </c>
      <c r="N456" s="1">
        <v>2</v>
      </c>
      <c r="O456" s="2" t="s">
        <v>42</v>
      </c>
      <c r="P456" s="1" t="s">
        <v>44</v>
      </c>
      <c r="Q456" s="1" t="s">
        <v>59</v>
      </c>
      <c r="R456" s="1" t="s">
        <v>60</v>
      </c>
      <c r="S456" s="1" t="s">
        <v>47</v>
      </c>
      <c r="T456" s="1">
        <v>8</v>
      </c>
      <c r="U456" s="2" t="s">
        <v>42</v>
      </c>
      <c r="V456" s="2" t="s">
        <v>42</v>
      </c>
      <c r="W456" s="2" t="s">
        <v>42</v>
      </c>
      <c r="X456" s="1" t="s">
        <v>42</v>
      </c>
      <c r="Y456" s="2" t="s">
        <v>42</v>
      </c>
      <c r="Z456" s="1" t="s">
        <v>42</v>
      </c>
      <c r="AA456" s="1" t="s">
        <v>42</v>
      </c>
      <c r="AB456" s="1" t="s">
        <v>2190</v>
      </c>
      <c r="AC456" s="1" t="s">
        <v>266</v>
      </c>
      <c r="AD456" s="1">
        <v>7014477116</v>
      </c>
      <c r="AE456" s="1" t="s">
        <v>65</v>
      </c>
      <c r="AF456" s="1" t="s">
        <v>66</v>
      </c>
      <c r="AG456" s="2" t="s">
        <v>42</v>
      </c>
      <c r="AH456" s="1"/>
      <c r="AI456" s="1" t="s">
        <v>42</v>
      </c>
      <c r="AJ456" s="1"/>
      <c r="AK456" s="2" t="s">
        <v>42</v>
      </c>
      <c r="AL456" s="1" t="s">
        <v>3507</v>
      </c>
    </row>
    <row r="457" spans="1:38" ht="20.100000000000001" customHeight="1" x14ac:dyDescent="0.2">
      <c r="A457" s="3">
        <f t="shared" si="14"/>
        <v>454</v>
      </c>
      <c r="B457" s="1" t="s">
        <v>2191</v>
      </c>
      <c r="C457" s="1" t="s">
        <v>2192</v>
      </c>
      <c r="D457" s="1" t="s">
        <v>38</v>
      </c>
      <c r="E457" s="1" t="s">
        <v>69</v>
      </c>
      <c r="F457" s="1" t="s">
        <v>70</v>
      </c>
      <c r="G457" s="1" t="s">
        <v>2193</v>
      </c>
      <c r="H457" s="2" t="s">
        <v>42</v>
      </c>
      <c r="I457" s="2">
        <v>35252</v>
      </c>
      <c r="J457" s="7">
        <f t="shared" ca="1" si="15"/>
        <v>27.331506849315069</v>
      </c>
      <c r="K457" s="1" t="s">
        <v>134</v>
      </c>
      <c r="L457" s="1" t="s">
        <v>134</v>
      </c>
      <c r="M457" s="2">
        <v>45077</v>
      </c>
      <c r="N457" s="1">
        <v>2</v>
      </c>
      <c r="O457" s="2" t="s">
        <v>42</v>
      </c>
      <c r="P457" s="1" t="s">
        <v>335</v>
      </c>
      <c r="Q457" s="1" t="s">
        <v>166</v>
      </c>
      <c r="R457" s="1" t="s">
        <v>60</v>
      </c>
      <c r="S457" s="1" t="s">
        <v>156</v>
      </c>
      <c r="T457" s="1">
        <v>8</v>
      </c>
      <c r="U457" s="2" t="s">
        <v>42</v>
      </c>
      <c r="V457" s="2" t="s">
        <v>42</v>
      </c>
      <c r="W457" s="2" t="s">
        <v>42</v>
      </c>
      <c r="X457" s="1" t="s">
        <v>42</v>
      </c>
      <c r="Y457" s="2" t="s">
        <v>42</v>
      </c>
      <c r="Z457" s="1" t="s">
        <v>42</v>
      </c>
      <c r="AA457" s="1" t="s">
        <v>42</v>
      </c>
      <c r="AB457" s="1" t="s">
        <v>2194</v>
      </c>
      <c r="AC457" s="1" t="s">
        <v>50</v>
      </c>
      <c r="AD457" s="1">
        <v>7034664628</v>
      </c>
      <c r="AE457" s="1" t="s">
        <v>443</v>
      </c>
      <c r="AF457" s="1" t="s">
        <v>66</v>
      </c>
      <c r="AG457" s="2" t="s">
        <v>42</v>
      </c>
      <c r="AH457" s="1"/>
      <c r="AI457" s="1" t="s">
        <v>42</v>
      </c>
      <c r="AJ457" s="1"/>
      <c r="AK457" s="2" t="s">
        <v>42</v>
      </c>
      <c r="AL457" s="1" t="s">
        <v>3507</v>
      </c>
    </row>
    <row r="458" spans="1:38" ht="20.100000000000001" customHeight="1" x14ac:dyDescent="0.2">
      <c r="A458" s="3">
        <f t="shared" si="14"/>
        <v>455</v>
      </c>
      <c r="B458" s="1" t="s">
        <v>2195</v>
      </c>
      <c r="C458" s="1" t="s">
        <v>2196</v>
      </c>
      <c r="D458" s="1" t="s">
        <v>38</v>
      </c>
      <c r="E458" s="1" t="s">
        <v>69</v>
      </c>
      <c r="F458" s="1" t="s">
        <v>70</v>
      </c>
      <c r="G458" s="1" t="s">
        <v>2197</v>
      </c>
      <c r="H458" s="2">
        <v>45249</v>
      </c>
      <c r="I458" s="2" t="s">
        <v>42</v>
      </c>
      <c r="J458" s="7"/>
      <c r="K458" s="1" t="s">
        <v>1067</v>
      </c>
      <c r="L458" s="1" t="s">
        <v>1067</v>
      </c>
      <c r="M458" s="2">
        <v>45079</v>
      </c>
      <c r="N458" s="1">
        <v>2</v>
      </c>
      <c r="O458" s="2" t="s">
        <v>42</v>
      </c>
      <c r="P458" s="1" t="s">
        <v>44</v>
      </c>
      <c r="Q458" s="1" t="s">
        <v>2143</v>
      </c>
      <c r="R458" s="1" t="s">
        <v>60</v>
      </c>
      <c r="S458" s="1" t="s">
        <v>47</v>
      </c>
      <c r="T458" s="1">
        <v>8</v>
      </c>
      <c r="U458" s="2" t="s">
        <v>42</v>
      </c>
      <c r="V458" s="2" t="s">
        <v>42</v>
      </c>
      <c r="W458" s="2" t="s">
        <v>42</v>
      </c>
      <c r="X458" s="1" t="s">
        <v>42</v>
      </c>
      <c r="Y458" s="2" t="s">
        <v>42</v>
      </c>
      <c r="Z458" s="1" t="s">
        <v>2198</v>
      </c>
      <c r="AA458" s="1" t="s">
        <v>42</v>
      </c>
      <c r="AB458" s="1" t="s">
        <v>2199</v>
      </c>
      <c r="AC458" s="1" t="s">
        <v>50</v>
      </c>
      <c r="AD458" s="1">
        <v>7034664628</v>
      </c>
      <c r="AE458" s="1" t="s">
        <v>443</v>
      </c>
      <c r="AF458" s="1" t="s">
        <v>66</v>
      </c>
      <c r="AG458" s="2" t="s">
        <v>42</v>
      </c>
      <c r="AH458" s="1"/>
      <c r="AI458" s="1" t="s">
        <v>42</v>
      </c>
      <c r="AJ458" s="1"/>
      <c r="AK458" s="2" t="s">
        <v>42</v>
      </c>
      <c r="AL458" s="1" t="s">
        <v>3507</v>
      </c>
    </row>
    <row r="459" spans="1:38" ht="20.100000000000001" customHeight="1" x14ac:dyDescent="0.2">
      <c r="A459" s="3">
        <f t="shared" si="14"/>
        <v>456</v>
      </c>
      <c r="B459" s="1" t="s">
        <v>2200</v>
      </c>
      <c r="C459" s="1" t="s">
        <v>2201</v>
      </c>
      <c r="D459" s="1" t="s">
        <v>38</v>
      </c>
      <c r="E459" s="1" t="s">
        <v>69</v>
      </c>
      <c r="F459" s="1" t="s">
        <v>70</v>
      </c>
      <c r="G459" s="1" t="s">
        <v>2202</v>
      </c>
      <c r="H459" s="2" t="s">
        <v>42</v>
      </c>
      <c r="I459" s="2">
        <v>36133</v>
      </c>
      <c r="J459" s="7">
        <f t="shared" ca="1" si="15"/>
        <v>24.917808219178081</v>
      </c>
      <c r="K459" s="1" t="s">
        <v>134</v>
      </c>
      <c r="L459" s="1" t="s">
        <v>42</v>
      </c>
      <c r="M459" s="2">
        <v>45072</v>
      </c>
      <c r="N459" s="1">
        <v>2</v>
      </c>
      <c r="O459" s="2" t="s">
        <v>42</v>
      </c>
      <c r="P459" s="1" t="s">
        <v>44</v>
      </c>
      <c r="Q459" s="1" t="s">
        <v>899</v>
      </c>
      <c r="R459" s="1" t="s">
        <v>900</v>
      </c>
      <c r="S459" s="1" t="s">
        <v>156</v>
      </c>
      <c r="T459" s="1">
        <v>8</v>
      </c>
      <c r="U459" s="2" t="s">
        <v>42</v>
      </c>
      <c r="V459" s="2" t="s">
        <v>42</v>
      </c>
      <c r="W459" s="2" t="s">
        <v>42</v>
      </c>
      <c r="X459" s="1" t="s">
        <v>42</v>
      </c>
      <c r="Y459" s="2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/>
      <c r="AE459" s="1" t="s">
        <v>788</v>
      </c>
      <c r="AF459" s="1" t="s">
        <v>904</v>
      </c>
      <c r="AG459" s="2" t="s">
        <v>42</v>
      </c>
      <c r="AH459" s="1"/>
      <c r="AI459" s="1" t="s">
        <v>42</v>
      </c>
      <c r="AJ459" s="1"/>
      <c r="AK459" s="2" t="s">
        <v>42</v>
      </c>
      <c r="AL459" s="1" t="s">
        <v>3507</v>
      </c>
    </row>
    <row r="460" spans="1:38" ht="20.100000000000001" customHeight="1" x14ac:dyDescent="0.2">
      <c r="A460" s="3">
        <f t="shared" si="14"/>
        <v>457</v>
      </c>
      <c r="B460" s="1" t="s">
        <v>2203</v>
      </c>
      <c r="C460" s="1" t="s">
        <v>2204</v>
      </c>
      <c r="D460" s="1" t="s">
        <v>38</v>
      </c>
      <c r="E460" s="1" t="s">
        <v>811</v>
      </c>
      <c r="F460" s="1" t="s">
        <v>55</v>
      </c>
      <c r="G460" s="1" t="s">
        <v>2205</v>
      </c>
      <c r="H460" s="2" t="s">
        <v>42</v>
      </c>
      <c r="I460" s="2">
        <v>28888</v>
      </c>
      <c r="J460" s="7">
        <f t="shared" ca="1" si="15"/>
        <v>44.767123287671232</v>
      </c>
      <c r="K460" s="1" t="s">
        <v>2206</v>
      </c>
      <c r="L460" s="1" t="s">
        <v>2207</v>
      </c>
      <c r="M460" s="2">
        <v>44996</v>
      </c>
      <c r="N460" s="1">
        <v>2</v>
      </c>
      <c r="O460" s="2" t="s">
        <v>42</v>
      </c>
      <c r="P460" s="1" t="s">
        <v>221</v>
      </c>
      <c r="Q460" s="1" t="s">
        <v>222</v>
      </c>
      <c r="R460" s="1" t="s">
        <v>223</v>
      </c>
      <c r="S460" s="1" t="s">
        <v>754</v>
      </c>
      <c r="T460" s="1" t="s">
        <v>42</v>
      </c>
      <c r="U460" s="2">
        <v>44996</v>
      </c>
      <c r="V460" s="2" t="s">
        <v>42</v>
      </c>
      <c r="W460" s="2" t="s">
        <v>42</v>
      </c>
      <c r="X460" s="1" t="s">
        <v>42</v>
      </c>
      <c r="Y460" s="2" t="s">
        <v>42</v>
      </c>
      <c r="Z460" s="1" t="s">
        <v>2208</v>
      </c>
      <c r="AA460" s="1" t="s">
        <v>42</v>
      </c>
      <c r="AB460" s="1" t="s">
        <v>2209</v>
      </c>
      <c r="AC460" s="1" t="s">
        <v>129</v>
      </c>
      <c r="AD460" s="1"/>
      <c r="AE460" s="1" t="s">
        <v>788</v>
      </c>
      <c r="AF460" s="1" t="s">
        <v>227</v>
      </c>
      <c r="AG460" s="2" t="s">
        <v>42</v>
      </c>
      <c r="AH460" s="1" t="s">
        <v>42</v>
      </c>
      <c r="AI460" s="1" t="s">
        <v>42</v>
      </c>
      <c r="AJ460" s="1"/>
      <c r="AK460" s="2" t="s">
        <v>42</v>
      </c>
      <c r="AL460" s="1" t="s">
        <v>3507</v>
      </c>
    </row>
    <row r="461" spans="1:38" ht="20.100000000000001" customHeight="1" x14ac:dyDescent="0.2">
      <c r="A461" s="3">
        <f t="shared" si="14"/>
        <v>458</v>
      </c>
      <c r="B461" s="1" t="s">
        <v>3441</v>
      </c>
      <c r="C461" s="1" t="s">
        <v>3442</v>
      </c>
      <c r="D461" s="1" t="s">
        <v>121</v>
      </c>
      <c r="E461" s="1" t="s">
        <v>39</v>
      </c>
      <c r="F461" s="1" t="s">
        <v>40</v>
      </c>
      <c r="G461" s="1" t="s">
        <v>3443</v>
      </c>
      <c r="H461" s="2">
        <v>46475</v>
      </c>
      <c r="I461" s="2">
        <v>35411</v>
      </c>
      <c r="J461" s="7">
        <f t="shared" ca="1" si="15"/>
        <v>26.895890410958906</v>
      </c>
      <c r="K461" s="1" t="s">
        <v>42</v>
      </c>
      <c r="L461" s="1" t="s">
        <v>1415</v>
      </c>
      <c r="M461" s="2">
        <v>45099</v>
      </c>
      <c r="N461" s="1">
        <v>2</v>
      </c>
      <c r="O461" s="2" t="s">
        <v>42</v>
      </c>
      <c r="P461" s="1" t="s">
        <v>44</v>
      </c>
      <c r="Q461" s="1" t="s">
        <v>408</v>
      </c>
      <c r="R461" s="1" t="s">
        <v>124</v>
      </c>
      <c r="S461" s="1" t="s">
        <v>125</v>
      </c>
      <c r="T461" s="1">
        <v>8</v>
      </c>
      <c r="U461" s="2">
        <v>45099</v>
      </c>
      <c r="V461" s="2">
        <v>45464</v>
      </c>
      <c r="W461" s="2" t="s">
        <v>42</v>
      </c>
      <c r="X461" s="1" t="s">
        <v>42</v>
      </c>
      <c r="Y461" s="2" t="s">
        <v>42</v>
      </c>
      <c r="Z461" s="1" t="s">
        <v>3444</v>
      </c>
      <c r="AA461" s="1" t="s">
        <v>3445</v>
      </c>
      <c r="AB461" s="1" t="s">
        <v>3446</v>
      </c>
      <c r="AC461" s="1" t="s">
        <v>617</v>
      </c>
      <c r="AD461" s="1">
        <v>7015572543</v>
      </c>
      <c r="AE461" s="1" t="s">
        <v>3506</v>
      </c>
      <c r="AF461" s="1"/>
      <c r="AG461" s="2" t="s">
        <v>42</v>
      </c>
      <c r="AH461" s="1" t="s">
        <v>3447</v>
      </c>
      <c r="AI461" s="1" t="s">
        <v>42</v>
      </c>
      <c r="AJ461" s="1"/>
      <c r="AK461" s="2" t="s">
        <v>42</v>
      </c>
      <c r="AL461" s="1" t="s">
        <v>2806</v>
      </c>
    </row>
    <row r="462" spans="1:38" ht="20.100000000000001" customHeight="1" x14ac:dyDescent="0.2">
      <c r="A462" s="3">
        <f t="shared" si="14"/>
        <v>459</v>
      </c>
      <c r="B462" s="1" t="s">
        <v>2210</v>
      </c>
      <c r="C462" s="1" t="s">
        <v>2211</v>
      </c>
      <c r="D462" s="1" t="s">
        <v>121</v>
      </c>
      <c r="E462" s="1" t="s">
        <v>39</v>
      </c>
      <c r="F462" s="1" t="s">
        <v>40</v>
      </c>
      <c r="G462" s="1" t="s">
        <v>2212</v>
      </c>
      <c r="H462" s="2">
        <v>45412</v>
      </c>
      <c r="I462" s="2">
        <v>34573</v>
      </c>
      <c r="J462" s="7">
        <f t="shared" ca="1" si="15"/>
        <v>29.19178082191781</v>
      </c>
      <c r="K462" s="1" t="s">
        <v>42</v>
      </c>
      <c r="L462" s="1" t="s">
        <v>2213</v>
      </c>
      <c r="M462" s="2">
        <v>45099</v>
      </c>
      <c r="N462" s="1">
        <v>2</v>
      </c>
      <c r="O462" s="2" t="s">
        <v>42</v>
      </c>
      <c r="P462" s="1" t="s">
        <v>44</v>
      </c>
      <c r="Q462" s="1" t="s">
        <v>45</v>
      </c>
      <c r="R462" s="1" t="s">
        <v>124</v>
      </c>
      <c r="S462" s="1" t="s">
        <v>125</v>
      </c>
      <c r="T462" s="1">
        <v>8</v>
      </c>
      <c r="U462" s="2">
        <v>45099</v>
      </c>
      <c r="V462" s="2">
        <v>45464</v>
      </c>
      <c r="W462" s="2" t="s">
        <v>42</v>
      </c>
      <c r="X462" s="1" t="s">
        <v>42</v>
      </c>
      <c r="Y462" s="2" t="s">
        <v>42</v>
      </c>
      <c r="Z462" s="1" t="s">
        <v>2214</v>
      </c>
      <c r="AA462" s="1" t="s">
        <v>2215</v>
      </c>
      <c r="AB462" s="1" t="s">
        <v>2216</v>
      </c>
      <c r="AC462" s="1" t="s">
        <v>50</v>
      </c>
      <c r="AD462" s="1">
        <v>7014477116</v>
      </c>
      <c r="AE462" s="1" t="s">
        <v>65</v>
      </c>
      <c r="AF462" s="1"/>
      <c r="AG462" s="2" t="s">
        <v>42</v>
      </c>
      <c r="AH462" s="1"/>
      <c r="AI462" s="1" t="s">
        <v>42</v>
      </c>
      <c r="AJ462" s="1"/>
      <c r="AK462" s="2" t="s">
        <v>42</v>
      </c>
      <c r="AL462" s="1" t="s">
        <v>3507</v>
      </c>
    </row>
    <row r="463" spans="1:38" ht="20.100000000000001" customHeight="1" x14ac:dyDescent="0.2">
      <c r="A463" s="3">
        <f t="shared" si="14"/>
        <v>460</v>
      </c>
      <c r="B463" s="1" t="s">
        <v>2217</v>
      </c>
      <c r="C463" s="1" t="s">
        <v>2218</v>
      </c>
      <c r="D463" s="1" t="s">
        <v>121</v>
      </c>
      <c r="E463" s="1" t="s">
        <v>39</v>
      </c>
      <c r="F463" s="1" t="s">
        <v>40</v>
      </c>
      <c r="G463" s="1" t="s">
        <v>2219</v>
      </c>
      <c r="H463" s="2">
        <v>45251</v>
      </c>
      <c r="I463" s="2">
        <v>35065</v>
      </c>
      <c r="J463" s="7">
        <f t="shared" ca="1" si="15"/>
        <v>27.843835616438355</v>
      </c>
      <c r="K463" s="1" t="s">
        <v>42</v>
      </c>
      <c r="L463" s="1" t="s">
        <v>42</v>
      </c>
      <c r="M463" s="2">
        <v>45099</v>
      </c>
      <c r="N463" s="1">
        <v>2</v>
      </c>
      <c r="O463" s="2" t="s">
        <v>42</v>
      </c>
      <c r="P463" s="1" t="s">
        <v>44</v>
      </c>
      <c r="Q463" s="1" t="s">
        <v>408</v>
      </c>
      <c r="R463" s="1" t="s">
        <v>124</v>
      </c>
      <c r="S463" s="1" t="s">
        <v>125</v>
      </c>
      <c r="T463" s="1">
        <v>8</v>
      </c>
      <c r="U463" s="2">
        <v>45099</v>
      </c>
      <c r="V463" s="2">
        <v>45464</v>
      </c>
      <c r="W463" s="2" t="s">
        <v>42</v>
      </c>
      <c r="X463" s="1" t="s">
        <v>42</v>
      </c>
      <c r="Y463" s="2" t="s">
        <v>42</v>
      </c>
      <c r="Z463" s="1" t="s">
        <v>2220</v>
      </c>
      <c r="AA463" s="1" t="s">
        <v>2221</v>
      </c>
      <c r="AB463" s="1" t="s">
        <v>2222</v>
      </c>
      <c r="AC463" s="1" t="s">
        <v>129</v>
      </c>
      <c r="AD463" s="1">
        <v>7014477116</v>
      </c>
      <c r="AE463" s="1" t="s">
        <v>65</v>
      </c>
      <c r="AF463" s="1"/>
      <c r="AG463" s="2" t="s">
        <v>42</v>
      </c>
      <c r="AH463" s="1"/>
      <c r="AI463" s="1" t="s">
        <v>42</v>
      </c>
      <c r="AJ463" s="1"/>
      <c r="AK463" s="2" t="s">
        <v>42</v>
      </c>
      <c r="AL463" s="1" t="s">
        <v>3507</v>
      </c>
    </row>
    <row r="464" spans="1:38" ht="20.100000000000001" customHeight="1" x14ac:dyDescent="0.2">
      <c r="A464" s="3">
        <f t="shared" si="14"/>
        <v>461</v>
      </c>
      <c r="B464" s="1" t="s">
        <v>2223</v>
      </c>
      <c r="C464" s="1" t="s">
        <v>2224</v>
      </c>
      <c r="D464" s="1" t="s">
        <v>121</v>
      </c>
      <c r="E464" s="1" t="s">
        <v>69</v>
      </c>
      <c r="F464" s="1" t="s">
        <v>70</v>
      </c>
      <c r="G464" s="1" t="s">
        <v>42</v>
      </c>
      <c r="H464" s="2" t="s">
        <v>42</v>
      </c>
      <c r="I464" s="2" t="s">
        <v>42</v>
      </c>
      <c r="J464" s="7"/>
      <c r="K464" s="1" t="s">
        <v>42</v>
      </c>
      <c r="L464" s="1" t="s">
        <v>1740</v>
      </c>
      <c r="M464" s="2">
        <v>45077</v>
      </c>
      <c r="N464" s="1">
        <v>2</v>
      </c>
      <c r="O464" s="2" t="s">
        <v>42</v>
      </c>
      <c r="P464" s="1" t="s">
        <v>44</v>
      </c>
      <c r="Q464" s="1" t="s">
        <v>178</v>
      </c>
      <c r="R464" s="1" t="s">
        <v>124</v>
      </c>
      <c r="S464" s="1" t="s">
        <v>125</v>
      </c>
      <c r="T464" s="1" t="s">
        <v>42</v>
      </c>
      <c r="U464" s="2" t="s">
        <v>42</v>
      </c>
      <c r="V464" s="2" t="s">
        <v>42</v>
      </c>
      <c r="W464" s="2" t="s">
        <v>42</v>
      </c>
      <c r="X464" s="1" t="s">
        <v>42</v>
      </c>
      <c r="Y464" s="2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/>
      <c r="AE464" s="1" t="s">
        <v>788</v>
      </c>
      <c r="AF464" s="1"/>
      <c r="AG464" s="2" t="s">
        <v>42</v>
      </c>
      <c r="AH464" s="1"/>
      <c r="AI464" s="1" t="s">
        <v>42</v>
      </c>
      <c r="AJ464" s="1"/>
      <c r="AK464" s="2" t="s">
        <v>42</v>
      </c>
      <c r="AL464" s="1" t="s">
        <v>3507</v>
      </c>
    </row>
    <row r="465" spans="1:38" ht="20.100000000000001" customHeight="1" x14ac:dyDescent="0.2">
      <c r="A465" s="3">
        <f t="shared" si="14"/>
        <v>462</v>
      </c>
      <c r="B465" s="1" t="s">
        <v>2225</v>
      </c>
      <c r="C465" s="1" t="s">
        <v>2226</v>
      </c>
      <c r="D465" s="1" t="s">
        <v>38</v>
      </c>
      <c r="E465" s="1" t="s">
        <v>69</v>
      </c>
      <c r="F465" s="1" t="s">
        <v>70</v>
      </c>
      <c r="G465" s="1" t="s">
        <v>2227</v>
      </c>
      <c r="H465" s="2">
        <v>45912</v>
      </c>
      <c r="I465" s="2">
        <v>31413</v>
      </c>
      <c r="J465" s="7">
        <f t="shared" ca="1" si="15"/>
        <v>37.849315068493148</v>
      </c>
      <c r="K465" s="1" t="s">
        <v>195</v>
      </c>
      <c r="L465" s="1" t="s">
        <v>2228</v>
      </c>
      <c r="M465" s="2">
        <v>45094</v>
      </c>
      <c r="N465" s="1">
        <v>2</v>
      </c>
      <c r="O465" s="2" t="s">
        <v>42</v>
      </c>
      <c r="P465" s="1" t="s">
        <v>44</v>
      </c>
      <c r="Q465" s="1" t="s">
        <v>45</v>
      </c>
      <c r="R465" s="1" t="s">
        <v>708</v>
      </c>
      <c r="S465" s="1" t="s">
        <v>47</v>
      </c>
      <c r="T465" s="1">
        <v>12</v>
      </c>
      <c r="U465" s="2">
        <v>45094</v>
      </c>
      <c r="V465" s="2">
        <v>45459</v>
      </c>
      <c r="W465" s="2" t="s">
        <v>42</v>
      </c>
      <c r="X465" s="1" t="s">
        <v>42</v>
      </c>
      <c r="Y465" s="2" t="s">
        <v>42</v>
      </c>
      <c r="Z465" s="1" t="s">
        <v>2229</v>
      </c>
      <c r="AA465" s="1" t="s">
        <v>2230</v>
      </c>
      <c r="AB465" s="1" t="s">
        <v>2231</v>
      </c>
      <c r="AC465" s="1" t="s">
        <v>129</v>
      </c>
      <c r="AD465" s="1">
        <v>7014477116</v>
      </c>
      <c r="AE465" s="1" t="s">
        <v>65</v>
      </c>
      <c r="AF465" s="1" t="s">
        <v>66</v>
      </c>
      <c r="AG465" s="2" t="s">
        <v>42</v>
      </c>
      <c r="AH465" s="1"/>
      <c r="AI465" s="1" t="s">
        <v>42</v>
      </c>
      <c r="AJ465" s="1" t="s">
        <v>2232</v>
      </c>
      <c r="AK465" s="2" t="s">
        <v>42</v>
      </c>
      <c r="AL465" s="1" t="s">
        <v>3507</v>
      </c>
    </row>
    <row r="466" spans="1:38" ht="20.100000000000001" customHeight="1" x14ac:dyDescent="0.2">
      <c r="A466" s="3">
        <f t="shared" si="14"/>
        <v>463</v>
      </c>
      <c r="B466" s="1" t="s">
        <v>2233</v>
      </c>
      <c r="C466" s="1" t="s">
        <v>2234</v>
      </c>
      <c r="D466" s="1" t="s">
        <v>121</v>
      </c>
      <c r="E466" s="1" t="s">
        <v>39</v>
      </c>
      <c r="F466" s="1" t="s">
        <v>40</v>
      </c>
      <c r="G466" s="1" t="s">
        <v>2235</v>
      </c>
      <c r="H466" s="2">
        <v>48060</v>
      </c>
      <c r="I466" s="2">
        <v>29025</v>
      </c>
      <c r="J466" s="7">
        <f t="shared" ca="1" si="15"/>
        <v>44.391780821917806</v>
      </c>
      <c r="K466" s="1" t="s">
        <v>42</v>
      </c>
      <c r="L466" s="1" t="s">
        <v>1700</v>
      </c>
      <c r="M466" s="2">
        <v>45110</v>
      </c>
      <c r="N466" s="1">
        <v>2</v>
      </c>
      <c r="O466" s="2" t="s">
        <v>42</v>
      </c>
      <c r="P466" s="1" t="s">
        <v>44</v>
      </c>
      <c r="Q466" s="1" t="s">
        <v>408</v>
      </c>
      <c r="R466" s="1" t="s">
        <v>124</v>
      </c>
      <c r="S466" s="1" t="s">
        <v>125</v>
      </c>
      <c r="T466" s="1" t="s">
        <v>42</v>
      </c>
      <c r="U466" s="2">
        <v>45110</v>
      </c>
      <c r="V466" s="2">
        <v>45475</v>
      </c>
      <c r="W466" s="2" t="s">
        <v>42</v>
      </c>
      <c r="X466" s="1" t="s">
        <v>42</v>
      </c>
      <c r="Y466" s="2" t="s">
        <v>42</v>
      </c>
      <c r="Z466" s="1" t="s">
        <v>2236</v>
      </c>
      <c r="AA466" s="1" t="s">
        <v>2237</v>
      </c>
      <c r="AB466" s="1" t="s">
        <v>2238</v>
      </c>
      <c r="AC466" s="1" t="s">
        <v>129</v>
      </c>
      <c r="AD466" s="1">
        <v>7009073037</v>
      </c>
      <c r="AE466" s="1" t="s">
        <v>103</v>
      </c>
      <c r="AF466" s="1"/>
      <c r="AG466" s="2" t="s">
        <v>42</v>
      </c>
      <c r="AH466" s="1"/>
      <c r="AI466" s="1" t="s">
        <v>42</v>
      </c>
      <c r="AJ466" s="1"/>
      <c r="AK466" s="2" t="s">
        <v>42</v>
      </c>
      <c r="AL466" s="1" t="s">
        <v>3507</v>
      </c>
    </row>
    <row r="467" spans="1:38" ht="20.100000000000001" customHeight="1" x14ac:dyDescent="0.2">
      <c r="A467" s="3">
        <f t="shared" si="14"/>
        <v>464</v>
      </c>
      <c r="B467" s="1" t="s">
        <v>2239</v>
      </c>
      <c r="C467" s="1" t="s">
        <v>2240</v>
      </c>
      <c r="D467" s="1" t="s">
        <v>38</v>
      </c>
      <c r="E467" s="1" t="s">
        <v>414</v>
      </c>
      <c r="F467" s="1" t="s">
        <v>70</v>
      </c>
      <c r="G467" s="1" t="s">
        <v>2241</v>
      </c>
      <c r="H467" s="2">
        <v>44960</v>
      </c>
      <c r="I467" s="2">
        <v>33970</v>
      </c>
      <c r="J467" s="7">
        <f t="shared" ca="1" si="15"/>
        <v>30.843835616438355</v>
      </c>
      <c r="K467" s="1" t="s">
        <v>80</v>
      </c>
      <c r="L467" s="1" t="s">
        <v>80</v>
      </c>
      <c r="M467" s="2">
        <v>45111</v>
      </c>
      <c r="N467" s="1">
        <v>2</v>
      </c>
      <c r="O467" s="2">
        <v>45111</v>
      </c>
      <c r="P467" s="1" t="s">
        <v>221</v>
      </c>
      <c r="Q467" s="1" t="s">
        <v>222</v>
      </c>
      <c r="R467" s="1" t="s">
        <v>2076</v>
      </c>
      <c r="S467" s="1" t="s">
        <v>156</v>
      </c>
      <c r="T467" s="1">
        <v>0</v>
      </c>
      <c r="U467" s="2">
        <v>45111</v>
      </c>
      <c r="V467" s="2">
        <v>45476</v>
      </c>
      <c r="W467" s="2" t="s">
        <v>42</v>
      </c>
      <c r="X467" s="1" t="s">
        <v>42</v>
      </c>
      <c r="Y467" s="2" t="s">
        <v>42</v>
      </c>
      <c r="Z467" s="1" t="s">
        <v>2242</v>
      </c>
      <c r="AA467" s="1" t="s">
        <v>2243</v>
      </c>
      <c r="AB467" s="1" t="s">
        <v>2244</v>
      </c>
      <c r="AC467" s="1" t="s">
        <v>50</v>
      </c>
      <c r="AD467" s="1"/>
      <c r="AE467" s="1" t="s">
        <v>788</v>
      </c>
      <c r="AF467" s="1" t="s">
        <v>227</v>
      </c>
      <c r="AG467" s="2" t="s">
        <v>42</v>
      </c>
      <c r="AH467" s="1"/>
      <c r="AI467" s="1" t="s">
        <v>42</v>
      </c>
      <c r="AJ467" s="1"/>
      <c r="AK467" s="2" t="s">
        <v>42</v>
      </c>
      <c r="AL467" s="1" t="s">
        <v>3507</v>
      </c>
    </row>
    <row r="468" spans="1:38" ht="20.100000000000001" customHeight="1" x14ac:dyDescent="0.2">
      <c r="A468" s="3">
        <f t="shared" si="14"/>
        <v>465</v>
      </c>
      <c r="B468" s="1" t="s">
        <v>3448</v>
      </c>
      <c r="C468" s="1" t="s">
        <v>3449</v>
      </c>
      <c r="D468" s="1" t="s">
        <v>38</v>
      </c>
      <c r="E468" s="1" t="s">
        <v>54</v>
      </c>
      <c r="F468" s="1" t="s">
        <v>55</v>
      </c>
      <c r="G468" s="1" t="s">
        <v>3450</v>
      </c>
      <c r="H468" s="2">
        <v>45496</v>
      </c>
      <c r="I468" s="2">
        <v>36499</v>
      </c>
      <c r="J468" s="7">
        <f t="shared" ca="1" si="15"/>
        <v>23.915068493150685</v>
      </c>
      <c r="K468" s="1" t="s">
        <v>482</v>
      </c>
      <c r="L468" s="1" t="s">
        <v>134</v>
      </c>
      <c r="M468" s="2">
        <v>45113</v>
      </c>
      <c r="N468" s="1">
        <v>2</v>
      </c>
      <c r="O468" s="2">
        <v>45113</v>
      </c>
      <c r="P468" s="1" t="s">
        <v>335</v>
      </c>
      <c r="Q468" s="1" t="s">
        <v>270</v>
      </c>
      <c r="R468" s="1" t="s">
        <v>60</v>
      </c>
      <c r="S468" s="1" t="s">
        <v>156</v>
      </c>
      <c r="T468" s="1">
        <v>8</v>
      </c>
      <c r="U468" s="2">
        <v>45113</v>
      </c>
      <c r="V468" s="2">
        <v>45478</v>
      </c>
      <c r="W468" s="2" t="s">
        <v>42</v>
      </c>
      <c r="X468" s="1" t="s">
        <v>42</v>
      </c>
      <c r="Y468" s="2" t="s">
        <v>42</v>
      </c>
      <c r="Z468" s="1" t="s">
        <v>3451</v>
      </c>
      <c r="AA468" s="1" t="s">
        <v>42</v>
      </c>
      <c r="AB468" s="1" t="s">
        <v>42</v>
      </c>
      <c r="AC468" s="1" t="s">
        <v>42</v>
      </c>
      <c r="AD468" s="1"/>
      <c r="AE468" s="1" t="s">
        <v>788</v>
      </c>
      <c r="AF468" s="1"/>
      <c r="AG468" s="2">
        <v>45115</v>
      </c>
      <c r="AH468" s="1" t="s">
        <v>2812</v>
      </c>
      <c r="AI468" s="1" t="s">
        <v>42</v>
      </c>
      <c r="AJ468" s="1"/>
      <c r="AK468" s="2" t="s">
        <v>42</v>
      </c>
      <c r="AL468" s="1" t="s">
        <v>2806</v>
      </c>
    </row>
    <row r="469" spans="1:38" ht="20.100000000000001" customHeight="1" x14ac:dyDescent="0.2">
      <c r="A469" s="3">
        <f t="shared" si="14"/>
        <v>466</v>
      </c>
      <c r="B469" s="1" t="s">
        <v>2245</v>
      </c>
      <c r="C469" s="1" t="s">
        <v>2246</v>
      </c>
      <c r="D469" s="1" t="s">
        <v>38</v>
      </c>
      <c r="E469" s="1" t="s">
        <v>54</v>
      </c>
      <c r="F469" s="1" t="s">
        <v>55</v>
      </c>
      <c r="G469" s="1" t="s">
        <v>2247</v>
      </c>
      <c r="H469" s="2">
        <v>45187</v>
      </c>
      <c r="I469" s="2">
        <v>35167</v>
      </c>
      <c r="J469" s="7">
        <f t="shared" ca="1" si="15"/>
        <v>27.564383561643837</v>
      </c>
      <c r="K469" s="1" t="s">
        <v>555</v>
      </c>
      <c r="L469" s="1" t="s">
        <v>134</v>
      </c>
      <c r="M469" s="2">
        <v>45113</v>
      </c>
      <c r="N469" s="1">
        <v>2</v>
      </c>
      <c r="O469" s="2">
        <v>45113</v>
      </c>
      <c r="P469" s="1" t="s">
        <v>335</v>
      </c>
      <c r="Q469" s="1" t="s">
        <v>336</v>
      </c>
      <c r="R469" s="1" t="s">
        <v>60</v>
      </c>
      <c r="S469" s="1" t="s">
        <v>156</v>
      </c>
      <c r="T469" s="1">
        <v>8</v>
      </c>
      <c r="U469" s="2">
        <v>45113</v>
      </c>
      <c r="V469" s="2">
        <v>45478</v>
      </c>
      <c r="W469" s="2" t="s">
        <v>42</v>
      </c>
      <c r="X469" s="1" t="s">
        <v>42</v>
      </c>
      <c r="Y469" s="2" t="s">
        <v>42</v>
      </c>
      <c r="Z469" s="1" t="s">
        <v>2248</v>
      </c>
      <c r="AA469" s="1" t="s">
        <v>42</v>
      </c>
      <c r="AB469" s="1" t="s">
        <v>42</v>
      </c>
      <c r="AC469" s="1" t="s">
        <v>42</v>
      </c>
      <c r="AD469" s="1">
        <v>7034664628</v>
      </c>
      <c r="AE469" s="1" t="s">
        <v>443</v>
      </c>
      <c r="AF469" s="1" t="s">
        <v>66</v>
      </c>
      <c r="AG469" s="2" t="s">
        <v>42</v>
      </c>
      <c r="AH469" s="1"/>
      <c r="AI469" s="1" t="s">
        <v>42</v>
      </c>
      <c r="AJ469" s="1"/>
      <c r="AK469" s="2" t="s">
        <v>42</v>
      </c>
      <c r="AL469" s="1" t="s">
        <v>3507</v>
      </c>
    </row>
    <row r="470" spans="1:38" ht="20.100000000000001" customHeight="1" x14ac:dyDescent="0.2">
      <c r="A470" s="3">
        <f t="shared" si="14"/>
        <v>467</v>
      </c>
      <c r="B470" s="1" t="s">
        <v>3452</v>
      </c>
      <c r="C470" s="1" t="s">
        <v>3453</v>
      </c>
      <c r="D470" s="1" t="s">
        <v>38</v>
      </c>
      <c r="E470" s="1" t="s">
        <v>54</v>
      </c>
      <c r="F470" s="1" t="s">
        <v>55</v>
      </c>
      <c r="G470" s="1" t="s">
        <v>3454</v>
      </c>
      <c r="H470" s="2">
        <v>45187</v>
      </c>
      <c r="I470" s="2">
        <v>37054</v>
      </c>
      <c r="J470" s="7">
        <f t="shared" ca="1" si="15"/>
        <v>22.394520547945206</v>
      </c>
      <c r="K470" s="1" t="s">
        <v>555</v>
      </c>
      <c r="L470" s="1" t="s">
        <v>134</v>
      </c>
      <c r="M470" s="2">
        <v>45110</v>
      </c>
      <c r="N470" s="1">
        <v>2</v>
      </c>
      <c r="O470" s="2">
        <v>45110</v>
      </c>
      <c r="P470" s="1" t="s">
        <v>44</v>
      </c>
      <c r="Q470" s="1" t="s">
        <v>203</v>
      </c>
      <c r="R470" s="1" t="s">
        <v>60</v>
      </c>
      <c r="S470" s="1" t="s">
        <v>156</v>
      </c>
      <c r="T470" s="1">
        <v>8</v>
      </c>
      <c r="U470" s="2">
        <v>45110</v>
      </c>
      <c r="V470" s="2">
        <v>45475</v>
      </c>
      <c r="W470" s="2" t="s">
        <v>42</v>
      </c>
      <c r="X470" s="1" t="s">
        <v>42</v>
      </c>
      <c r="Y470" s="2" t="s">
        <v>42</v>
      </c>
      <c r="Z470" s="1" t="s">
        <v>3455</v>
      </c>
      <c r="AA470" s="1" t="s">
        <v>3456</v>
      </c>
      <c r="AB470" s="1" t="s">
        <v>42</v>
      </c>
      <c r="AC470" s="1" t="s">
        <v>42</v>
      </c>
      <c r="AD470" s="1"/>
      <c r="AE470" s="1" t="s">
        <v>788</v>
      </c>
      <c r="AF470" s="1"/>
      <c r="AG470" s="2" t="s">
        <v>42</v>
      </c>
      <c r="AH470" s="1" t="s">
        <v>2812</v>
      </c>
      <c r="AI470" s="1" t="s">
        <v>3457</v>
      </c>
      <c r="AJ470" s="1"/>
      <c r="AK470" s="2" t="s">
        <v>42</v>
      </c>
      <c r="AL470" s="1" t="s">
        <v>2806</v>
      </c>
    </row>
    <row r="471" spans="1:38" ht="20.100000000000001" customHeight="1" x14ac:dyDescent="0.2">
      <c r="A471" s="3">
        <f t="shared" si="14"/>
        <v>468</v>
      </c>
      <c r="B471" s="1" t="s">
        <v>2249</v>
      </c>
      <c r="C471" s="1" t="s">
        <v>2250</v>
      </c>
      <c r="D471" s="1" t="s">
        <v>38</v>
      </c>
      <c r="E471" s="1" t="s">
        <v>54</v>
      </c>
      <c r="F471" s="1" t="s">
        <v>55</v>
      </c>
      <c r="G471" s="1" t="s">
        <v>2251</v>
      </c>
      <c r="H471" s="2">
        <v>45187</v>
      </c>
      <c r="I471" s="2">
        <v>35231</v>
      </c>
      <c r="J471" s="7">
        <f t="shared" ca="1" si="15"/>
        <v>27.389041095890413</v>
      </c>
      <c r="K471" s="1" t="s">
        <v>555</v>
      </c>
      <c r="L471" s="1" t="s">
        <v>134</v>
      </c>
      <c r="M471" s="2">
        <v>45109</v>
      </c>
      <c r="N471" s="1">
        <v>2</v>
      </c>
      <c r="O471" s="2">
        <v>45109</v>
      </c>
      <c r="P471" s="1" t="s">
        <v>44</v>
      </c>
      <c r="Q471" s="1" t="s">
        <v>306</v>
      </c>
      <c r="R471" s="1" t="s">
        <v>60</v>
      </c>
      <c r="S471" s="1" t="s">
        <v>156</v>
      </c>
      <c r="T471" s="1">
        <v>8</v>
      </c>
      <c r="U471" s="2">
        <v>45109</v>
      </c>
      <c r="V471" s="2">
        <v>45474</v>
      </c>
      <c r="W471" s="2" t="s">
        <v>42</v>
      </c>
      <c r="X471" s="1" t="s">
        <v>42</v>
      </c>
      <c r="Y471" s="2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>
        <v>7015572543</v>
      </c>
      <c r="AE471" s="1" t="s">
        <v>3506</v>
      </c>
      <c r="AF471" s="1" t="s">
        <v>66</v>
      </c>
      <c r="AG471" s="2" t="s">
        <v>42</v>
      </c>
      <c r="AH471" s="1"/>
      <c r="AI471" s="1" t="s">
        <v>42</v>
      </c>
      <c r="AJ471" s="1"/>
      <c r="AK471" s="2" t="s">
        <v>42</v>
      </c>
      <c r="AL471" s="1" t="s">
        <v>3507</v>
      </c>
    </row>
    <row r="472" spans="1:38" ht="20.100000000000001" customHeight="1" x14ac:dyDescent="0.2">
      <c r="A472" s="3">
        <f t="shared" si="14"/>
        <v>469</v>
      </c>
      <c r="B472" s="1" t="s">
        <v>2252</v>
      </c>
      <c r="C472" s="1" t="s">
        <v>2253</v>
      </c>
      <c r="D472" s="1" t="s">
        <v>38</v>
      </c>
      <c r="E472" s="1" t="s">
        <v>150</v>
      </c>
      <c r="F472" s="1" t="s">
        <v>70</v>
      </c>
      <c r="G472" s="1" t="s">
        <v>42</v>
      </c>
      <c r="H472" s="2" t="s">
        <v>42</v>
      </c>
      <c r="I472" s="2" t="s">
        <v>42</v>
      </c>
      <c r="J472" s="7"/>
      <c r="K472" s="1" t="s">
        <v>42</v>
      </c>
      <c r="L472" s="1" t="s">
        <v>42</v>
      </c>
      <c r="M472" s="2" t="s">
        <v>42</v>
      </c>
      <c r="N472" s="1">
        <v>2</v>
      </c>
      <c r="O472" s="2" t="s">
        <v>42</v>
      </c>
      <c r="P472" s="1" t="s">
        <v>44</v>
      </c>
      <c r="Q472" s="1" t="s">
        <v>899</v>
      </c>
      <c r="R472" s="1" t="s">
        <v>900</v>
      </c>
      <c r="S472" s="1" t="s">
        <v>47</v>
      </c>
      <c r="T472" s="1" t="s">
        <v>42</v>
      </c>
      <c r="U472" s="2" t="s">
        <v>42</v>
      </c>
      <c r="V472" s="2" t="s">
        <v>42</v>
      </c>
      <c r="W472" s="2" t="s">
        <v>42</v>
      </c>
      <c r="X472" s="1" t="s">
        <v>2254</v>
      </c>
      <c r="Y472" s="2">
        <v>46119</v>
      </c>
      <c r="Z472" s="1" t="s">
        <v>42</v>
      </c>
      <c r="AA472" s="1" t="s">
        <v>42</v>
      </c>
      <c r="AB472" s="1" t="s">
        <v>42</v>
      </c>
      <c r="AC472" s="1" t="s">
        <v>42</v>
      </c>
      <c r="AD472" s="1">
        <v>7026482336</v>
      </c>
      <c r="AE472" s="1" t="s">
        <v>903</v>
      </c>
      <c r="AF472" s="1" t="s">
        <v>904</v>
      </c>
      <c r="AG472" s="2" t="s">
        <v>42</v>
      </c>
      <c r="AH472" s="1"/>
      <c r="AI472" s="1" t="s">
        <v>2255</v>
      </c>
      <c r="AJ472" s="1"/>
      <c r="AK472" s="2" t="s">
        <v>42</v>
      </c>
      <c r="AL472" s="1" t="s">
        <v>3507</v>
      </c>
    </row>
    <row r="473" spans="1:38" ht="20.100000000000001" customHeight="1" x14ac:dyDescent="0.2">
      <c r="A473" s="3">
        <f t="shared" si="14"/>
        <v>470</v>
      </c>
      <c r="B473" s="1" t="s">
        <v>2256</v>
      </c>
      <c r="C473" s="1" t="s">
        <v>2257</v>
      </c>
      <c r="D473" s="1" t="s">
        <v>121</v>
      </c>
      <c r="E473" s="1" t="s">
        <v>39</v>
      </c>
      <c r="F473" s="1" t="s">
        <v>40</v>
      </c>
      <c r="G473" s="1" t="s">
        <v>2258</v>
      </c>
      <c r="H473" s="2">
        <v>45950</v>
      </c>
      <c r="I473" s="2">
        <v>33513</v>
      </c>
      <c r="J473" s="7">
        <f t="shared" ca="1" si="15"/>
        <v>32.095890410958901</v>
      </c>
      <c r="K473" s="1" t="s">
        <v>42</v>
      </c>
      <c r="L473" s="1" t="s">
        <v>1700</v>
      </c>
      <c r="M473" s="2">
        <v>45115</v>
      </c>
      <c r="N473" s="1">
        <v>2</v>
      </c>
      <c r="O473" s="2" t="s">
        <v>42</v>
      </c>
      <c r="P473" s="1" t="s">
        <v>44</v>
      </c>
      <c r="Q473" s="1" t="s">
        <v>408</v>
      </c>
      <c r="R473" s="1" t="s">
        <v>124</v>
      </c>
      <c r="S473" s="1" t="s">
        <v>125</v>
      </c>
      <c r="T473" s="1">
        <v>8</v>
      </c>
      <c r="U473" s="2">
        <v>45115</v>
      </c>
      <c r="V473" s="2">
        <v>45480</v>
      </c>
      <c r="W473" s="2" t="s">
        <v>42</v>
      </c>
      <c r="X473" s="1" t="s">
        <v>42</v>
      </c>
      <c r="Y473" s="2" t="s">
        <v>42</v>
      </c>
      <c r="Z473" s="1" t="s">
        <v>2259</v>
      </c>
      <c r="AA473" s="1" t="s">
        <v>2260</v>
      </c>
      <c r="AB473" s="1" t="s">
        <v>2261</v>
      </c>
      <c r="AC473" s="1" t="s">
        <v>129</v>
      </c>
      <c r="AD473" s="1">
        <v>7009073037</v>
      </c>
      <c r="AE473" s="1" t="s">
        <v>103</v>
      </c>
      <c r="AF473" s="1"/>
      <c r="AG473" s="2" t="s">
        <v>42</v>
      </c>
      <c r="AH473" s="1"/>
      <c r="AI473" s="1" t="s">
        <v>42</v>
      </c>
      <c r="AJ473" s="1"/>
      <c r="AK473" s="2" t="s">
        <v>42</v>
      </c>
      <c r="AL473" s="1" t="s">
        <v>3507</v>
      </c>
    </row>
    <row r="474" spans="1:38" ht="20.100000000000001" customHeight="1" x14ac:dyDescent="0.2">
      <c r="A474" s="3">
        <f t="shared" si="14"/>
        <v>471</v>
      </c>
      <c r="B474" s="1" t="s">
        <v>2262</v>
      </c>
      <c r="C474" s="1" t="s">
        <v>2263</v>
      </c>
      <c r="D474" s="1" t="s">
        <v>38</v>
      </c>
      <c r="E474" s="1" t="s">
        <v>150</v>
      </c>
      <c r="F474" s="1" t="s">
        <v>70</v>
      </c>
      <c r="G474" s="1" t="s">
        <v>2264</v>
      </c>
      <c r="H474" s="2">
        <v>45428</v>
      </c>
      <c r="I474" s="2">
        <v>35098</v>
      </c>
      <c r="J474" s="7">
        <f t="shared" ca="1" si="15"/>
        <v>27.753424657534246</v>
      </c>
      <c r="K474" s="1" t="s">
        <v>2142</v>
      </c>
      <c r="L474" s="1" t="s">
        <v>798</v>
      </c>
      <c r="M474" s="2">
        <v>45115</v>
      </c>
      <c r="N474" s="1">
        <v>2</v>
      </c>
      <c r="O474" s="2" t="s">
        <v>42</v>
      </c>
      <c r="P474" s="1" t="s">
        <v>44</v>
      </c>
      <c r="Q474" s="1" t="s">
        <v>45</v>
      </c>
      <c r="R474" s="1" t="s">
        <v>155</v>
      </c>
      <c r="S474" s="1" t="s">
        <v>156</v>
      </c>
      <c r="T474" s="1">
        <v>8</v>
      </c>
      <c r="U474" s="2">
        <v>45115</v>
      </c>
      <c r="V474" s="2">
        <v>45480</v>
      </c>
      <c r="W474" s="2" t="s">
        <v>42</v>
      </c>
      <c r="X474" s="1" t="s">
        <v>2265</v>
      </c>
      <c r="Y474" s="2">
        <v>47352</v>
      </c>
      <c r="Z474" s="1" t="s">
        <v>2266</v>
      </c>
      <c r="AA474" s="1" t="s">
        <v>2267</v>
      </c>
      <c r="AB474" s="1" t="s">
        <v>2268</v>
      </c>
      <c r="AC474" s="1" t="s">
        <v>129</v>
      </c>
      <c r="AD474" s="1">
        <v>7009073037</v>
      </c>
      <c r="AE474" s="1" t="s">
        <v>103</v>
      </c>
      <c r="AF474" s="1"/>
      <c r="AG474" s="2" t="s">
        <v>42</v>
      </c>
      <c r="AH474" s="1"/>
      <c r="AI474" s="1" t="s">
        <v>42</v>
      </c>
      <c r="AJ474" s="1"/>
      <c r="AK474" s="2" t="s">
        <v>42</v>
      </c>
      <c r="AL474" s="1" t="s">
        <v>3507</v>
      </c>
    </row>
    <row r="475" spans="1:38" ht="20.100000000000001" customHeight="1" x14ac:dyDescent="0.2">
      <c r="A475" s="3">
        <f t="shared" si="14"/>
        <v>472</v>
      </c>
      <c r="B475" s="1" t="s">
        <v>2269</v>
      </c>
      <c r="C475" s="1" t="s">
        <v>2270</v>
      </c>
      <c r="D475" s="1" t="s">
        <v>121</v>
      </c>
      <c r="E475" s="1" t="s">
        <v>39</v>
      </c>
      <c r="F475" s="1" t="s">
        <v>40</v>
      </c>
      <c r="G475" s="1" t="s">
        <v>2271</v>
      </c>
      <c r="H475" s="2">
        <v>46274</v>
      </c>
      <c r="I475" s="2">
        <v>36715</v>
      </c>
      <c r="J475" s="7">
        <f t="shared" ca="1" si="15"/>
        <v>23.323287671232876</v>
      </c>
      <c r="K475" s="1" t="s">
        <v>42</v>
      </c>
      <c r="L475" s="1" t="s">
        <v>1700</v>
      </c>
      <c r="M475" s="2">
        <v>45115</v>
      </c>
      <c r="N475" s="1">
        <v>2</v>
      </c>
      <c r="O475" s="2" t="s">
        <v>42</v>
      </c>
      <c r="P475" s="1" t="s">
        <v>44</v>
      </c>
      <c r="Q475" s="1" t="s">
        <v>408</v>
      </c>
      <c r="R475" s="1" t="s">
        <v>124</v>
      </c>
      <c r="S475" s="1" t="s">
        <v>125</v>
      </c>
      <c r="T475" s="1">
        <v>8</v>
      </c>
      <c r="U475" s="2">
        <v>45115</v>
      </c>
      <c r="V475" s="2">
        <v>45480</v>
      </c>
      <c r="W475" s="2" t="s">
        <v>42</v>
      </c>
      <c r="X475" s="1" t="s">
        <v>42</v>
      </c>
      <c r="Y475" s="2" t="s">
        <v>42</v>
      </c>
      <c r="Z475" s="1" t="s">
        <v>2272</v>
      </c>
      <c r="AA475" s="1" t="s">
        <v>2273</v>
      </c>
      <c r="AB475" s="1" t="s">
        <v>2274</v>
      </c>
      <c r="AC475" s="1" t="s">
        <v>129</v>
      </c>
      <c r="AD475" s="1">
        <v>7009073037</v>
      </c>
      <c r="AE475" s="1" t="s">
        <v>103</v>
      </c>
      <c r="AF475" s="1"/>
      <c r="AG475" s="2" t="s">
        <v>42</v>
      </c>
      <c r="AH475" s="1"/>
      <c r="AI475" s="1" t="s">
        <v>42</v>
      </c>
      <c r="AJ475" s="1"/>
      <c r="AK475" s="2" t="s">
        <v>42</v>
      </c>
      <c r="AL475" s="1" t="s">
        <v>3507</v>
      </c>
    </row>
    <row r="476" spans="1:38" ht="20.100000000000001" customHeight="1" x14ac:dyDescent="0.2">
      <c r="A476" s="3">
        <f t="shared" si="14"/>
        <v>473</v>
      </c>
      <c r="B476" s="1" t="s">
        <v>2275</v>
      </c>
      <c r="C476" s="1" t="s">
        <v>2276</v>
      </c>
      <c r="D476" s="1" t="s">
        <v>38</v>
      </c>
      <c r="E476" s="1" t="s">
        <v>811</v>
      </c>
      <c r="F476" s="1" t="s">
        <v>55</v>
      </c>
      <c r="G476" s="1" t="s">
        <v>2277</v>
      </c>
      <c r="H476" s="2">
        <v>45301</v>
      </c>
      <c r="I476" s="2">
        <v>33404</v>
      </c>
      <c r="J476" s="7">
        <f t="shared" ca="1" si="15"/>
        <v>32.394520547945206</v>
      </c>
      <c r="K476" s="1" t="s">
        <v>908</v>
      </c>
      <c r="L476" s="1" t="s">
        <v>944</v>
      </c>
      <c r="M476" s="2" t="s">
        <v>42</v>
      </c>
      <c r="N476" s="1">
        <v>2</v>
      </c>
      <c r="O476" s="2" t="s">
        <v>42</v>
      </c>
      <c r="P476" s="1" t="s">
        <v>221</v>
      </c>
      <c r="Q476" s="1" t="s">
        <v>222</v>
      </c>
      <c r="R476" s="1" t="s">
        <v>223</v>
      </c>
      <c r="S476" s="1" t="s">
        <v>47</v>
      </c>
      <c r="T476" s="1" t="s">
        <v>42</v>
      </c>
      <c r="U476" s="2" t="s">
        <v>42</v>
      </c>
      <c r="V476" s="2" t="s">
        <v>42</v>
      </c>
      <c r="W476" s="2" t="s">
        <v>42</v>
      </c>
      <c r="X476" s="1" t="s">
        <v>2278</v>
      </c>
      <c r="Y476" s="2">
        <v>48720</v>
      </c>
      <c r="Z476" s="1" t="s">
        <v>42</v>
      </c>
      <c r="AA476" s="1" t="s">
        <v>42</v>
      </c>
      <c r="AB476" s="1" t="s">
        <v>2279</v>
      </c>
      <c r="AC476" s="1" t="s">
        <v>129</v>
      </c>
      <c r="AD476" s="1">
        <v>7009073037</v>
      </c>
      <c r="AE476" s="1" t="s">
        <v>103</v>
      </c>
      <c r="AF476" s="1" t="s">
        <v>227</v>
      </c>
      <c r="AG476" s="2" t="s">
        <v>42</v>
      </c>
      <c r="AH476" s="1"/>
      <c r="AI476" s="1" t="s">
        <v>42</v>
      </c>
      <c r="AJ476" s="1"/>
      <c r="AK476" s="2" t="s">
        <v>42</v>
      </c>
      <c r="AL476" s="1" t="s">
        <v>3507</v>
      </c>
    </row>
    <row r="477" spans="1:38" ht="20.100000000000001" customHeight="1" x14ac:dyDescent="0.2">
      <c r="A477" s="3">
        <f t="shared" si="14"/>
        <v>474</v>
      </c>
      <c r="B477" s="1" t="s">
        <v>2280</v>
      </c>
      <c r="C477" s="1" t="s">
        <v>2281</v>
      </c>
      <c r="D477" s="1" t="s">
        <v>38</v>
      </c>
      <c r="E477" s="1" t="s">
        <v>150</v>
      </c>
      <c r="F477" s="1" t="s">
        <v>70</v>
      </c>
      <c r="G477" s="1" t="s">
        <v>2282</v>
      </c>
      <c r="H477" s="2">
        <v>45341</v>
      </c>
      <c r="I477" s="2">
        <v>35383</v>
      </c>
      <c r="J477" s="7">
        <f t="shared" ca="1" si="15"/>
        <v>26.972602739726028</v>
      </c>
      <c r="K477" s="1" t="s">
        <v>133</v>
      </c>
      <c r="L477" s="1" t="s">
        <v>798</v>
      </c>
      <c r="M477" s="2">
        <v>45116</v>
      </c>
      <c r="N477" s="1">
        <v>2</v>
      </c>
      <c r="O477" s="2" t="s">
        <v>42</v>
      </c>
      <c r="P477" s="1" t="s">
        <v>44</v>
      </c>
      <c r="Q477" s="1" t="s">
        <v>154</v>
      </c>
      <c r="R477" s="1" t="s">
        <v>155</v>
      </c>
      <c r="S477" s="1" t="s">
        <v>156</v>
      </c>
      <c r="T477" s="1">
        <v>8</v>
      </c>
      <c r="U477" s="2">
        <v>45116</v>
      </c>
      <c r="V477" s="2">
        <v>45481</v>
      </c>
      <c r="W477" s="2" t="s">
        <v>42</v>
      </c>
      <c r="X477" s="1" t="s">
        <v>42</v>
      </c>
      <c r="Y477" s="2" t="s">
        <v>42</v>
      </c>
      <c r="Z477" s="1" t="s">
        <v>2283</v>
      </c>
      <c r="AA477" s="1" t="s">
        <v>2284</v>
      </c>
      <c r="AB477" s="1" t="s">
        <v>2285</v>
      </c>
      <c r="AC477" s="1" t="s">
        <v>129</v>
      </c>
      <c r="AD477" s="1">
        <v>7009073037</v>
      </c>
      <c r="AE477" s="1" t="s">
        <v>103</v>
      </c>
      <c r="AF477" s="1"/>
      <c r="AG477" s="2" t="s">
        <v>42</v>
      </c>
      <c r="AH477" s="1"/>
      <c r="AI477" s="1" t="s">
        <v>42</v>
      </c>
      <c r="AJ477" s="1"/>
      <c r="AK477" s="2" t="s">
        <v>42</v>
      </c>
      <c r="AL477" s="1" t="s">
        <v>3507</v>
      </c>
    </row>
    <row r="478" spans="1:38" ht="20.100000000000001" customHeight="1" x14ac:dyDescent="0.2">
      <c r="A478" s="3">
        <f t="shared" si="14"/>
        <v>475</v>
      </c>
      <c r="B478" s="1" t="s">
        <v>3458</v>
      </c>
      <c r="C478" s="1" t="s">
        <v>3459</v>
      </c>
      <c r="D478" s="1" t="s">
        <v>38</v>
      </c>
      <c r="E478" s="1" t="s">
        <v>69</v>
      </c>
      <c r="F478" s="1" t="s">
        <v>70</v>
      </c>
      <c r="G478" s="1" t="s">
        <v>3460</v>
      </c>
      <c r="H478" s="2" t="s">
        <v>42</v>
      </c>
      <c r="I478" s="2">
        <v>36557</v>
      </c>
      <c r="J478" s="7">
        <f t="shared" ca="1" si="15"/>
        <v>23.756164383561643</v>
      </c>
      <c r="K478" s="1" t="s">
        <v>42</v>
      </c>
      <c r="L478" s="1" t="s">
        <v>134</v>
      </c>
      <c r="M478" s="2">
        <v>45116</v>
      </c>
      <c r="N478" s="1">
        <v>2</v>
      </c>
      <c r="O478" s="2" t="s">
        <v>42</v>
      </c>
      <c r="P478" s="1" t="s">
        <v>44</v>
      </c>
      <c r="Q478" s="1" t="s">
        <v>466</v>
      </c>
      <c r="R478" s="1" t="s">
        <v>60</v>
      </c>
      <c r="S478" s="1" t="s">
        <v>156</v>
      </c>
      <c r="T478" s="1">
        <v>12</v>
      </c>
      <c r="U478" s="2">
        <v>45116</v>
      </c>
      <c r="V478" s="2">
        <v>45846</v>
      </c>
      <c r="W478" s="2" t="s">
        <v>42</v>
      </c>
      <c r="X478" s="1" t="s">
        <v>3461</v>
      </c>
      <c r="Y478" s="2">
        <v>46972</v>
      </c>
      <c r="Z478" s="1" t="s">
        <v>3462</v>
      </c>
      <c r="AA478" s="1" t="s">
        <v>42</v>
      </c>
      <c r="AB478" s="1" t="s">
        <v>42</v>
      </c>
      <c r="AC478" s="1" t="s">
        <v>42</v>
      </c>
      <c r="AD478" s="1"/>
      <c r="AE478" s="1" t="s">
        <v>788</v>
      </c>
      <c r="AF478" s="1"/>
      <c r="AG478" s="2" t="s">
        <v>42</v>
      </c>
      <c r="AH478" s="1" t="s">
        <v>2812</v>
      </c>
      <c r="AI478" s="1" t="s">
        <v>42</v>
      </c>
      <c r="AJ478" s="1"/>
      <c r="AK478" s="2" t="s">
        <v>42</v>
      </c>
      <c r="AL478" s="1" t="s">
        <v>2806</v>
      </c>
    </row>
    <row r="479" spans="1:38" ht="20.100000000000001" customHeight="1" x14ac:dyDescent="0.2">
      <c r="A479" s="3">
        <f t="shared" si="14"/>
        <v>476</v>
      </c>
      <c r="B479" s="1" t="s">
        <v>2286</v>
      </c>
      <c r="C479" s="1" t="s">
        <v>2287</v>
      </c>
      <c r="D479" s="1" t="s">
        <v>38</v>
      </c>
      <c r="E479" s="1" t="s">
        <v>69</v>
      </c>
      <c r="F479" s="1" t="s">
        <v>70</v>
      </c>
      <c r="G479" s="1" t="s">
        <v>2288</v>
      </c>
      <c r="H479" s="2">
        <v>45432</v>
      </c>
      <c r="I479" s="2">
        <v>31446</v>
      </c>
      <c r="J479" s="7">
        <f t="shared" ca="1" si="15"/>
        <v>37.758904109589039</v>
      </c>
      <c r="K479" s="1" t="s">
        <v>2289</v>
      </c>
      <c r="L479" s="1" t="s">
        <v>42</v>
      </c>
      <c r="M479" s="2">
        <v>45117</v>
      </c>
      <c r="N479" s="1">
        <v>2</v>
      </c>
      <c r="O479" s="2">
        <v>45117</v>
      </c>
      <c r="P479" s="1" t="s">
        <v>221</v>
      </c>
      <c r="Q479" s="1" t="s">
        <v>222</v>
      </c>
      <c r="R479" s="1" t="s">
        <v>223</v>
      </c>
      <c r="S479" s="1" t="s">
        <v>47</v>
      </c>
      <c r="T479" s="1">
        <v>8</v>
      </c>
      <c r="U479" s="2">
        <v>45117</v>
      </c>
      <c r="V479" s="2">
        <v>45482</v>
      </c>
      <c r="W479" s="2" t="s">
        <v>42</v>
      </c>
      <c r="X479" s="1" t="s">
        <v>42</v>
      </c>
      <c r="Y479" s="2" t="s">
        <v>42</v>
      </c>
      <c r="Z479" s="1" t="s">
        <v>2290</v>
      </c>
      <c r="AA479" s="1" t="s">
        <v>2291</v>
      </c>
      <c r="AB479" s="1" t="s">
        <v>2292</v>
      </c>
      <c r="AC479" s="1" t="s">
        <v>129</v>
      </c>
      <c r="AD479" s="1">
        <v>7021202564</v>
      </c>
      <c r="AE479" s="1" t="s">
        <v>567</v>
      </c>
      <c r="AF479" s="1" t="s">
        <v>227</v>
      </c>
      <c r="AG479" s="2" t="s">
        <v>42</v>
      </c>
      <c r="AH479" s="1"/>
      <c r="AI479" s="1" t="s">
        <v>42</v>
      </c>
      <c r="AJ479" s="1"/>
      <c r="AK479" s="2" t="s">
        <v>42</v>
      </c>
      <c r="AL479" s="1" t="s">
        <v>3507</v>
      </c>
    </row>
    <row r="480" spans="1:38" ht="20.100000000000001" customHeight="1" x14ac:dyDescent="0.2">
      <c r="A480" s="3">
        <f t="shared" si="14"/>
        <v>477</v>
      </c>
      <c r="B480" s="1" t="s">
        <v>2293</v>
      </c>
      <c r="C480" s="1" t="s">
        <v>2294</v>
      </c>
      <c r="D480" s="1" t="s">
        <v>38</v>
      </c>
      <c r="E480" s="1" t="s">
        <v>69</v>
      </c>
      <c r="F480" s="1" t="s">
        <v>70</v>
      </c>
      <c r="G480" s="1" t="s">
        <v>2295</v>
      </c>
      <c r="H480" s="2" t="s">
        <v>42</v>
      </c>
      <c r="I480" s="2">
        <v>36925</v>
      </c>
      <c r="J480" s="7">
        <f t="shared" ca="1" si="15"/>
        <v>22.747945205479454</v>
      </c>
      <c r="K480" s="1" t="s">
        <v>134</v>
      </c>
      <c r="L480" s="1" t="s">
        <v>134</v>
      </c>
      <c r="M480" s="2">
        <v>45115</v>
      </c>
      <c r="N480" s="1">
        <v>2</v>
      </c>
      <c r="O480" s="2" t="s">
        <v>42</v>
      </c>
      <c r="P480" s="1" t="s">
        <v>44</v>
      </c>
      <c r="Q480" s="1" t="s">
        <v>899</v>
      </c>
      <c r="R480" s="1" t="s">
        <v>900</v>
      </c>
      <c r="S480" s="1" t="s">
        <v>156</v>
      </c>
      <c r="T480" s="1" t="s">
        <v>42</v>
      </c>
      <c r="U480" s="2">
        <v>45115</v>
      </c>
      <c r="V480" s="2">
        <v>45480</v>
      </c>
      <c r="W480" s="2" t="s">
        <v>42</v>
      </c>
      <c r="X480" s="1" t="s">
        <v>42</v>
      </c>
      <c r="Y480" s="2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/>
      <c r="AE480" s="1" t="s">
        <v>788</v>
      </c>
      <c r="AF480" s="1" t="s">
        <v>904</v>
      </c>
      <c r="AG480" s="2" t="s">
        <v>42</v>
      </c>
      <c r="AH480" s="1"/>
      <c r="AI480" s="1" t="s">
        <v>42</v>
      </c>
      <c r="AJ480" s="1"/>
      <c r="AK480" s="2" t="s">
        <v>42</v>
      </c>
      <c r="AL480" s="1" t="s">
        <v>3507</v>
      </c>
    </row>
    <row r="481" spans="1:38" ht="20.100000000000001" customHeight="1" x14ac:dyDescent="0.2">
      <c r="A481" s="3">
        <f t="shared" si="14"/>
        <v>478</v>
      </c>
      <c r="B481" s="1" t="s">
        <v>3463</v>
      </c>
      <c r="C481" s="1" t="s">
        <v>3464</v>
      </c>
      <c r="D481" s="1" t="s">
        <v>38</v>
      </c>
      <c r="E481" s="1" t="s">
        <v>54</v>
      </c>
      <c r="F481" s="1" t="s">
        <v>55</v>
      </c>
      <c r="G481" s="1" t="s">
        <v>3465</v>
      </c>
      <c r="H481" s="2" t="s">
        <v>42</v>
      </c>
      <c r="I481" s="2">
        <v>35180</v>
      </c>
      <c r="J481" s="7">
        <f t="shared" ca="1" si="15"/>
        <v>27.528767123287672</v>
      </c>
      <c r="K481" s="1" t="s">
        <v>133</v>
      </c>
      <c r="L481" s="1" t="s">
        <v>133</v>
      </c>
      <c r="M481" s="2">
        <v>45117</v>
      </c>
      <c r="N481" s="1">
        <v>2</v>
      </c>
      <c r="O481" s="2">
        <v>45117</v>
      </c>
      <c r="P481" s="1" t="s">
        <v>335</v>
      </c>
      <c r="Q481" s="1" t="s">
        <v>270</v>
      </c>
      <c r="R481" s="1" t="s">
        <v>60</v>
      </c>
      <c r="S481" s="1" t="s">
        <v>156</v>
      </c>
      <c r="T481" s="1">
        <v>12</v>
      </c>
      <c r="U481" s="2">
        <v>45117</v>
      </c>
      <c r="V481" s="2">
        <v>45847</v>
      </c>
      <c r="W481" s="2" t="s">
        <v>42</v>
      </c>
      <c r="X481" s="1" t="s">
        <v>42</v>
      </c>
      <c r="Y481" s="2" t="s">
        <v>42</v>
      </c>
      <c r="Z481" s="1" t="s">
        <v>3466</v>
      </c>
      <c r="AA481" s="1" t="s">
        <v>42</v>
      </c>
      <c r="AB481" s="1" t="s">
        <v>42</v>
      </c>
      <c r="AC481" s="1" t="s">
        <v>42</v>
      </c>
      <c r="AD481" s="1"/>
      <c r="AE481" s="1" t="s">
        <v>788</v>
      </c>
      <c r="AF481" s="1"/>
      <c r="AG481" s="2">
        <v>45130</v>
      </c>
      <c r="AH481" s="1" t="s">
        <v>2805</v>
      </c>
      <c r="AI481" s="1" t="s">
        <v>42</v>
      </c>
      <c r="AJ481" s="1"/>
      <c r="AK481" s="2" t="s">
        <v>42</v>
      </c>
      <c r="AL481" s="1" t="s">
        <v>2806</v>
      </c>
    </row>
    <row r="482" spans="1:38" ht="20.100000000000001" customHeight="1" x14ac:dyDescent="0.2">
      <c r="A482" s="3">
        <f t="shared" si="14"/>
        <v>479</v>
      </c>
      <c r="B482" s="1" t="s">
        <v>2296</v>
      </c>
      <c r="C482" s="1" t="s">
        <v>2297</v>
      </c>
      <c r="D482" s="1" t="s">
        <v>38</v>
      </c>
      <c r="E482" s="1" t="s">
        <v>54</v>
      </c>
      <c r="F482" s="1" t="s">
        <v>70</v>
      </c>
      <c r="G482" s="1" t="s">
        <v>2298</v>
      </c>
      <c r="H482" s="2">
        <v>45340</v>
      </c>
      <c r="I482" s="2">
        <v>34073</v>
      </c>
      <c r="J482" s="7">
        <f t="shared" ca="1" si="15"/>
        <v>30.561643835616437</v>
      </c>
      <c r="K482" s="1" t="s">
        <v>133</v>
      </c>
      <c r="L482" s="1" t="s">
        <v>134</v>
      </c>
      <c r="M482" s="2">
        <v>45117</v>
      </c>
      <c r="N482" s="1">
        <v>2</v>
      </c>
      <c r="O482" s="2" t="s">
        <v>42</v>
      </c>
      <c r="P482" s="1" t="s">
        <v>335</v>
      </c>
      <c r="Q482" s="1" t="s">
        <v>394</v>
      </c>
      <c r="R482" s="1" t="s">
        <v>60</v>
      </c>
      <c r="S482" s="1" t="s">
        <v>47</v>
      </c>
      <c r="T482" s="1">
        <v>12</v>
      </c>
      <c r="U482" s="2">
        <v>45117</v>
      </c>
      <c r="V482" s="2">
        <v>45847</v>
      </c>
      <c r="W482" s="2" t="s">
        <v>42</v>
      </c>
      <c r="X482" s="1" t="s">
        <v>42</v>
      </c>
      <c r="Y482" s="2" t="s">
        <v>42</v>
      </c>
      <c r="Z482" s="1" t="s">
        <v>2299</v>
      </c>
      <c r="AA482" s="1" t="s">
        <v>42</v>
      </c>
      <c r="AB482" s="1" t="s">
        <v>2300</v>
      </c>
      <c r="AC482" s="1" t="s">
        <v>50</v>
      </c>
      <c r="AD482" s="1">
        <v>7034664628</v>
      </c>
      <c r="AE482" s="1" t="s">
        <v>443</v>
      </c>
      <c r="AF482" s="1" t="s">
        <v>66</v>
      </c>
      <c r="AG482" s="2" t="s">
        <v>42</v>
      </c>
      <c r="AH482" s="1"/>
      <c r="AI482" s="1" t="s">
        <v>42</v>
      </c>
      <c r="AJ482" s="1"/>
      <c r="AK482" s="2" t="s">
        <v>42</v>
      </c>
      <c r="AL482" s="1" t="s">
        <v>3507</v>
      </c>
    </row>
    <row r="483" spans="1:38" ht="20.100000000000001" customHeight="1" x14ac:dyDescent="0.2">
      <c r="A483" s="3">
        <f t="shared" si="14"/>
        <v>480</v>
      </c>
      <c r="B483" s="1" t="s">
        <v>3467</v>
      </c>
      <c r="C483" s="1" t="s">
        <v>3468</v>
      </c>
      <c r="D483" s="1" t="s">
        <v>38</v>
      </c>
      <c r="E483" s="1" t="s">
        <v>69</v>
      </c>
      <c r="F483" s="1" t="s">
        <v>70</v>
      </c>
      <c r="G483" s="1" t="s">
        <v>3469</v>
      </c>
      <c r="H483" s="2" t="s">
        <v>42</v>
      </c>
      <c r="I483" s="2">
        <v>36165</v>
      </c>
      <c r="J483" s="7">
        <f t="shared" ca="1" si="15"/>
        <v>24.830136986301369</v>
      </c>
      <c r="K483" s="1" t="s">
        <v>482</v>
      </c>
      <c r="L483" s="1" t="s">
        <v>134</v>
      </c>
      <c r="M483" s="2">
        <v>45120</v>
      </c>
      <c r="N483" s="1">
        <v>2</v>
      </c>
      <c r="O483" s="2" t="s">
        <v>42</v>
      </c>
      <c r="P483" s="1" t="s">
        <v>335</v>
      </c>
      <c r="Q483" s="1" t="s">
        <v>578</v>
      </c>
      <c r="R483" s="1" t="s">
        <v>60</v>
      </c>
      <c r="S483" s="1" t="s">
        <v>156</v>
      </c>
      <c r="T483" s="1">
        <v>12</v>
      </c>
      <c r="U483" s="2">
        <v>45119</v>
      </c>
      <c r="V483" s="2">
        <v>45849</v>
      </c>
      <c r="W483" s="2" t="s">
        <v>42</v>
      </c>
      <c r="X483" s="1" t="s">
        <v>42</v>
      </c>
      <c r="Y483" s="2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788</v>
      </c>
      <c r="AF483" s="1"/>
      <c r="AG483" s="2">
        <v>45203</v>
      </c>
      <c r="AH483" s="1"/>
      <c r="AI483" s="1" t="s">
        <v>42</v>
      </c>
      <c r="AJ483" s="1"/>
      <c r="AK483" s="2" t="s">
        <v>42</v>
      </c>
      <c r="AL483" s="1" t="s">
        <v>42</v>
      </c>
    </row>
    <row r="484" spans="1:38" ht="20.100000000000001" customHeight="1" x14ac:dyDescent="0.2">
      <c r="A484" s="3">
        <f t="shared" si="14"/>
        <v>481</v>
      </c>
      <c r="B484" s="1" t="s">
        <v>2301</v>
      </c>
      <c r="C484" s="1" t="s">
        <v>2302</v>
      </c>
      <c r="D484" s="1" t="s">
        <v>121</v>
      </c>
      <c r="E484" s="1" t="s">
        <v>39</v>
      </c>
      <c r="F484" s="1" t="s">
        <v>40</v>
      </c>
      <c r="G484" s="1" t="s">
        <v>2303</v>
      </c>
      <c r="H484" s="2" t="s">
        <v>42</v>
      </c>
      <c r="I484" s="2" t="s">
        <v>42</v>
      </c>
      <c r="J484" s="7"/>
      <c r="K484" s="1" t="s">
        <v>42</v>
      </c>
      <c r="L484" s="1" t="s">
        <v>211</v>
      </c>
      <c r="M484" s="2">
        <v>45120</v>
      </c>
      <c r="N484" s="1">
        <v>2</v>
      </c>
      <c r="O484" s="2">
        <v>45120</v>
      </c>
      <c r="P484" s="1" t="s">
        <v>335</v>
      </c>
      <c r="Q484" s="1" t="s">
        <v>270</v>
      </c>
      <c r="R484" s="1" t="s">
        <v>60</v>
      </c>
      <c r="S484" s="1" t="s">
        <v>47</v>
      </c>
      <c r="T484" s="1">
        <v>8</v>
      </c>
      <c r="U484" s="2">
        <v>45120</v>
      </c>
      <c r="V484" s="2">
        <v>45485</v>
      </c>
      <c r="W484" s="2" t="s">
        <v>42</v>
      </c>
      <c r="X484" s="1" t="s">
        <v>42</v>
      </c>
      <c r="Y484" s="2" t="s">
        <v>42</v>
      </c>
      <c r="Z484" s="1" t="s">
        <v>2304</v>
      </c>
      <c r="AA484" s="1" t="s">
        <v>2305</v>
      </c>
      <c r="AB484" s="1" t="s">
        <v>2306</v>
      </c>
      <c r="AC484" s="1" t="s">
        <v>129</v>
      </c>
      <c r="AD484" s="1">
        <v>7034664628</v>
      </c>
      <c r="AE484" s="1" t="s">
        <v>443</v>
      </c>
      <c r="AF484" s="1" t="s">
        <v>66</v>
      </c>
      <c r="AG484" s="2" t="s">
        <v>42</v>
      </c>
      <c r="AH484" s="1"/>
      <c r="AI484" s="1" t="s">
        <v>42</v>
      </c>
      <c r="AJ484" s="1"/>
      <c r="AK484" s="2" t="s">
        <v>42</v>
      </c>
      <c r="AL484" s="1" t="s">
        <v>3507</v>
      </c>
    </row>
    <row r="485" spans="1:38" ht="20.100000000000001" customHeight="1" x14ac:dyDescent="0.2">
      <c r="A485" s="3">
        <f t="shared" si="14"/>
        <v>482</v>
      </c>
      <c r="B485" s="1" t="s">
        <v>2307</v>
      </c>
      <c r="C485" s="1" t="s">
        <v>2308</v>
      </c>
      <c r="D485" s="1" t="s">
        <v>121</v>
      </c>
      <c r="E485" s="1" t="s">
        <v>39</v>
      </c>
      <c r="F485" s="1" t="s">
        <v>40</v>
      </c>
      <c r="G485" s="1" t="s">
        <v>2309</v>
      </c>
      <c r="H485" s="2">
        <v>48559</v>
      </c>
      <c r="I485" s="2">
        <v>32812</v>
      </c>
      <c r="J485" s="7">
        <f t="shared" ca="1" si="15"/>
        <v>34.016438356164386</v>
      </c>
      <c r="K485" s="1" t="s">
        <v>42</v>
      </c>
      <c r="L485" s="1" t="s">
        <v>1700</v>
      </c>
      <c r="M485" s="2">
        <v>45120</v>
      </c>
      <c r="N485" s="1">
        <v>2</v>
      </c>
      <c r="O485" s="2">
        <v>45120</v>
      </c>
      <c r="P485" s="1" t="s">
        <v>44</v>
      </c>
      <c r="Q485" s="1" t="s">
        <v>408</v>
      </c>
      <c r="R485" s="1" t="s">
        <v>124</v>
      </c>
      <c r="S485" s="1" t="s">
        <v>125</v>
      </c>
      <c r="T485" s="1" t="s">
        <v>42</v>
      </c>
      <c r="U485" s="2">
        <v>45120</v>
      </c>
      <c r="V485" s="2">
        <v>45485</v>
      </c>
      <c r="W485" s="2" t="s">
        <v>42</v>
      </c>
      <c r="X485" s="1" t="s">
        <v>42</v>
      </c>
      <c r="Y485" s="2" t="s">
        <v>42</v>
      </c>
      <c r="Z485" s="1" t="s">
        <v>42</v>
      </c>
      <c r="AA485" s="1" t="s">
        <v>42</v>
      </c>
      <c r="AB485" s="1" t="s">
        <v>2310</v>
      </c>
      <c r="AC485" s="1" t="s">
        <v>129</v>
      </c>
      <c r="AD485" s="1">
        <v>7009073037</v>
      </c>
      <c r="AE485" s="1" t="s">
        <v>103</v>
      </c>
      <c r="AF485" s="1"/>
      <c r="AG485" s="2" t="s">
        <v>42</v>
      </c>
      <c r="AH485" s="1"/>
      <c r="AI485" s="1" t="s">
        <v>42</v>
      </c>
      <c r="AJ485" s="1"/>
      <c r="AK485" s="2" t="s">
        <v>42</v>
      </c>
      <c r="AL485" s="1" t="s">
        <v>3507</v>
      </c>
    </row>
    <row r="486" spans="1:38" ht="20.100000000000001" customHeight="1" x14ac:dyDescent="0.2">
      <c r="A486" s="3">
        <f t="shared" si="14"/>
        <v>483</v>
      </c>
      <c r="B486" s="1" t="s">
        <v>2311</v>
      </c>
      <c r="C486" s="1" t="s">
        <v>42</v>
      </c>
      <c r="D486" s="1" t="s">
        <v>38</v>
      </c>
      <c r="E486" s="1" t="s">
        <v>69</v>
      </c>
      <c r="F486" s="1" t="s">
        <v>70</v>
      </c>
      <c r="G486" s="1" t="s">
        <v>42</v>
      </c>
      <c r="H486" s="2" t="s">
        <v>42</v>
      </c>
      <c r="I486" s="2">
        <v>31641</v>
      </c>
      <c r="J486" s="7">
        <f t="shared" ca="1" si="15"/>
        <v>37.224657534246575</v>
      </c>
      <c r="K486" s="1" t="s">
        <v>1089</v>
      </c>
      <c r="L486" s="1" t="s">
        <v>2312</v>
      </c>
      <c r="M486" s="2" t="s">
        <v>42</v>
      </c>
      <c r="N486" s="1">
        <v>2</v>
      </c>
      <c r="O486" s="2" t="s">
        <v>42</v>
      </c>
      <c r="P486" s="1" t="s">
        <v>44</v>
      </c>
      <c r="Q486" s="1" t="s">
        <v>2313</v>
      </c>
      <c r="R486" s="1" t="s">
        <v>60</v>
      </c>
      <c r="S486" s="1" t="s">
        <v>47</v>
      </c>
      <c r="T486" s="1">
        <v>12</v>
      </c>
      <c r="U486" s="2" t="s">
        <v>42</v>
      </c>
      <c r="V486" s="2" t="s">
        <v>42</v>
      </c>
      <c r="W486" s="2" t="s">
        <v>42</v>
      </c>
      <c r="X486" s="1" t="s">
        <v>2314</v>
      </c>
      <c r="Y486" s="2">
        <v>47293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>
        <v>7015572543</v>
      </c>
      <c r="AE486" s="1" t="s">
        <v>3506</v>
      </c>
      <c r="AF486" s="1"/>
      <c r="AG486" s="2" t="s">
        <v>42</v>
      </c>
      <c r="AH486" s="1"/>
      <c r="AI486" s="1" t="s">
        <v>42</v>
      </c>
      <c r="AJ486" s="1"/>
      <c r="AK486" s="2" t="s">
        <v>42</v>
      </c>
      <c r="AL486" s="1" t="s">
        <v>3507</v>
      </c>
    </row>
    <row r="487" spans="1:38" ht="20.100000000000001" customHeight="1" x14ac:dyDescent="0.2">
      <c r="A487" s="3">
        <f t="shared" si="14"/>
        <v>484</v>
      </c>
      <c r="B487" s="1" t="s">
        <v>2315</v>
      </c>
      <c r="C487" s="1" t="s">
        <v>2316</v>
      </c>
      <c r="D487" s="1" t="s">
        <v>38</v>
      </c>
      <c r="E487" s="1" t="s">
        <v>69</v>
      </c>
      <c r="F487" s="1" t="s">
        <v>70</v>
      </c>
      <c r="G487" s="1" t="s">
        <v>2317</v>
      </c>
      <c r="H487" s="2">
        <v>45231</v>
      </c>
      <c r="I487" s="2">
        <v>32402</v>
      </c>
      <c r="J487" s="7">
        <f t="shared" ca="1" si="15"/>
        <v>35.139726027397259</v>
      </c>
      <c r="K487" s="1" t="s">
        <v>2318</v>
      </c>
      <c r="L487" s="1" t="s">
        <v>186</v>
      </c>
      <c r="M487" s="2">
        <v>45133</v>
      </c>
      <c r="N487" s="1">
        <v>2</v>
      </c>
      <c r="O487" s="2" t="s">
        <v>42</v>
      </c>
      <c r="P487" s="1" t="s">
        <v>44</v>
      </c>
      <c r="Q487" s="1" t="s">
        <v>66</v>
      </c>
      <c r="R487" s="1" t="s">
        <v>60</v>
      </c>
      <c r="S487" s="1" t="s">
        <v>47</v>
      </c>
      <c r="T487" s="1">
        <v>12</v>
      </c>
      <c r="U487" s="2" t="s">
        <v>42</v>
      </c>
      <c r="V487" s="2" t="s">
        <v>42</v>
      </c>
      <c r="W487" s="2" t="s">
        <v>42</v>
      </c>
      <c r="X487" s="1" t="s">
        <v>42</v>
      </c>
      <c r="Y487" s="2" t="s">
        <v>42</v>
      </c>
      <c r="Z487" s="1" t="s">
        <v>2319</v>
      </c>
      <c r="AA487" s="1" t="s">
        <v>2320</v>
      </c>
      <c r="AB487" s="1" t="s">
        <v>2321</v>
      </c>
      <c r="AC487" s="1" t="s">
        <v>129</v>
      </c>
      <c r="AD487" s="1">
        <v>7014477116</v>
      </c>
      <c r="AE487" s="1" t="s">
        <v>65</v>
      </c>
      <c r="AF487" s="1" t="s">
        <v>66</v>
      </c>
      <c r="AG487" s="2" t="s">
        <v>42</v>
      </c>
      <c r="AH487" s="1"/>
      <c r="AI487" s="1" t="s">
        <v>42</v>
      </c>
      <c r="AJ487" s="1"/>
      <c r="AK487" s="2" t="s">
        <v>42</v>
      </c>
      <c r="AL487" s="1" t="s">
        <v>3507</v>
      </c>
    </row>
    <row r="488" spans="1:38" ht="20.100000000000001" customHeight="1" x14ac:dyDescent="0.2">
      <c r="A488" s="3">
        <f t="shared" si="14"/>
        <v>485</v>
      </c>
      <c r="B488" s="1" t="s">
        <v>3470</v>
      </c>
      <c r="C488" s="1" t="s">
        <v>3471</v>
      </c>
      <c r="D488" s="1" t="s">
        <v>38</v>
      </c>
      <c r="E488" s="1" t="s">
        <v>150</v>
      </c>
      <c r="F488" s="1" t="s">
        <v>70</v>
      </c>
      <c r="G488" s="1" t="s">
        <v>3472</v>
      </c>
      <c r="H488" s="2" t="s">
        <v>42</v>
      </c>
      <c r="I488" s="2">
        <v>35222</v>
      </c>
      <c r="J488" s="7">
        <f t="shared" ca="1" si="15"/>
        <v>27.413698630136988</v>
      </c>
      <c r="K488" s="1" t="s">
        <v>134</v>
      </c>
      <c r="L488" s="1" t="s">
        <v>3473</v>
      </c>
      <c r="M488" s="2">
        <v>45124</v>
      </c>
      <c r="N488" s="1">
        <v>2</v>
      </c>
      <c r="O488" s="2" t="s">
        <v>42</v>
      </c>
      <c r="P488" s="1" t="s">
        <v>44</v>
      </c>
      <c r="Q488" s="1" t="s">
        <v>431</v>
      </c>
      <c r="R488" s="1" t="s">
        <v>60</v>
      </c>
      <c r="S488" s="1" t="s">
        <v>156</v>
      </c>
      <c r="T488" s="1">
        <v>12</v>
      </c>
      <c r="U488" s="2">
        <v>45124</v>
      </c>
      <c r="V488" s="2">
        <v>45854</v>
      </c>
      <c r="W488" s="2" t="s">
        <v>42</v>
      </c>
      <c r="X488" s="1" t="s">
        <v>42</v>
      </c>
      <c r="Y488" s="2" t="s">
        <v>42</v>
      </c>
      <c r="Z488" s="1" t="s">
        <v>3474</v>
      </c>
      <c r="AA488" s="1" t="s">
        <v>3475</v>
      </c>
      <c r="AB488" s="1" t="s">
        <v>42</v>
      </c>
      <c r="AC488" s="1" t="s">
        <v>551</v>
      </c>
      <c r="AD488" s="1"/>
      <c r="AE488" s="1" t="s">
        <v>788</v>
      </c>
      <c r="AF488" s="1" t="s">
        <v>436</v>
      </c>
      <c r="AG488" s="2">
        <v>45216</v>
      </c>
      <c r="AH488" s="1" t="s">
        <v>2805</v>
      </c>
      <c r="AI488" s="1" t="s">
        <v>42</v>
      </c>
      <c r="AJ488" s="1"/>
      <c r="AK488" s="2" t="s">
        <v>42</v>
      </c>
      <c r="AL488" s="1" t="s">
        <v>3507</v>
      </c>
    </row>
    <row r="489" spans="1:38" ht="20.100000000000001" customHeight="1" x14ac:dyDescent="0.2">
      <c r="A489" s="3">
        <f t="shared" si="14"/>
        <v>486</v>
      </c>
      <c r="B489" s="1" t="s">
        <v>2322</v>
      </c>
      <c r="C489" s="1" t="s">
        <v>2323</v>
      </c>
      <c r="D489" s="1" t="s">
        <v>38</v>
      </c>
      <c r="E489" s="1" t="s">
        <v>69</v>
      </c>
      <c r="F489" s="1" t="s">
        <v>70</v>
      </c>
      <c r="G489" s="1" t="s">
        <v>2324</v>
      </c>
      <c r="H489" s="2">
        <v>45494</v>
      </c>
      <c r="I489" s="2">
        <v>36892</v>
      </c>
      <c r="J489" s="7">
        <f t="shared" ca="1" si="15"/>
        <v>22.838356164383562</v>
      </c>
      <c r="K489" s="1" t="s">
        <v>1089</v>
      </c>
      <c r="L489" s="1" t="s">
        <v>57</v>
      </c>
      <c r="M489" s="2">
        <v>45116</v>
      </c>
      <c r="N489" s="1">
        <v>2</v>
      </c>
      <c r="O489" s="2" t="s">
        <v>42</v>
      </c>
      <c r="P489" s="1" t="s">
        <v>335</v>
      </c>
      <c r="Q489" s="1" t="s">
        <v>394</v>
      </c>
      <c r="R489" s="1" t="s">
        <v>60</v>
      </c>
      <c r="S489" s="1" t="s">
        <v>47</v>
      </c>
      <c r="T489" s="1">
        <v>12</v>
      </c>
      <c r="U489" s="2">
        <v>45126</v>
      </c>
      <c r="V489" s="2">
        <v>45856</v>
      </c>
      <c r="W489" s="2" t="s">
        <v>42</v>
      </c>
      <c r="X489" s="1" t="s">
        <v>42</v>
      </c>
      <c r="Y489" s="2" t="s">
        <v>42</v>
      </c>
      <c r="Z489" s="1" t="s">
        <v>2325</v>
      </c>
      <c r="AA489" s="1" t="s">
        <v>42</v>
      </c>
      <c r="AB489" s="1" t="s">
        <v>2326</v>
      </c>
      <c r="AC489" s="1" t="s">
        <v>50</v>
      </c>
      <c r="AD489" s="1">
        <v>7034664628</v>
      </c>
      <c r="AE489" s="1" t="s">
        <v>443</v>
      </c>
      <c r="AF489" s="1" t="s">
        <v>66</v>
      </c>
      <c r="AG489" s="2" t="s">
        <v>42</v>
      </c>
      <c r="AH489" s="1"/>
      <c r="AI489" s="1" t="s">
        <v>42</v>
      </c>
      <c r="AJ489" s="1"/>
      <c r="AK489" s="2" t="s">
        <v>42</v>
      </c>
      <c r="AL489" s="1" t="s">
        <v>3507</v>
      </c>
    </row>
    <row r="490" spans="1:38" ht="20.100000000000001" customHeight="1" x14ac:dyDescent="0.2">
      <c r="A490" s="3">
        <f t="shared" si="14"/>
        <v>487</v>
      </c>
      <c r="B490" s="1" t="s">
        <v>2327</v>
      </c>
      <c r="C490" s="1" t="s">
        <v>2328</v>
      </c>
      <c r="D490" s="1" t="s">
        <v>38</v>
      </c>
      <c r="E490" s="1" t="s">
        <v>39</v>
      </c>
      <c r="F490" s="1" t="s">
        <v>40</v>
      </c>
      <c r="G490" s="1" t="s">
        <v>2329</v>
      </c>
      <c r="H490" s="2">
        <v>45203</v>
      </c>
      <c r="I490" s="2">
        <v>37714</v>
      </c>
      <c r="J490" s="7">
        <f t="shared" ca="1" si="15"/>
        <v>20.586301369863012</v>
      </c>
      <c r="K490" s="1" t="s">
        <v>42</v>
      </c>
      <c r="L490" s="1" t="s">
        <v>211</v>
      </c>
      <c r="M490" s="2">
        <v>45125</v>
      </c>
      <c r="N490" s="1">
        <v>2</v>
      </c>
      <c r="O490" s="2">
        <v>45125</v>
      </c>
      <c r="P490" s="1" t="s">
        <v>44</v>
      </c>
      <c r="Q490" s="1" t="s">
        <v>744</v>
      </c>
      <c r="R490" s="1" t="s">
        <v>60</v>
      </c>
      <c r="S490" s="1" t="s">
        <v>47</v>
      </c>
      <c r="T490" s="1">
        <v>8</v>
      </c>
      <c r="U490" s="2">
        <v>45125</v>
      </c>
      <c r="V490" s="2">
        <v>45490</v>
      </c>
      <c r="W490" s="2" t="s">
        <v>42</v>
      </c>
      <c r="X490" s="1" t="s">
        <v>42</v>
      </c>
      <c r="Y490" s="2" t="s">
        <v>42</v>
      </c>
      <c r="Z490" s="1" t="s">
        <v>2330</v>
      </c>
      <c r="AA490" s="1" t="s">
        <v>2331</v>
      </c>
      <c r="AB490" s="1" t="s">
        <v>2332</v>
      </c>
      <c r="AC490" s="1" t="s">
        <v>129</v>
      </c>
      <c r="AD490" s="1">
        <v>7015572543</v>
      </c>
      <c r="AE490" s="1" t="s">
        <v>3506</v>
      </c>
      <c r="AF490" s="1" t="s">
        <v>66</v>
      </c>
      <c r="AG490" s="2" t="s">
        <v>42</v>
      </c>
      <c r="AH490" s="1"/>
      <c r="AI490" s="1" t="s">
        <v>42</v>
      </c>
      <c r="AJ490" s="1"/>
      <c r="AK490" s="2" t="s">
        <v>42</v>
      </c>
      <c r="AL490" s="1" t="s">
        <v>3507</v>
      </c>
    </row>
    <row r="491" spans="1:38" ht="20.100000000000001" customHeight="1" x14ac:dyDescent="0.2">
      <c r="A491" s="3">
        <f t="shared" si="14"/>
        <v>488</v>
      </c>
      <c r="B491" s="1" t="s">
        <v>2333</v>
      </c>
      <c r="C491" s="1" t="s">
        <v>2334</v>
      </c>
      <c r="D491" s="1" t="s">
        <v>121</v>
      </c>
      <c r="E491" s="1" t="s">
        <v>39</v>
      </c>
      <c r="F491" s="1" t="s">
        <v>40</v>
      </c>
      <c r="G491" s="1" t="s">
        <v>2335</v>
      </c>
      <c r="H491" s="2">
        <v>46388</v>
      </c>
      <c r="I491" s="2">
        <v>34767</v>
      </c>
      <c r="J491" s="7">
        <f t="shared" ca="1" si="15"/>
        <v>28.660273972602738</v>
      </c>
      <c r="K491" s="1" t="s">
        <v>42</v>
      </c>
      <c r="L491" s="1" t="s">
        <v>211</v>
      </c>
      <c r="M491" s="2">
        <v>45127</v>
      </c>
      <c r="N491" s="1">
        <v>2</v>
      </c>
      <c r="O491" s="2">
        <v>45127</v>
      </c>
      <c r="P491" s="1" t="s">
        <v>335</v>
      </c>
      <c r="Q491" s="1" t="s">
        <v>270</v>
      </c>
      <c r="R491" s="1" t="s">
        <v>60</v>
      </c>
      <c r="S491" s="1" t="s">
        <v>47</v>
      </c>
      <c r="T491" s="1">
        <v>8</v>
      </c>
      <c r="U491" s="2">
        <v>45127</v>
      </c>
      <c r="V491" s="2">
        <v>45492</v>
      </c>
      <c r="W491" s="2" t="s">
        <v>42</v>
      </c>
      <c r="X491" s="1" t="s">
        <v>42</v>
      </c>
      <c r="Y491" s="2" t="s">
        <v>42</v>
      </c>
      <c r="Z491" s="1" t="s">
        <v>2336</v>
      </c>
      <c r="AA491" s="1" t="s">
        <v>2337</v>
      </c>
      <c r="AB491" s="1" t="s">
        <v>2338</v>
      </c>
      <c r="AC491" s="1" t="s">
        <v>129</v>
      </c>
      <c r="AD491" s="1">
        <v>7034664628</v>
      </c>
      <c r="AE491" s="1" t="s">
        <v>443</v>
      </c>
      <c r="AF491" s="1" t="s">
        <v>66</v>
      </c>
      <c r="AG491" s="2" t="s">
        <v>42</v>
      </c>
      <c r="AH491" s="1"/>
      <c r="AI491" s="1" t="s">
        <v>42</v>
      </c>
      <c r="AJ491" s="1"/>
      <c r="AK491" s="2" t="s">
        <v>42</v>
      </c>
      <c r="AL491" s="1" t="s">
        <v>3507</v>
      </c>
    </row>
    <row r="492" spans="1:38" ht="20.100000000000001" customHeight="1" x14ac:dyDescent="0.2">
      <c r="A492" s="3">
        <f t="shared" si="14"/>
        <v>489</v>
      </c>
      <c r="B492" s="1" t="s">
        <v>2339</v>
      </c>
      <c r="C492" s="1" t="s">
        <v>2340</v>
      </c>
      <c r="D492" s="1" t="s">
        <v>38</v>
      </c>
      <c r="E492" s="1" t="s">
        <v>54</v>
      </c>
      <c r="F492" s="1" t="s">
        <v>55</v>
      </c>
      <c r="G492" s="1" t="s">
        <v>2341</v>
      </c>
      <c r="H492" s="2">
        <v>45387</v>
      </c>
      <c r="I492" s="2" t="s">
        <v>42</v>
      </c>
      <c r="J492" s="7"/>
      <c r="K492" s="1" t="s">
        <v>42</v>
      </c>
      <c r="L492" s="1" t="s">
        <v>42</v>
      </c>
      <c r="M492" s="2" t="s">
        <v>42</v>
      </c>
      <c r="N492" s="1">
        <v>2</v>
      </c>
      <c r="O492" s="2" t="s">
        <v>42</v>
      </c>
      <c r="P492" s="1" t="s">
        <v>44</v>
      </c>
      <c r="Q492" s="1" t="s">
        <v>2342</v>
      </c>
      <c r="R492" s="1" t="s">
        <v>42</v>
      </c>
      <c r="S492" s="1"/>
      <c r="T492" s="1" t="s">
        <v>42</v>
      </c>
      <c r="U492" s="2" t="s">
        <v>42</v>
      </c>
      <c r="V492" s="2" t="s">
        <v>42</v>
      </c>
      <c r="W492" s="2" t="s">
        <v>42</v>
      </c>
      <c r="X492" s="1" t="s">
        <v>42</v>
      </c>
      <c r="Y492" s="2" t="s">
        <v>42</v>
      </c>
      <c r="Z492" s="1" t="s">
        <v>42</v>
      </c>
      <c r="AA492" s="1" t="s">
        <v>42</v>
      </c>
      <c r="AB492" s="1" t="s">
        <v>42</v>
      </c>
      <c r="AC492" s="1" t="s">
        <v>42</v>
      </c>
      <c r="AD492" s="1">
        <v>7031100741</v>
      </c>
      <c r="AE492" s="1" t="s">
        <v>2343</v>
      </c>
      <c r="AF492" s="1" t="s">
        <v>436</v>
      </c>
      <c r="AG492" s="2" t="s">
        <v>42</v>
      </c>
      <c r="AH492" s="1"/>
      <c r="AI492" s="1" t="s">
        <v>42</v>
      </c>
      <c r="AJ492" s="1"/>
      <c r="AK492" s="2" t="s">
        <v>42</v>
      </c>
      <c r="AL492" s="1" t="s">
        <v>3507</v>
      </c>
    </row>
    <row r="493" spans="1:38" ht="20.100000000000001" customHeight="1" x14ac:dyDescent="0.2">
      <c r="A493" s="3">
        <f t="shared" si="14"/>
        <v>490</v>
      </c>
      <c r="B493" s="1" t="s">
        <v>2344</v>
      </c>
      <c r="C493" s="1" t="s">
        <v>2345</v>
      </c>
      <c r="D493" s="1" t="s">
        <v>38</v>
      </c>
      <c r="E493" s="1" t="s">
        <v>54</v>
      </c>
      <c r="F493" s="1" t="s">
        <v>55</v>
      </c>
      <c r="G493" s="1" t="s">
        <v>2346</v>
      </c>
      <c r="H493" s="2" t="s">
        <v>42</v>
      </c>
      <c r="I493" s="2" t="s">
        <v>42</v>
      </c>
      <c r="J493" s="7"/>
      <c r="K493" s="1" t="s">
        <v>42</v>
      </c>
      <c r="L493" s="1" t="s">
        <v>42</v>
      </c>
      <c r="M493" s="2" t="s">
        <v>42</v>
      </c>
      <c r="N493" s="1">
        <v>2</v>
      </c>
      <c r="O493" s="2" t="s">
        <v>42</v>
      </c>
      <c r="P493" s="1" t="s">
        <v>44</v>
      </c>
      <c r="Q493" s="1" t="s">
        <v>2342</v>
      </c>
      <c r="R493" s="1" t="s">
        <v>42</v>
      </c>
      <c r="S493" s="1"/>
      <c r="T493" s="1" t="s">
        <v>42</v>
      </c>
      <c r="U493" s="2" t="s">
        <v>42</v>
      </c>
      <c r="V493" s="2" t="s">
        <v>42</v>
      </c>
      <c r="W493" s="2" t="s">
        <v>42</v>
      </c>
      <c r="X493" s="1" t="s">
        <v>42</v>
      </c>
      <c r="Y493" s="2" t="s">
        <v>42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>
        <v>7031100741</v>
      </c>
      <c r="AE493" s="1" t="s">
        <v>2343</v>
      </c>
      <c r="AF493" s="1" t="s">
        <v>436</v>
      </c>
      <c r="AG493" s="2" t="s">
        <v>42</v>
      </c>
      <c r="AH493" s="1"/>
      <c r="AI493" s="1" t="s">
        <v>42</v>
      </c>
      <c r="AJ493" s="1"/>
      <c r="AK493" s="2" t="s">
        <v>42</v>
      </c>
      <c r="AL493" s="1" t="s">
        <v>3507</v>
      </c>
    </row>
    <row r="494" spans="1:38" ht="20.100000000000001" customHeight="1" x14ac:dyDescent="0.2">
      <c r="A494" s="3">
        <f t="shared" si="14"/>
        <v>491</v>
      </c>
      <c r="B494" s="1" t="s">
        <v>2347</v>
      </c>
      <c r="C494" s="1" t="s">
        <v>2348</v>
      </c>
      <c r="D494" s="1" t="s">
        <v>38</v>
      </c>
      <c r="E494" s="1" t="s">
        <v>54</v>
      </c>
      <c r="F494" s="1" t="s">
        <v>55</v>
      </c>
      <c r="G494" s="1" t="s">
        <v>2349</v>
      </c>
      <c r="H494" s="2" t="s">
        <v>42</v>
      </c>
      <c r="I494" s="2" t="s">
        <v>42</v>
      </c>
      <c r="J494" s="7"/>
      <c r="K494" s="1" t="s">
        <v>42</v>
      </c>
      <c r="L494" s="1" t="s">
        <v>42</v>
      </c>
      <c r="M494" s="2" t="s">
        <v>42</v>
      </c>
      <c r="N494" s="1">
        <v>2</v>
      </c>
      <c r="O494" s="2" t="s">
        <v>42</v>
      </c>
      <c r="P494" s="1" t="s">
        <v>44</v>
      </c>
      <c r="Q494" s="1" t="s">
        <v>2342</v>
      </c>
      <c r="R494" s="1" t="s">
        <v>42</v>
      </c>
      <c r="S494" s="1"/>
      <c r="T494" s="1" t="s">
        <v>42</v>
      </c>
      <c r="U494" s="2" t="s">
        <v>42</v>
      </c>
      <c r="V494" s="2" t="s">
        <v>42</v>
      </c>
      <c r="W494" s="2" t="s">
        <v>42</v>
      </c>
      <c r="X494" s="1" t="s">
        <v>42</v>
      </c>
      <c r="Y494" s="2" t="s">
        <v>42</v>
      </c>
      <c r="Z494" s="1" t="s">
        <v>42</v>
      </c>
      <c r="AA494" s="1" t="s">
        <v>42</v>
      </c>
      <c r="AB494" s="1" t="s">
        <v>42</v>
      </c>
      <c r="AC494" s="1" t="s">
        <v>42</v>
      </c>
      <c r="AD494" s="1">
        <v>7031100741</v>
      </c>
      <c r="AE494" s="1" t="s">
        <v>2343</v>
      </c>
      <c r="AF494" s="1" t="s">
        <v>436</v>
      </c>
      <c r="AG494" s="2" t="s">
        <v>42</v>
      </c>
      <c r="AH494" s="1"/>
      <c r="AI494" s="1" t="s">
        <v>42</v>
      </c>
      <c r="AJ494" s="1"/>
      <c r="AK494" s="2" t="s">
        <v>42</v>
      </c>
      <c r="AL494" s="1" t="s">
        <v>3507</v>
      </c>
    </row>
    <row r="495" spans="1:38" ht="20.100000000000001" customHeight="1" x14ac:dyDescent="0.2">
      <c r="A495" s="3">
        <f t="shared" si="14"/>
        <v>492</v>
      </c>
      <c r="B495" s="1" t="s">
        <v>2350</v>
      </c>
      <c r="C495" s="1" t="s">
        <v>2351</v>
      </c>
      <c r="D495" s="1" t="s">
        <v>38</v>
      </c>
      <c r="E495" s="1" t="s">
        <v>54</v>
      </c>
      <c r="F495" s="1" t="s">
        <v>55</v>
      </c>
      <c r="G495" s="1" t="s">
        <v>2352</v>
      </c>
      <c r="H495" s="2" t="s">
        <v>42</v>
      </c>
      <c r="I495" s="2" t="s">
        <v>42</v>
      </c>
      <c r="J495" s="7"/>
      <c r="K495" s="1" t="s">
        <v>42</v>
      </c>
      <c r="L495" s="1" t="s">
        <v>42</v>
      </c>
      <c r="M495" s="2" t="s">
        <v>42</v>
      </c>
      <c r="N495" s="1">
        <v>2</v>
      </c>
      <c r="O495" s="2" t="s">
        <v>42</v>
      </c>
      <c r="P495" s="1" t="s">
        <v>44</v>
      </c>
      <c r="Q495" s="1" t="s">
        <v>2342</v>
      </c>
      <c r="R495" s="1" t="s">
        <v>42</v>
      </c>
      <c r="S495" s="1"/>
      <c r="T495" s="1" t="s">
        <v>42</v>
      </c>
      <c r="U495" s="2" t="s">
        <v>42</v>
      </c>
      <c r="V495" s="2" t="s">
        <v>42</v>
      </c>
      <c r="W495" s="2" t="s">
        <v>42</v>
      </c>
      <c r="X495" s="1" t="s">
        <v>42</v>
      </c>
      <c r="Y495" s="2" t="s">
        <v>42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>
        <v>7031100741</v>
      </c>
      <c r="AE495" s="1" t="s">
        <v>2343</v>
      </c>
      <c r="AF495" s="1" t="s">
        <v>436</v>
      </c>
      <c r="AG495" s="2" t="s">
        <v>42</v>
      </c>
      <c r="AH495" s="1"/>
      <c r="AI495" s="1" t="s">
        <v>42</v>
      </c>
      <c r="AJ495" s="1"/>
      <c r="AK495" s="2" t="s">
        <v>42</v>
      </c>
      <c r="AL495" s="1" t="s">
        <v>3507</v>
      </c>
    </row>
    <row r="496" spans="1:38" ht="20.100000000000001" customHeight="1" x14ac:dyDescent="0.2">
      <c r="A496" s="3">
        <f t="shared" si="14"/>
        <v>493</v>
      </c>
      <c r="B496" s="1" t="s">
        <v>2353</v>
      </c>
      <c r="C496" s="1" t="s">
        <v>2354</v>
      </c>
      <c r="D496" s="1" t="s">
        <v>38</v>
      </c>
      <c r="E496" s="1" t="s">
        <v>2355</v>
      </c>
      <c r="F496" s="1" t="s">
        <v>55</v>
      </c>
      <c r="G496" s="1" t="s">
        <v>2356</v>
      </c>
      <c r="H496" s="2" t="s">
        <v>42</v>
      </c>
      <c r="I496" s="2" t="s">
        <v>42</v>
      </c>
      <c r="J496" s="7"/>
      <c r="K496" s="1" t="s">
        <v>42</v>
      </c>
      <c r="L496" s="1" t="s">
        <v>42</v>
      </c>
      <c r="M496" s="2" t="s">
        <v>42</v>
      </c>
      <c r="N496" s="1">
        <v>2</v>
      </c>
      <c r="O496" s="2" t="s">
        <v>42</v>
      </c>
      <c r="P496" s="1" t="s">
        <v>44</v>
      </c>
      <c r="Q496" s="1" t="s">
        <v>2342</v>
      </c>
      <c r="R496" s="1" t="s">
        <v>42</v>
      </c>
      <c r="S496" s="1"/>
      <c r="T496" s="1" t="s">
        <v>42</v>
      </c>
      <c r="U496" s="2" t="s">
        <v>42</v>
      </c>
      <c r="V496" s="2" t="s">
        <v>42</v>
      </c>
      <c r="W496" s="2" t="s">
        <v>42</v>
      </c>
      <c r="X496" s="1" t="s">
        <v>42</v>
      </c>
      <c r="Y496" s="2" t="s">
        <v>42</v>
      </c>
      <c r="Z496" s="1" t="s">
        <v>42</v>
      </c>
      <c r="AA496" s="1" t="s">
        <v>42</v>
      </c>
      <c r="AB496" s="1" t="s">
        <v>42</v>
      </c>
      <c r="AC496" s="1" t="s">
        <v>42</v>
      </c>
      <c r="AD496" s="1">
        <v>7031100741</v>
      </c>
      <c r="AE496" s="1" t="s">
        <v>2343</v>
      </c>
      <c r="AF496" s="1" t="s">
        <v>436</v>
      </c>
      <c r="AG496" s="2" t="s">
        <v>42</v>
      </c>
      <c r="AH496" s="1"/>
      <c r="AI496" s="1" t="s">
        <v>42</v>
      </c>
      <c r="AJ496" s="1"/>
      <c r="AK496" s="2" t="s">
        <v>42</v>
      </c>
      <c r="AL496" s="1" t="s">
        <v>3507</v>
      </c>
    </row>
    <row r="497" spans="1:38" ht="20.100000000000001" customHeight="1" x14ac:dyDescent="0.2">
      <c r="A497" s="3">
        <f t="shared" si="14"/>
        <v>494</v>
      </c>
      <c r="B497" s="1" t="s">
        <v>2357</v>
      </c>
      <c r="C497" s="1" t="s">
        <v>2358</v>
      </c>
      <c r="D497" s="1" t="s">
        <v>38</v>
      </c>
      <c r="E497" s="1" t="s">
        <v>2355</v>
      </c>
      <c r="F497" s="1" t="s">
        <v>55</v>
      </c>
      <c r="G497" s="1" t="s">
        <v>2359</v>
      </c>
      <c r="H497" s="2" t="s">
        <v>42</v>
      </c>
      <c r="I497" s="2" t="s">
        <v>42</v>
      </c>
      <c r="J497" s="7"/>
      <c r="K497" s="1" t="s">
        <v>42</v>
      </c>
      <c r="L497" s="1" t="s">
        <v>42</v>
      </c>
      <c r="M497" s="2" t="s">
        <v>42</v>
      </c>
      <c r="N497" s="1">
        <v>2</v>
      </c>
      <c r="O497" s="2" t="s">
        <v>42</v>
      </c>
      <c r="P497" s="1" t="s">
        <v>44</v>
      </c>
      <c r="Q497" s="1" t="s">
        <v>2342</v>
      </c>
      <c r="R497" s="1" t="s">
        <v>42</v>
      </c>
      <c r="S497" s="1"/>
      <c r="T497" s="1" t="s">
        <v>42</v>
      </c>
      <c r="U497" s="2" t="s">
        <v>42</v>
      </c>
      <c r="V497" s="2" t="s">
        <v>42</v>
      </c>
      <c r="W497" s="2" t="s">
        <v>42</v>
      </c>
      <c r="X497" s="1" t="s">
        <v>42</v>
      </c>
      <c r="Y497" s="2" t="s">
        <v>42</v>
      </c>
      <c r="Z497" s="1" t="s">
        <v>42</v>
      </c>
      <c r="AA497" s="1" t="s">
        <v>42</v>
      </c>
      <c r="AB497" s="1" t="s">
        <v>42</v>
      </c>
      <c r="AC497" s="1" t="s">
        <v>42</v>
      </c>
      <c r="AD497" s="1">
        <v>7031100741</v>
      </c>
      <c r="AE497" s="1" t="s">
        <v>2343</v>
      </c>
      <c r="AF497" s="1" t="s">
        <v>436</v>
      </c>
      <c r="AG497" s="2" t="s">
        <v>42</v>
      </c>
      <c r="AH497" s="1"/>
      <c r="AI497" s="1" t="s">
        <v>42</v>
      </c>
      <c r="AJ497" s="1"/>
      <c r="AK497" s="2" t="s">
        <v>42</v>
      </c>
      <c r="AL497" s="1" t="s">
        <v>3507</v>
      </c>
    </row>
    <row r="498" spans="1:38" ht="20.100000000000001" customHeight="1" x14ac:dyDescent="0.2">
      <c r="A498" s="3">
        <f t="shared" si="14"/>
        <v>495</v>
      </c>
      <c r="B498" s="1" t="s">
        <v>2360</v>
      </c>
      <c r="C498" s="1" t="s">
        <v>2361</v>
      </c>
      <c r="D498" s="1" t="s">
        <v>38</v>
      </c>
      <c r="E498" s="1" t="s">
        <v>42</v>
      </c>
      <c r="F498" s="1"/>
      <c r="G498" s="1" t="s">
        <v>42</v>
      </c>
      <c r="H498" s="2" t="s">
        <v>42</v>
      </c>
      <c r="I498" s="2" t="s">
        <v>42</v>
      </c>
      <c r="J498" s="7"/>
      <c r="K498" s="1" t="s">
        <v>42</v>
      </c>
      <c r="L498" s="1" t="s">
        <v>42</v>
      </c>
      <c r="M498" s="2" t="s">
        <v>42</v>
      </c>
      <c r="N498" s="1">
        <v>2</v>
      </c>
      <c r="O498" s="2" t="s">
        <v>42</v>
      </c>
      <c r="P498" s="1" t="s">
        <v>44</v>
      </c>
      <c r="Q498" s="1" t="s">
        <v>2342</v>
      </c>
      <c r="R498" s="1" t="s">
        <v>42</v>
      </c>
      <c r="S498" s="1"/>
      <c r="T498" s="1" t="s">
        <v>42</v>
      </c>
      <c r="U498" s="2" t="s">
        <v>42</v>
      </c>
      <c r="V498" s="2" t="s">
        <v>42</v>
      </c>
      <c r="W498" s="2" t="s">
        <v>42</v>
      </c>
      <c r="X498" s="1" t="s">
        <v>42</v>
      </c>
      <c r="Y498" s="2" t="s">
        <v>42</v>
      </c>
      <c r="Z498" s="1" t="s">
        <v>42</v>
      </c>
      <c r="AA498" s="1" t="s">
        <v>42</v>
      </c>
      <c r="AB498" s="1" t="s">
        <v>42</v>
      </c>
      <c r="AC498" s="1" t="s">
        <v>42</v>
      </c>
      <c r="AD498" s="1"/>
      <c r="AE498" s="1" t="s">
        <v>788</v>
      </c>
      <c r="AF498" s="1" t="s">
        <v>436</v>
      </c>
      <c r="AG498" s="2" t="s">
        <v>42</v>
      </c>
      <c r="AH498" s="1"/>
      <c r="AI498" s="1" t="s">
        <v>42</v>
      </c>
      <c r="AJ498" s="1"/>
      <c r="AK498" s="2" t="s">
        <v>42</v>
      </c>
      <c r="AL498" s="1" t="s">
        <v>3507</v>
      </c>
    </row>
    <row r="499" spans="1:38" ht="20.100000000000001" customHeight="1" x14ac:dyDescent="0.2">
      <c r="A499" s="3">
        <f t="shared" si="14"/>
        <v>496</v>
      </c>
      <c r="B499" s="1" t="s">
        <v>2362</v>
      </c>
      <c r="C499" s="1" t="s">
        <v>2363</v>
      </c>
      <c r="D499" s="1" t="s">
        <v>38</v>
      </c>
      <c r="E499" s="1" t="s">
        <v>150</v>
      </c>
      <c r="F499" s="1" t="s">
        <v>70</v>
      </c>
      <c r="G499" s="1" t="s">
        <v>2364</v>
      </c>
      <c r="H499" s="2" t="s">
        <v>42</v>
      </c>
      <c r="I499" s="2">
        <v>36640</v>
      </c>
      <c r="J499" s="7">
        <f t="shared" ca="1" si="15"/>
        <v>23.528767123287672</v>
      </c>
      <c r="K499" s="1" t="s">
        <v>42</v>
      </c>
      <c r="L499" s="1" t="s">
        <v>42</v>
      </c>
      <c r="M499" s="2" t="s">
        <v>42</v>
      </c>
      <c r="N499" s="1">
        <v>2</v>
      </c>
      <c r="O499" s="2" t="s">
        <v>42</v>
      </c>
      <c r="P499" s="1" t="s">
        <v>44</v>
      </c>
      <c r="Q499" s="1" t="s">
        <v>2342</v>
      </c>
      <c r="R499" s="1" t="s">
        <v>42</v>
      </c>
      <c r="S499" s="1"/>
      <c r="T499" s="1" t="s">
        <v>42</v>
      </c>
      <c r="U499" s="2" t="s">
        <v>42</v>
      </c>
      <c r="V499" s="2" t="s">
        <v>42</v>
      </c>
      <c r="W499" s="2" t="s">
        <v>42</v>
      </c>
      <c r="X499" s="1" t="s">
        <v>42</v>
      </c>
      <c r="Y499" s="2" t="s">
        <v>42</v>
      </c>
      <c r="Z499" s="1" t="s">
        <v>42</v>
      </c>
      <c r="AA499" s="1" t="s">
        <v>42</v>
      </c>
      <c r="AB499" s="1" t="s">
        <v>2365</v>
      </c>
      <c r="AC499" s="1" t="s">
        <v>129</v>
      </c>
      <c r="AD499" s="1">
        <v>7031100741</v>
      </c>
      <c r="AE499" s="1" t="s">
        <v>2343</v>
      </c>
      <c r="AF499" s="1" t="s">
        <v>436</v>
      </c>
      <c r="AG499" s="2" t="s">
        <v>42</v>
      </c>
      <c r="AH499" s="1"/>
      <c r="AI499" s="1" t="s">
        <v>42</v>
      </c>
      <c r="AJ499" s="1"/>
      <c r="AK499" s="2" t="s">
        <v>42</v>
      </c>
      <c r="AL499" s="1" t="s">
        <v>3507</v>
      </c>
    </row>
    <row r="500" spans="1:38" ht="20.100000000000001" customHeight="1" x14ac:dyDescent="0.2">
      <c r="A500" s="3">
        <f t="shared" si="14"/>
        <v>497</v>
      </c>
      <c r="B500" s="1" t="s">
        <v>2366</v>
      </c>
      <c r="C500" s="1" t="s">
        <v>2367</v>
      </c>
      <c r="D500" s="1" t="s">
        <v>38</v>
      </c>
      <c r="E500" s="1" t="s">
        <v>42</v>
      </c>
      <c r="F500" s="1"/>
      <c r="G500" s="1" t="s">
        <v>42</v>
      </c>
      <c r="H500" s="2" t="s">
        <v>42</v>
      </c>
      <c r="I500" s="2" t="s">
        <v>42</v>
      </c>
      <c r="J500" s="7"/>
      <c r="K500" s="1" t="s">
        <v>42</v>
      </c>
      <c r="L500" s="1" t="s">
        <v>42</v>
      </c>
      <c r="M500" s="2" t="s">
        <v>42</v>
      </c>
      <c r="N500" s="1">
        <v>2</v>
      </c>
      <c r="O500" s="2" t="s">
        <v>42</v>
      </c>
      <c r="P500" s="1" t="s">
        <v>44</v>
      </c>
      <c r="Q500" s="1" t="s">
        <v>2342</v>
      </c>
      <c r="R500" s="1" t="s">
        <v>42</v>
      </c>
      <c r="S500" s="1"/>
      <c r="T500" s="1" t="s">
        <v>42</v>
      </c>
      <c r="U500" s="2" t="s">
        <v>42</v>
      </c>
      <c r="V500" s="2" t="s">
        <v>42</v>
      </c>
      <c r="W500" s="2" t="s">
        <v>42</v>
      </c>
      <c r="X500" s="1" t="s">
        <v>42</v>
      </c>
      <c r="Y500" s="2" t="s">
        <v>42</v>
      </c>
      <c r="Z500" s="1" t="s">
        <v>42</v>
      </c>
      <c r="AA500" s="1" t="s">
        <v>42</v>
      </c>
      <c r="AB500" s="1" t="s">
        <v>42</v>
      </c>
      <c r="AC500" s="1" t="s">
        <v>42</v>
      </c>
      <c r="AD500" s="1"/>
      <c r="AE500" s="1" t="s">
        <v>788</v>
      </c>
      <c r="AF500" s="1" t="s">
        <v>436</v>
      </c>
      <c r="AG500" s="2" t="s">
        <v>42</v>
      </c>
      <c r="AH500" s="1"/>
      <c r="AI500" s="1" t="s">
        <v>42</v>
      </c>
      <c r="AJ500" s="1"/>
      <c r="AK500" s="2" t="s">
        <v>42</v>
      </c>
      <c r="AL500" s="1" t="s">
        <v>3507</v>
      </c>
    </row>
    <row r="501" spans="1:38" ht="20.100000000000001" customHeight="1" x14ac:dyDescent="0.2">
      <c r="A501" s="3">
        <f t="shared" si="14"/>
        <v>498</v>
      </c>
      <c r="B501" s="1" t="s">
        <v>2368</v>
      </c>
      <c r="C501" s="1" t="s">
        <v>2369</v>
      </c>
      <c r="D501" s="1" t="s">
        <v>38</v>
      </c>
      <c r="E501" s="1" t="s">
        <v>54</v>
      </c>
      <c r="F501" s="1" t="s">
        <v>55</v>
      </c>
      <c r="G501" s="1" t="s">
        <v>2370</v>
      </c>
      <c r="H501" s="2" t="s">
        <v>42</v>
      </c>
      <c r="I501" s="2" t="s">
        <v>42</v>
      </c>
      <c r="J501" s="7"/>
      <c r="K501" s="1" t="s">
        <v>42</v>
      </c>
      <c r="L501" s="1" t="s">
        <v>42</v>
      </c>
      <c r="M501" s="2" t="s">
        <v>42</v>
      </c>
      <c r="N501" s="1">
        <v>2</v>
      </c>
      <c r="O501" s="2" t="s">
        <v>42</v>
      </c>
      <c r="P501" s="1" t="s">
        <v>44</v>
      </c>
      <c r="Q501" s="1" t="s">
        <v>2342</v>
      </c>
      <c r="R501" s="1" t="s">
        <v>60</v>
      </c>
      <c r="S501" s="1"/>
      <c r="T501" s="1" t="s">
        <v>42</v>
      </c>
      <c r="U501" s="2" t="s">
        <v>42</v>
      </c>
      <c r="V501" s="2" t="s">
        <v>42</v>
      </c>
      <c r="W501" s="2" t="s">
        <v>42</v>
      </c>
      <c r="X501" s="1" t="s">
        <v>42</v>
      </c>
      <c r="Y501" s="2" t="s">
        <v>42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>
        <v>7031100741</v>
      </c>
      <c r="AE501" s="1" t="s">
        <v>2343</v>
      </c>
      <c r="AF501" s="1" t="s">
        <v>436</v>
      </c>
      <c r="AG501" s="2" t="s">
        <v>42</v>
      </c>
      <c r="AH501" s="1"/>
      <c r="AI501" s="1" t="s">
        <v>42</v>
      </c>
      <c r="AJ501" s="1"/>
      <c r="AK501" s="2" t="s">
        <v>42</v>
      </c>
      <c r="AL501" s="1" t="s">
        <v>3507</v>
      </c>
    </row>
    <row r="502" spans="1:38" ht="20.100000000000001" customHeight="1" x14ac:dyDescent="0.2">
      <c r="A502" s="3">
        <f t="shared" si="14"/>
        <v>499</v>
      </c>
      <c r="B502" s="1" t="s">
        <v>3476</v>
      </c>
      <c r="C502" s="1" t="s">
        <v>3477</v>
      </c>
      <c r="D502" s="1" t="s">
        <v>121</v>
      </c>
      <c r="E502" s="1" t="s">
        <v>39</v>
      </c>
      <c r="F502" s="1" t="s">
        <v>40</v>
      </c>
      <c r="G502" s="1" t="s">
        <v>3478</v>
      </c>
      <c r="H502" s="2" t="s">
        <v>42</v>
      </c>
      <c r="I502" s="2" t="s">
        <v>42</v>
      </c>
      <c r="J502" s="7"/>
      <c r="K502" s="1" t="s">
        <v>42</v>
      </c>
      <c r="L502" s="1" t="s">
        <v>42</v>
      </c>
      <c r="M502" s="2" t="s">
        <v>42</v>
      </c>
      <c r="N502" s="1">
        <v>2</v>
      </c>
      <c r="O502" s="2" t="s">
        <v>42</v>
      </c>
      <c r="P502" s="1" t="s">
        <v>44</v>
      </c>
      <c r="Q502" s="1" t="s">
        <v>2342</v>
      </c>
      <c r="R502" s="1" t="s">
        <v>42</v>
      </c>
      <c r="S502" s="1"/>
      <c r="T502" s="1" t="s">
        <v>42</v>
      </c>
      <c r="U502" s="2" t="s">
        <v>42</v>
      </c>
      <c r="V502" s="2" t="s">
        <v>42</v>
      </c>
      <c r="W502" s="2" t="s">
        <v>42</v>
      </c>
      <c r="X502" s="1" t="s">
        <v>42</v>
      </c>
      <c r="Y502" s="2" t="s">
        <v>42</v>
      </c>
      <c r="Z502" s="1" t="s">
        <v>42</v>
      </c>
      <c r="AA502" s="1" t="s">
        <v>42</v>
      </c>
      <c r="AB502" s="1" t="s">
        <v>3479</v>
      </c>
      <c r="AC502" s="1" t="s">
        <v>266</v>
      </c>
      <c r="AD502" s="1"/>
      <c r="AE502" s="1" t="s">
        <v>2343</v>
      </c>
      <c r="AF502" s="1"/>
      <c r="AG502" s="2">
        <v>45144</v>
      </c>
      <c r="AH502" s="1" t="s">
        <v>2812</v>
      </c>
      <c r="AI502" s="1" t="s">
        <v>42</v>
      </c>
      <c r="AJ502" s="1"/>
      <c r="AK502" s="2" t="s">
        <v>42</v>
      </c>
      <c r="AL502" s="1" t="s">
        <v>2806</v>
      </c>
    </row>
    <row r="503" spans="1:38" ht="20.100000000000001" customHeight="1" x14ac:dyDescent="0.2">
      <c r="A503" s="3">
        <f t="shared" si="14"/>
        <v>500</v>
      </c>
      <c r="B503" s="1" t="s">
        <v>2371</v>
      </c>
      <c r="C503" s="1" t="s">
        <v>2372</v>
      </c>
      <c r="D503" s="1" t="s">
        <v>121</v>
      </c>
      <c r="E503" s="1" t="s">
        <v>39</v>
      </c>
      <c r="F503" s="1" t="s">
        <v>40</v>
      </c>
      <c r="G503" s="1" t="s">
        <v>2373</v>
      </c>
      <c r="H503" s="2" t="s">
        <v>42</v>
      </c>
      <c r="I503" s="2" t="s">
        <v>42</v>
      </c>
      <c r="J503" s="7"/>
      <c r="K503" s="1" t="s">
        <v>42</v>
      </c>
      <c r="L503" s="1" t="s">
        <v>42</v>
      </c>
      <c r="M503" s="2" t="s">
        <v>42</v>
      </c>
      <c r="N503" s="1">
        <v>2</v>
      </c>
      <c r="O503" s="2" t="s">
        <v>42</v>
      </c>
      <c r="P503" s="1" t="s">
        <v>44</v>
      </c>
      <c r="Q503" s="1" t="s">
        <v>2342</v>
      </c>
      <c r="R503" s="1" t="s">
        <v>42</v>
      </c>
      <c r="S503" s="1"/>
      <c r="T503" s="1" t="s">
        <v>42</v>
      </c>
      <c r="U503" s="2" t="s">
        <v>42</v>
      </c>
      <c r="V503" s="2" t="s">
        <v>42</v>
      </c>
      <c r="W503" s="2" t="s">
        <v>42</v>
      </c>
      <c r="X503" s="1" t="s">
        <v>42</v>
      </c>
      <c r="Y503" s="2" t="s">
        <v>42</v>
      </c>
      <c r="Z503" s="1" t="s">
        <v>42</v>
      </c>
      <c r="AA503" s="1" t="s">
        <v>42</v>
      </c>
      <c r="AB503" s="1" t="s">
        <v>2374</v>
      </c>
      <c r="AC503" s="1" t="s">
        <v>522</v>
      </c>
      <c r="AD503" s="1">
        <v>7031100741</v>
      </c>
      <c r="AE503" s="1" t="s">
        <v>2343</v>
      </c>
      <c r="AF503" s="1" t="s">
        <v>436</v>
      </c>
      <c r="AG503" s="2" t="s">
        <v>42</v>
      </c>
      <c r="AH503" s="1"/>
      <c r="AI503" s="1" t="s">
        <v>42</v>
      </c>
      <c r="AJ503" s="1"/>
      <c r="AK503" s="2" t="s">
        <v>42</v>
      </c>
      <c r="AL503" s="1" t="s">
        <v>3507</v>
      </c>
    </row>
    <row r="504" spans="1:38" ht="20.100000000000001" customHeight="1" x14ac:dyDescent="0.2">
      <c r="A504" s="3">
        <f t="shared" si="14"/>
        <v>501</v>
      </c>
      <c r="B504" s="1" t="s">
        <v>2375</v>
      </c>
      <c r="C504" s="1" t="s">
        <v>2376</v>
      </c>
      <c r="D504" s="1" t="s">
        <v>121</v>
      </c>
      <c r="E504" s="1" t="s">
        <v>39</v>
      </c>
      <c r="F504" s="1" t="s">
        <v>40</v>
      </c>
      <c r="G504" s="1" t="s">
        <v>2377</v>
      </c>
      <c r="H504" s="2" t="s">
        <v>42</v>
      </c>
      <c r="I504" s="2" t="s">
        <v>42</v>
      </c>
      <c r="J504" s="7"/>
      <c r="K504" s="1" t="s">
        <v>42</v>
      </c>
      <c r="L504" s="1" t="s">
        <v>42</v>
      </c>
      <c r="M504" s="2" t="s">
        <v>42</v>
      </c>
      <c r="N504" s="1">
        <v>2</v>
      </c>
      <c r="O504" s="2" t="s">
        <v>42</v>
      </c>
      <c r="P504" s="1" t="s">
        <v>44</v>
      </c>
      <c r="Q504" s="1" t="s">
        <v>2342</v>
      </c>
      <c r="R504" s="1" t="s">
        <v>42</v>
      </c>
      <c r="S504" s="1"/>
      <c r="T504" s="1" t="s">
        <v>42</v>
      </c>
      <c r="U504" s="2" t="s">
        <v>42</v>
      </c>
      <c r="V504" s="2" t="s">
        <v>42</v>
      </c>
      <c r="W504" s="2" t="s">
        <v>42</v>
      </c>
      <c r="X504" s="1" t="s">
        <v>42</v>
      </c>
      <c r="Y504" s="2" t="s">
        <v>42</v>
      </c>
      <c r="Z504" s="1" t="s">
        <v>42</v>
      </c>
      <c r="AA504" s="1" t="s">
        <v>42</v>
      </c>
      <c r="AB504" s="1" t="s">
        <v>42</v>
      </c>
      <c r="AC504" s="1" t="s">
        <v>42</v>
      </c>
      <c r="AD504" s="1">
        <v>7031100741</v>
      </c>
      <c r="AE504" s="1" t="s">
        <v>2343</v>
      </c>
      <c r="AF504" s="1" t="s">
        <v>436</v>
      </c>
      <c r="AG504" s="2" t="s">
        <v>42</v>
      </c>
      <c r="AH504" s="1"/>
      <c r="AI504" s="1" t="s">
        <v>42</v>
      </c>
      <c r="AJ504" s="1"/>
      <c r="AK504" s="2" t="s">
        <v>42</v>
      </c>
      <c r="AL504" s="1" t="s">
        <v>3507</v>
      </c>
    </row>
    <row r="505" spans="1:38" ht="20.100000000000001" customHeight="1" x14ac:dyDescent="0.2">
      <c r="A505" s="3">
        <f t="shared" si="14"/>
        <v>502</v>
      </c>
      <c r="B505" s="1" t="s">
        <v>2378</v>
      </c>
      <c r="C505" s="1" t="s">
        <v>2379</v>
      </c>
      <c r="D505" s="1" t="s">
        <v>38</v>
      </c>
      <c r="E505" s="1" t="s">
        <v>42</v>
      </c>
      <c r="F505" s="1"/>
      <c r="G505" s="1" t="s">
        <v>42</v>
      </c>
      <c r="H505" s="2" t="s">
        <v>42</v>
      </c>
      <c r="I505" s="2" t="s">
        <v>42</v>
      </c>
      <c r="J505" s="7"/>
      <c r="K505" s="1" t="s">
        <v>42</v>
      </c>
      <c r="L505" s="1" t="s">
        <v>42</v>
      </c>
      <c r="M505" s="2" t="s">
        <v>42</v>
      </c>
      <c r="N505" s="1">
        <v>2</v>
      </c>
      <c r="O505" s="2" t="s">
        <v>42</v>
      </c>
      <c r="P505" s="1" t="s">
        <v>44</v>
      </c>
      <c r="Q505" s="1" t="s">
        <v>2342</v>
      </c>
      <c r="R505" s="1" t="s">
        <v>42</v>
      </c>
      <c r="S505" s="1"/>
      <c r="T505" s="1" t="s">
        <v>42</v>
      </c>
      <c r="U505" s="2" t="s">
        <v>42</v>
      </c>
      <c r="V505" s="2" t="s">
        <v>42</v>
      </c>
      <c r="W505" s="2" t="s">
        <v>42</v>
      </c>
      <c r="X505" s="1" t="s">
        <v>42</v>
      </c>
      <c r="Y505" s="2" t="s">
        <v>42</v>
      </c>
      <c r="Z505" s="1" t="s">
        <v>42</v>
      </c>
      <c r="AA505" s="1" t="s">
        <v>42</v>
      </c>
      <c r="AB505" s="1" t="s">
        <v>42</v>
      </c>
      <c r="AC505" s="1" t="s">
        <v>42</v>
      </c>
      <c r="AD505" s="1"/>
      <c r="AE505" s="1" t="s">
        <v>788</v>
      </c>
      <c r="AF505" s="1" t="s">
        <v>436</v>
      </c>
      <c r="AG505" s="2" t="s">
        <v>42</v>
      </c>
      <c r="AH505" s="1"/>
      <c r="AI505" s="1" t="s">
        <v>42</v>
      </c>
      <c r="AJ505" s="1"/>
      <c r="AK505" s="2" t="s">
        <v>42</v>
      </c>
      <c r="AL505" s="1" t="s">
        <v>3507</v>
      </c>
    </row>
    <row r="506" spans="1:38" ht="20.100000000000001" customHeight="1" x14ac:dyDescent="0.2">
      <c r="A506" s="3">
        <f t="shared" si="14"/>
        <v>503</v>
      </c>
      <c r="B506" s="1" t="s">
        <v>2380</v>
      </c>
      <c r="C506" s="1" t="s">
        <v>2381</v>
      </c>
      <c r="D506" s="1" t="s">
        <v>38</v>
      </c>
      <c r="E506" s="1" t="s">
        <v>69</v>
      </c>
      <c r="F506" s="1" t="s">
        <v>70</v>
      </c>
      <c r="G506" s="1" t="s">
        <v>2382</v>
      </c>
      <c r="H506" s="2">
        <v>45320</v>
      </c>
      <c r="I506" s="2">
        <v>35629</v>
      </c>
      <c r="J506" s="7">
        <f t="shared" ca="1" si="15"/>
        <v>26.298630136986301</v>
      </c>
      <c r="K506" s="1" t="s">
        <v>1513</v>
      </c>
      <c r="L506" s="1" t="s">
        <v>57</v>
      </c>
      <c r="M506" s="2">
        <v>45095</v>
      </c>
      <c r="N506" s="1">
        <v>2</v>
      </c>
      <c r="O506" s="2" t="s">
        <v>42</v>
      </c>
      <c r="P506" s="1" t="s">
        <v>44</v>
      </c>
      <c r="Q506" s="1" t="s">
        <v>722</v>
      </c>
      <c r="R506" s="1" t="s">
        <v>60</v>
      </c>
      <c r="S506" s="1" t="s">
        <v>47</v>
      </c>
      <c r="T506" s="1">
        <v>10</v>
      </c>
      <c r="U506" s="2" t="s">
        <v>42</v>
      </c>
      <c r="V506" s="2" t="s">
        <v>42</v>
      </c>
      <c r="W506" s="2" t="s">
        <v>42</v>
      </c>
      <c r="X506" s="1" t="s">
        <v>42</v>
      </c>
      <c r="Y506" s="2" t="s">
        <v>42</v>
      </c>
      <c r="Z506" s="1" t="s">
        <v>42</v>
      </c>
      <c r="AA506" s="1" t="s">
        <v>42</v>
      </c>
      <c r="AB506" s="1" t="s">
        <v>2383</v>
      </c>
      <c r="AC506" s="1" t="s">
        <v>50</v>
      </c>
      <c r="AD506" s="1">
        <v>7015572543</v>
      </c>
      <c r="AE506" s="1" t="s">
        <v>3506</v>
      </c>
      <c r="AF506" s="1" t="s">
        <v>66</v>
      </c>
      <c r="AG506" s="2" t="s">
        <v>42</v>
      </c>
      <c r="AH506" s="1"/>
      <c r="AI506" s="1" t="s">
        <v>42</v>
      </c>
      <c r="AJ506" s="1"/>
      <c r="AK506" s="2" t="s">
        <v>42</v>
      </c>
      <c r="AL506" s="1" t="s">
        <v>3507</v>
      </c>
    </row>
    <row r="507" spans="1:38" ht="20.100000000000001" customHeight="1" x14ac:dyDescent="0.2">
      <c r="A507" s="3">
        <f t="shared" si="14"/>
        <v>504</v>
      </c>
      <c r="B507" s="1" t="s">
        <v>2384</v>
      </c>
      <c r="C507" s="1" t="s">
        <v>2385</v>
      </c>
      <c r="D507" s="1" t="s">
        <v>38</v>
      </c>
      <c r="E507" s="1" t="s">
        <v>54</v>
      </c>
      <c r="F507" s="1" t="s">
        <v>55</v>
      </c>
      <c r="G507" s="1" t="s">
        <v>2386</v>
      </c>
      <c r="H507" s="2">
        <v>45376</v>
      </c>
      <c r="I507" s="2">
        <v>36754</v>
      </c>
      <c r="J507" s="7">
        <f t="shared" ca="1" si="15"/>
        <v>23.216438356164385</v>
      </c>
      <c r="K507" s="1" t="s">
        <v>555</v>
      </c>
      <c r="L507" s="1" t="s">
        <v>57</v>
      </c>
      <c r="M507" s="2">
        <v>45114</v>
      </c>
      <c r="N507" s="1">
        <v>2</v>
      </c>
      <c r="O507" s="2">
        <v>45114</v>
      </c>
      <c r="P507" s="1" t="s">
        <v>44</v>
      </c>
      <c r="Q507" s="1" t="s">
        <v>2143</v>
      </c>
      <c r="R507" s="1" t="s">
        <v>60</v>
      </c>
      <c r="S507" s="1" t="s">
        <v>156</v>
      </c>
      <c r="T507" s="1">
        <v>10</v>
      </c>
      <c r="U507" s="2" t="s">
        <v>42</v>
      </c>
      <c r="V507" s="2" t="s">
        <v>42</v>
      </c>
      <c r="W507" s="2" t="s">
        <v>42</v>
      </c>
      <c r="X507" s="1" t="s">
        <v>42</v>
      </c>
      <c r="Y507" s="2" t="s">
        <v>42</v>
      </c>
      <c r="Z507" s="1" t="s">
        <v>42</v>
      </c>
      <c r="AA507" s="1" t="s">
        <v>42</v>
      </c>
      <c r="AB507" s="1" t="s">
        <v>2387</v>
      </c>
      <c r="AC507" s="1" t="s">
        <v>50</v>
      </c>
      <c r="AD507" s="1">
        <v>7034664628</v>
      </c>
      <c r="AE507" s="1" t="s">
        <v>443</v>
      </c>
      <c r="AF507" s="1" t="s">
        <v>66</v>
      </c>
      <c r="AG507" s="2" t="s">
        <v>42</v>
      </c>
      <c r="AH507" s="1"/>
      <c r="AI507" s="1" t="s">
        <v>42</v>
      </c>
      <c r="AJ507" s="1"/>
      <c r="AK507" s="2" t="s">
        <v>42</v>
      </c>
      <c r="AL507" s="1" t="s">
        <v>3507</v>
      </c>
    </row>
    <row r="508" spans="1:38" ht="20.100000000000001" customHeight="1" x14ac:dyDescent="0.2">
      <c r="A508" s="3">
        <f t="shared" si="14"/>
        <v>505</v>
      </c>
      <c r="B508" s="1" t="s">
        <v>2388</v>
      </c>
      <c r="C508" s="1" t="s">
        <v>2389</v>
      </c>
      <c r="D508" s="1" t="s">
        <v>38</v>
      </c>
      <c r="E508" s="1" t="s">
        <v>312</v>
      </c>
      <c r="F508" s="1" t="s">
        <v>70</v>
      </c>
      <c r="G508" s="1" t="s">
        <v>42</v>
      </c>
      <c r="H508" s="2" t="s">
        <v>42</v>
      </c>
      <c r="I508" s="2" t="s">
        <v>42</v>
      </c>
      <c r="J508" s="7"/>
      <c r="K508" s="1" t="s">
        <v>42</v>
      </c>
      <c r="L508" s="1" t="s">
        <v>42</v>
      </c>
      <c r="M508" s="2" t="s">
        <v>42</v>
      </c>
      <c r="N508" s="1">
        <v>2</v>
      </c>
      <c r="O508" s="2" t="s">
        <v>42</v>
      </c>
      <c r="P508" s="1" t="s">
        <v>44</v>
      </c>
      <c r="Q508" s="1" t="s">
        <v>2342</v>
      </c>
      <c r="R508" s="1" t="s">
        <v>60</v>
      </c>
      <c r="S508" s="1"/>
      <c r="T508" s="1" t="s">
        <v>42</v>
      </c>
      <c r="U508" s="2" t="s">
        <v>42</v>
      </c>
      <c r="V508" s="2" t="s">
        <v>42</v>
      </c>
      <c r="W508" s="2" t="s">
        <v>42</v>
      </c>
      <c r="X508" s="1" t="s">
        <v>42</v>
      </c>
      <c r="Y508" s="2" t="s">
        <v>42</v>
      </c>
      <c r="Z508" s="1" t="s">
        <v>42</v>
      </c>
      <c r="AA508" s="1" t="s">
        <v>42</v>
      </c>
      <c r="AB508" s="1" t="s">
        <v>42</v>
      </c>
      <c r="AC508" s="1" t="s">
        <v>42</v>
      </c>
      <c r="AD508" s="1"/>
      <c r="AE508" s="1" t="s">
        <v>788</v>
      </c>
      <c r="AF508" s="1" t="s">
        <v>436</v>
      </c>
      <c r="AG508" s="2" t="s">
        <v>42</v>
      </c>
      <c r="AH508" s="1"/>
      <c r="AI508" s="1" t="s">
        <v>42</v>
      </c>
      <c r="AJ508" s="1"/>
      <c r="AK508" s="2" t="s">
        <v>42</v>
      </c>
      <c r="AL508" s="1" t="s">
        <v>3507</v>
      </c>
    </row>
    <row r="509" spans="1:38" ht="20.100000000000001" customHeight="1" x14ac:dyDescent="0.2">
      <c r="A509" s="3">
        <f t="shared" si="14"/>
        <v>506</v>
      </c>
      <c r="B509" s="1" t="s">
        <v>3480</v>
      </c>
      <c r="C509" s="1" t="s">
        <v>3481</v>
      </c>
      <c r="D509" s="1" t="s">
        <v>38</v>
      </c>
      <c r="E509" s="1" t="s">
        <v>163</v>
      </c>
      <c r="F509" s="1" t="s">
        <v>55</v>
      </c>
      <c r="G509" s="1" t="s">
        <v>3482</v>
      </c>
      <c r="H509" s="2" t="s">
        <v>42</v>
      </c>
      <c r="I509" s="2">
        <v>32518</v>
      </c>
      <c r="J509" s="7">
        <f t="shared" ca="1" si="15"/>
        <v>34.821917808219176</v>
      </c>
      <c r="K509" s="1" t="s">
        <v>134</v>
      </c>
      <c r="L509" s="1" t="s">
        <v>432</v>
      </c>
      <c r="M509" s="2">
        <v>45131</v>
      </c>
      <c r="N509" s="1">
        <v>2</v>
      </c>
      <c r="O509" s="2" t="s">
        <v>42</v>
      </c>
      <c r="P509" s="1" t="s">
        <v>44</v>
      </c>
      <c r="Q509" s="1" t="s">
        <v>1333</v>
      </c>
      <c r="R509" s="1" t="s">
        <v>432</v>
      </c>
      <c r="S509" s="1" t="s">
        <v>156</v>
      </c>
      <c r="T509" s="1">
        <v>10</v>
      </c>
      <c r="U509" s="2" t="s">
        <v>42</v>
      </c>
      <c r="V509" s="2" t="s">
        <v>42</v>
      </c>
      <c r="W509" s="2" t="s">
        <v>42</v>
      </c>
      <c r="X509" s="1" t="s">
        <v>42</v>
      </c>
      <c r="Y509" s="2" t="s">
        <v>42</v>
      </c>
      <c r="Z509" s="1" t="s">
        <v>42</v>
      </c>
      <c r="AA509" s="1" t="s">
        <v>42</v>
      </c>
      <c r="AB509" s="1" t="s">
        <v>42</v>
      </c>
      <c r="AC509" s="1" t="s">
        <v>42</v>
      </c>
      <c r="AD509" s="1"/>
      <c r="AE509" s="1" t="s">
        <v>788</v>
      </c>
      <c r="AF509" s="1"/>
      <c r="AG509" s="2">
        <v>45154</v>
      </c>
      <c r="AH509" s="1"/>
      <c r="AI509" s="1" t="s">
        <v>42</v>
      </c>
      <c r="AJ509" s="1"/>
      <c r="AK509" s="2" t="s">
        <v>42</v>
      </c>
      <c r="AL509" s="1" t="s">
        <v>2806</v>
      </c>
    </row>
    <row r="510" spans="1:38" ht="20.100000000000001" customHeight="1" x14ac:dyDescent="0.2">
      <c r="A510" s="3">
        <f t="shared" si="14"/>
        <v>507</v>
      </c>
      <c r="B510" s="1" t="s">
        <v>3483</v>
      </c>
      <c r="C510" s="1" t="s">
        <v>3484</v>
      </c>
      <c r="D510" s="1" t="s">
        <v>38</v>
      </c>
      <c r="E510" s="1" t="s">
        <v>69</v>
      </c>
      <c r="F510" s="1" t="s">
        <v>70</v>
      </c>
      <c r="G510" s="1" t="s">
        <v>3485</v>
      </c>
      <c r="H510" s="2" t="s">
        <v>42</v>
      </c>
      <c r="I510" s="2">
        <v>35820</v>
      </c>
      <c r="J510" s="7">
        <f t="shared" ca="1" si="15"/>
        <v>25.775342465753425</v>
      </c>
      <c r="K510" s="1" t="s">
        <v>482</v>
      </c>
      <c r="L510" s="1" t="s">
        <v>57</v>
      </c>
      <c r="M510" s="2">
        <v>45139</v>
      </c>
      <c r="N510" s="1">
        <v>2</v>
      </c>
      <c r="O510" s="2">
        <v>45139</v>
      </c>
      <c r="P510" s="1" t="s">
        <v>335</v>
      </c>
      <c r="Q510" s="1" t="s">
        <v>394</v>
      </c>
      <c r="R510" s="1" t="s">
        <v>60</v>
      </c>
      <c r="S510" s="1" t="s">
        <v>156</v>
      </c>
      <c r="T510" s="1">
        <v>10</v>
      </c>
      <c r="U510" s="2" t="s">
        <v>42</v>
      </c>
      <c r="V510" s="2" t="s">
        <v>42</v>
      </c>
      <c r="W510" s="2" t="s">
        <v>42</v>
      </c>
      <c r="X510" s="1" t="s">
        <v>42</v>
      </c>
      <c r="Y510" s="2" t="s">
        <v>42</v>
      </c>
      <c r="Z510" s="1" t="s">
        <v>42</v>
      </c>
      <c r="AA510" s="1" t="s">
        <v>42</v>
      </c>
      <c r="AB510" s="1" t="s">
        <v>42</v>
      </c>
      <c r="AC510" s="1" t="s">
        <v>42</v>
      </c>
      <c r="AD510" s="1"/>
      <c r="AE510" s="1" t="s">
        <v>788</v>
      </c>
      <c r="AF510" s="1"/>
      <c r="AG510" s="2">
        <v>45152</v>
      </c>
      <c r="AH510" s="1" t="s">
        <v>2812</v>
      </c>
      <c r="AI510" s="1" t="s">
        <v>42</v>
      </c>
      <c r="AJ510" s="1"/>
      <c r="AK510" s="2" t="s">
        <v>42</v>
      </c>
      <c r="AL510" s="1" t="s">
        <v>2806</v>
      </c>
    </row>
    <row r="511" spans="1:38" ht="20.100000000000001" customHeight="1" x14ac:dyDescent="0.2">
      <c r="A511" s="3">
        <f t="shared" si="14"/>
        <v>508</v>
      </c>
      <c r="B511" s="1" t="s">
        <v>2390</v>
      </c>
      <c r="C511" s="1" t="s">
        <v>2391</v>
      </c>
      <c r="D511" s="1" t="s">
        <v>38</v>
      </c>
      <c r="E511" s="1" t="s">
        <v>54</v>
      </c>
      <c r="F511" s="1" t="s">
        <v>55</v>
      </c>
      <c r="G511" s="1" t="s">
        <v>2392</v>
      </c>
      <c r="H511" s="2">
        <v>45220</v>
      </c>
      <c r="I511" s="2">
        <v>36162</v>
      </c>
      <c r="J511" s="7">
        <f t="shared" ca="1" si="15"/>
        <v>24.838356164383562</v>
      </c>
      <c r="K511" s="1" t="s">
        <v>133</v>
      </c>
      <c r="L511" s="1" t="s">
        <v>133</v>
      </c>
      <c r="M511" s="2">
        <v>45139</v>
      </c>
      <c r="N511" s="1">
        <v>2</v>
      </c>
      <c r="O511" s="2" t="s">
        <v>42</v>
      </c>
      <c r="P511" s="1" t="s">
        <v>335</v>
      </c>
      <c r="Q511" s="1" t="s">
        <v>270</v>
      </c>
      <c r="R511" s="1" t="s">
        <v>60</v>
      </c>
      <c r="S511" s="1" t="s">
        <v>47</v>
      </c>
      <c r="T511" s="1">
        <v>10</v>
      </c>
      <c r="U511" s="2" t="s">
        <v>42</v>
      </c>
      <c r="V511" s="2" t="s">
        <v>42</v>
      </c>
      <c r="W511" s="2" t="s">
        <v>42</v>
      </c>
      <c r="X511" s="1" t="s">
        <v>42</v>
      </c>
      <c r="Y511" s="2" t="s">
        <v>42</v>
      </c>
      <c r="Z511" s="1" t="s">
        <v>2393</v>
      </c>
      <c r="AA511" s="1" t="s">
        <v>42</v>
      </c>
      <c r="AB511" s="1" t="s">
        <v>2394</v>
      </c>
      <c r="AC511" s="1" t="s">
        <v>129</v>
      </c>
      <c r="AD511" s="1">
        <v>7034664628</v>
      </c>
      <c r="AE511" s="1" t="s">
        <v>443</v>
      </c>
      <c r="AF511" s="1" t="s">
        <v>66</v>
      </c>
      <c r="AG511" s="2" t="s">
        <v>42</v>
      </c>
      <c r="AH511" s="1"/>
      <c r="AI511" s="1" t="s">
        <v>42</v>
      </c>
      <c r="AJ511" s="1"/>
      <c r="AK511" s="2" t="s">
        <v>42</v>
      </c>
      <c r="AL511" s="1" t="s">
        <v>3507</v>
      </c>
    </row>
    <row r="512" spans="1:38" ht="20.100000000000001" customHeight="1" x14ac:dyDescent="0.2">
      <c r="A512" s="3">
        <f t="shared" si="14"/>
        <v>509</v>
      </c>
      <c r="B512" s="1" t="s">
        <v>2395</v>
      </c>
      <c r="C512" s="1" t="s">
        <v>2396</v>
      </c>
      <c r="D512" s="1" t="s">
        <v>38</v>
      </c>
      <c r="E512" s="1" t="s">
        <v>54</v>
      </c>
      <c r="F512" s="1" t="s">
        <v>55</v>
      </c>
      <c r="G512" s="1" t="s">
        <v>2397</v>
      </c>
      <c r="H512" s="2">
        <v>45570</v>
      </c>
      <c r="I512" s="2">
        <v>36923</v>
      </c>
      <c r="J512" s="7">
        <f t="shared" ca="1" si="15"/>
        <v>22.753424657534246</v>
      </c>
      <c r="K512" s="1" t="s">
        <v>133</v>
      </c>
      <c r="L512" s="1" t="s">
        <v>57</v>
      </c>
      <c r="M512" s="2">
        <v>45139</v>
      </c>
      <c r="N512" s="1">
        <v>2</v>
      </c>
      <c r="O512" s="2" t="s">
        <v>42</v>
      </c>
      <c r="P512" s="1" t="s">
        <v>335</v>
      </c>
      <c r="Q512" s="1" t="s">
        <v>394</v>
      </c>
      <c r="R512" s="1" t="s">
        <v>60</v>
      </c>
      <c r="S512" s="1" t="s">
        <v>156</v>
      </c>
      <c r="T512" s="1">
        <v>10</v>
      </c>
      <c r="U512" s="2" t="s">
        <v>42</v>
      </c>
      <c r="V512" s="2" t="s">
        <v>42</v>
      </c>
      <c r="W512" s="2" t="s">
        <v>42</v>
      </c>
      <c r="X512" s="1" t="s">
        <v>42</v>
      </c>
      <c r="Y512" s="2" t="s">
        <v>42</v>
      </c>
      <c r="Z512" s="1" t="s">
        <v>42</v>
      </c>
      <c r="AA512" s="1" t="s">
        <v>42</v>
      </c>
      <c r="AB512" s="1" t="s">
        <v>42</v>
      </c>
      <c r="AC512" s="1" t="s">
        <v>42</v>
      </c>
      <c r="AD512" s="1"/>
      <c r="AE512" s="1" t="s">
        <v>788</v>
      </c>
      <c r="AF512" s="1" t="s">
        <v>66</v>
      </c>
      <c r="AG512" s="2" t="s">
        <v>42</v>
      </c>
      <c r="AH512" s="1"/>
      <c r="AI512" s="1" t="s">
        <v>42</v>
      </c>
      <c r="AJ512" s="1"/>
      <c r="AK512" s="2" t="s">
        <v>42</v>
      </c>
      <c r="AL512" s="1" t="s">
        <v>3507</v>
      </c>
    </row>
    <row r="513" spans="1:38" ht="20.100000000000001" customHeight="1" x14ac:dyDescent="0.2">
      <c r="A513" s="3">
        <f t="shared" si="14"/>
        <v>510</v>
      </c>
      <c r="B513" s="1" t="s">
        <v>2398</v>
      </c>
      <c r="C513" s="1" t="s">
        <v>2399</v>
      </c>
      <c r="D513" s="1" t="s">
        <v>38</v>
      </c>
      <c r="E513" s="1" t="s">
        <v>54</v>
      </c>
      <c r="F513" s="1" t="s">
        <v>55</v>
      </c>
      <c r="G513" s="1" t="s">
        <v>2400</v>
      </c>
      <c r="H513" s="2">
        <v>45396</v>
      </c>
      <c r="I513" s="2">
        <v>36588</v>
      </c>
      <c r="J513" s="7">
        <f t="shared" ca="1" si="15"/>
        <v>23.671232876712327</v>
      </c>
      <c r="K513" s="1" t="s">
        <v>133</v>
      </c>
      <c r="L513" s="1" t="s">
        <v>57</v>
      </c>
      <c r="M513" s="2">
        <v>45141</v>
      </c>
      <c r="N513" s="1">
        <v>2</v>
      </c>
      <c r="O513" s="2" t="s">
        <v>42</v>
      </c>
      <c r="P513" s="1" t="s">
        <v>578</v>
      </c>
      <c r="Q513" s="1" t="s">
        <v>578</v>
      </c>
      <c r="R513" s="1" t="s">
        <v>60</v>
      </c>
      <c r="S513" s="1" t="s">
        <v>156</v>
      </c>
      <c r="T513" s="1" t="s">
        <v>42</v>
      </c>
      <c r="U513" s="2" t="s">
        <v>42</v>
      </c>
      <c r="V513" s="2" t="s">
        <v>42</v>
      </c>
      <c r="W513" s="2" t="s">
        <v>42</v>
      </c>
      <c r="X513" s="1" t="s">
        <v>42</v>
      </c>
      <c r="Y513" s="2" t="s">
        <v>42</v>
      </c>
      <c r="Z513" s="1" t="s">
        <v>2401</v>
      </c>
      <c r="AA513" s="1" t="s">
        <v>2402</v>
      </c>
      <c r="AB513" s="1" t="s">
        <v>2403</v>
      </c>
      <c r="AC513" s="1" t="s">
        <v>129</v>
      </c>
      <c r="AD513" s="1">
        <v>7034664628</v>
      </c>
      <c r="AE513" s="1" t="s">
        <v>443</v>
      </c>
      <c r="AF513" s="1"/>
      <c r="AG513" s="2" t="s">
        <v>42</v>
      </c>
      <c r="AH513" s="1"/>
      <c r="AI513" s="1" t="s">
        <v>42</v>
      </c>
      <c r="AJ513" s="1"/>
      <c r="AK513" s="2" t="s">
        <v>42</v>
      </c>
      <c r="AL513" s="1" t="s">
        <v>3507</v>
      </c>
    </row>
    <row r="514" spans="1:38" ht="20.100000000000001" customHeight="1" x14ac:dyDescent="0.2">
      <c r="A514" s="3">
        <f t="shared" si="14"/>
        <v>511</v>
      </c>
      <c r="B514" s="1" t="s">
        <v>2404</v>
      </c>
      <c r="C514" s="1" t="s">
        <v>2405</v>
      </c>
      <c r="D514" s="1" t="s">
        <v>38</v>
      </c>
      <c r="E514" s="1" t="s">
        <v>54</v>
      </c>
      <c r="F514" s="1" t="s">
        <v>55</v>
      </c>
      <c r="G514" s="1" t="s">
        <v>2406</v>
      </c>
      <c r="H514" s="2">
        <v>45223</v>
      </c>
      <c r="I514" s="2">
        <v>34746</v>
      </c>
      <c r="J514" s="7">
        <f t="shared" ca="1" si="15"/>
        <v>28.717808219178082</v>
      </c>
      <c r="K514" s="1" t="s">
        <v>133</v>
      </c>
      <c r="L514" s="1" t="s">
        <v>57</v>
      </c>
      <c r="M514" s="2">
        <v>45140</v>
      </c>
      <c r="N514" s="1">
        <v>2</v>
      </c>
      <c r="O514" s="2" t="s">
        <v>42</v>
      </c>
      <c r="P514" s="1" t="s">
        <v>578</v>
      </c>
      <c r="Q514" s="1" t="s">
        <v>578</v>
      </c>
      <c r="R514" s="1" t="s">
        <v>60</v>
      </c>
      <c r="S514" s="1" t="s">
        <v>156</v>
      </c>
      <c r="T514" s="1" t="s">
        <v>42</v>
      </c>
      <c r="U514" s="2" t="s">
        <v>42</v>
      </c>
      <c r="V514" s="2" t="s">
        <v>42</v>
      </c>
      <c r="W514" s="2" t="s">
        <v>42</v>
      </c>
      <c r="X514" s="1" t="s">
        <v>42</v>
      </c>
      <c r="Y514" s="2" t="s">
        <v>42</v>
      </c>
      <c r="Z514" s="1" t="s">
        <v>42</v>
      </c>
      <c r="AA514" s="1" t="s">
        <v>42</v>
      </c>
      <c r="AB514" s="1" t="s">
        <v>2407</v>
      </c>
      <c r="AC514" s="1" t="s">
        <v>129</v>
      </c>
      <c r="AD514" s="1"/>
      <c r="AE514" s="1" t="s">
        <v>788</v>
      </c>
      <c r="AF514" s="1"/>
      <c r="AG514" s="2" t="s">
        <v>42</v>
      </c>
      <c r="AH514" s="1"/>
      <c r="AI514" s="1" t="s">
        <v>42</v>
      </c>
      <c r="AJ514" s="1"/>
      <c r="AK514" s="2" t="s">
        <v>42</v>
      </c>
      <c r="AL514" s="1" t="s">
        <v>3507</v>
      </c>
    </row>
    <row r="515" spans="1:38" ht="20.100000000000001" customHeight="1" x14ac:dyDescent="0.2">
      <c r="A515" s="3">
        <f t="shared" si="14"/>
        <v>512</v>
      </c>
      <c r="B515" s="1" t="s">
        <v>2408</v>
      </c>
      <c r="C515" s="1" t="s">
        <v>2409</v>
      </c>
      <c r="D515" s="1" t="s">
        <v>38</v>
      </c>
      <c r="E515" s="1" t="s">
        <v>54</v>
      </c>
      <c r="F515" s="1" t="s">
        <v>55</v>
      </c>
      <c r="G515" s="1" t="s">
        <v>2410</v>
      </c>
      <c r="H515" s="2">
        <v>45403</v>
      </c>
      <c r="I515" s="2">
        <v>36975</v>
      </c>
      <c r="J515" s="7">
        <f t="shared" ca="1" si="15"/>
        <v>22.610958904109587</v>
      </c>
      <c r="K515" s="1" t="s">
        <v>133</v>
      </c>
      <c r="L515" s="1" t="s">
        <v>57</v>
      </c>
      <c r="M515" s="2">
        <v>45140</v>
      </c>
      <c r="N515" s="1">
        <v>2</v>
      </c>
      <c r="O515" s="2" t="s">
        <v>42</v>
      </c>
      <c r="P515" s="1" t="s">
        <v>578</v>
      </c>
      <c r="Q515" s="1" t="s">
        <v>578</v>
      </c>
      <c r="R515" s="1" t="s">
        <v>60</v>
      </c>
      <c r="S515" s="1" t="s">
        <v>47</v>
      </c>
      <c r="T515" s="1" t="s">
        <v>42</v>
      </c>
      <c r="U515" s="2" t="s">
        <v>42</v>
      </c>
      <c r="V515" s="2" t="s">
        <v>42</v>
      </c>
      <c r="W515" s="2" t="s">
        <v>42</v>
      </c>
      <c r="X515" s="1" t="s">
        <v>42</v>
      </c>
      <c r="Y515" s="2" t="s">
        <v>42</v>
      </c>
      <c r="Z515" s="1" t="s">
        <v>2411</v>
      </c>
      <c r="AA515" s="1" t="s">
        <v>2412</v>
      </c>
      <c r="AB515" s="1" t="s">
        <v>42</v>
      </c>
      <c r="AC515" s="1" t="s">
        <v>42</v>
      </c>
      <c r="AD515" s="1">
        <v>7034664628</v>
      </c>
      <c r="AE515" s="1" t="s">
        <v>443</v>
      </c>
      <c r="AF515" s="1"/>
      <c r="AG515" s="2" t="s">
        <v>42</v>
      </c>
      <c r="AH515" s="1"/>
      <c r="AI515" s="1" t="s">
        <v>42</v>
      </c>
      <c r="AJ515" s="1"/>
      <c r="AK515" s="2" t="s">
        <v>42</v>
      </c>
      <c r="AL515" s="1" t="s">
        <v>3507</v>
      </c>
    </row>
    <row r="516" spans="1:38" ht="20.100000000000001" customHeight="1" x14ac:dyDescent="0.2">
      <c r="A516" s="3">
        <f t="shared" ref="A516:A579" si="16">ROW()-3</f>
        <v>513</v>
      </c>
      <c r="B516" s="1" t="s">
        <v>2413</v>
      </c>
      <c r="C516" s="1" t="s">
        <v>2414</v>
      </c>
      <c r="D516" s="1" t="s">
        <v>38</v>
      </c>
      <c r="E516" s="1" t="s">
        <v>54</v>
      </c>
      <c r="F516" s="1" t="s">
        <v>55</v>
      </c>
      <c r="G516" s="1" t="s">
        <v>2415</v>
      </c>
      <c r="H516" s="2">
        <v>45405</v>
      </c>
      <c r="I516" s="2">
        <v>37005</v>
      </c>
      <c r="J516" s="7">
        <f t="shared" ca="1" si="15"/>
        <v>22.528767123287672</v>
      </c>
      <c r="K516" s="1" t="s">
        <v>133</v>
      </c>
      <c r="L516" s="1" t="s">
        <v>57</v>
      </c>
      <c r="M516" s="2">
        <v>45140</v>
      </c>
      <c r="N516" s="1">
        <v>2</v>
      </c>
      <c r="O516" s="2" t="s">
        <v>42</v>
      </c>
      <c r="P516" s="1" t="s">
        <v>578</v>
      </c>
      <c r="Q516" s="1" t="s">
        <v>578</v>
      </c>
      <c r="R516" s="1" t="s">
        <v>60</v>
      </c>
      <c r="S516" s="1" t="s">
        <v>47</v>
      </c>
      <c r="T516" s="1" t="s">
        <v>42</v>
      </c>
      <c r="U516" s="2" t="s">
        <v>42</v>
      </c>
      <c r="V516" s="2" t="s">
        <v>42</v>
      </c>
      <c r="W516" s="2" t="s">
        <v>42</v>
      </c>
      <c r="X516" s="1" t="s">
        <v>42</v>
      </c>
      <c r="Y516" s="2" t="s">
        <v>42</v>
      </c>
      <c r="Z516" s="1" t="s">
        <v>42</v>
      </c>
      <c r="AA516" s="1" t="s">
        <v>42</v>
      </c>
      <c r="AB516" s="1" t="s">
        <v>2416</v>
      </c>
      <c r="AC516" s="1" t="s">
        <v>129</v>
      </c>
      <c r="AD516" s="1">
        <v>7034664628</v>
      </c>
      <c r="AE516" s="1" t="s">
        <v>443</v>
      </c>
      <c r="AF516" s="1"/>
      <c r="AG516" s="2" t="s">
        <v>42</v>
      </c>
      <c r="AH516" s="1"/>
      <c r="AI516" s="1" t="s">
        <v>2417</v>
      </c>
      <c r="AJ516" s="1"/>
      <c r="AK516" s="2" t="s">
        <v>42</v>
      </c>
      <c r="AL516" s="1" t="s">
        <v>3507</v>
      </c>
    </row>
    <row r="517" spans="1:38" ht="20.100000000000001" customHeight="1" x14ac:dyDescent="0.2">
      <c r="A517" s="3">
        <f t="shared" si="16"/>
        <v>514</v>
      </c>
      <c r="B517" s="1" t="s">
        <v>2418</v>
      </c>
      <c r="C517" s="1" t="s">
        <v>2419</v>
      </c>
      <c r="D517" s="1" t="s">
        <v>38</v>
      </c>
      <c r="E517" s="1" t="s">
        <v>39</v>
      </c>
      <c r="F517" s="1" t="s">
        <v>40</v>
      </c>
      <c r="G517" s="1" t="s">
        <v>2420</v>
      </c>
      <c r="H517" s="2">
        <v>46367</v>
      </c>
      <c r="I517" s="2">
        <v>38275</v>
      </c>
      <c r="J517" s="7">
        <f t="shared" ref="J517:J578" ca="1" si="17">($H$1-I517)/365</f>
        <v>19.049315068493151</v>
      </c>
      <c r="K517" s="1" t="s">
        <v>42</v>
      </c>
      <c r="L517" s="1" t="s">
        <v>211</v>
      </c>
      <c r="M517" s="2">
        <v>45145</v>
      </c>
      <c r="N517" s="1">
        <v>2</v>
      </c>
      <c r="O517" s="2" t="s">
        <v>42</v>
      </c>
      <c r="P517" s="1" t="s">
        <v>44</v>
      </c>
      <c r="Q517" s="1" t="s">
        <v>431</v>
      </c>
      <c r="R517" s="1" t="s">
        <v>60</v>
      </c>
      <c r="S517" s="1" t="s">
        <v>47</v>
      </c>
      <c r="T517" s="1">
        <v>8</v>
      </c>
      <c r="U517" s="2">
        <v>45145</v>
      </c>
      <c r="V517" s="2">
        <v>45510</v>
      </c>
      <c r="W517" s="2" t="s">
        <v>42</v>
      </c>
      <c r="X517" s="1" t="s">
        <v>42</v>
      </c>
      <c r="Y517" s="2" t="s">
        <v>42</v>
      </c>
      <c r="Z517" s="1" t="s">
        <v>2421</v>
      </c>
      <c r="AA517" s="1" t="s">
        <v>2422</v>
      </c>
      <c r="AB517" s="1" t="s">
        <v>2423</v>
      </c>
      <c r="AC517" s="1" t="s">
        <v>129</v>
      </c>
      <c r="AD517" s="1">
        <v>7009073037</v>
      </c>
      <c r="AE517" s="1" t="s">
        <v>103</v>
      </c>
      <c r="AF517" s="1" t="s">
        <v>436</v>
      </c>
      <c r="AG517" s="2" t="s">
        <v>42</v>
      </c>
      <c r="AH517" s="1"/>
      <c r="AI517" s="1" t="s">
        <v>42</v>
      </c>
      <c r="AJ517" s="1"/>
      <c r="AK517" s="2" t="s">
        <v>42</v>
      </c>
      <c r="AL517" s="1" t="s">
        <v>3507</v>
      </c>
    </row>
    <row r="518" spans="1:38" ht="20.100000000000001" customHeight="1" x14ac:dyDescent="0.2">
      <c r="A518" s="3">
        <f t="shared" si="16"/>
        <v>515</v>
      </c>
      <c r="B518" s="1" t="s">
        <v>2424</v>
      </c>
      <c r="C518" s="1" t="s">
        <v>2425</v>
      </c>
      <c r="D518" s="1" t="s">
        <v>38</v>
      </c>
      <c r="E518" s="1" t="s">
        <v>39</v>
      </c>
      <c r="F518" s="1" t="s">
        <v>40</v>
      </c>
      <c r="G518" s="1" t="s">
        <v>2426</v>
      </c>
      <c r="H518" s="2">
        <v>45608</v>
      </c>
      <c r="I518" s="2">
        <v>38485</v>
      </c>
      <c r="J518" s="7">
        <f t="shared" ca="1" si="17"/>
        <v>18.473972602739725</v>
      </c>
      <c r="K518" s="1" t="s">
        <v>42</v>
      </c>
      <c r="L518" s="1" t="s">
        <v>211</v>
      </c>
      <c r="M518" s="2">
        <v>45146</v>
      </c>
      <c r="N518" s="1">
        <v>2</v>
      </c>
      <c r="O518" s="2">
        <v>45146</v>
      </c>
      <c r="P518" s="1" t="s">
        <v>44</v>
      </c>
      <c r="Q518" s="1" t="s">
        <v>431</v>
      </c>
      <c r="R518" s="1" t="s">
        <v>60</v>
      </c>
      <c r="S518" s="1"/>
      <c r="T518" s="1">
        <v>8</v>
      </c>
      <c r="U518" s="2" t="s">
        <v>42</v>
      </c>
      <c r="V518" s="2">
        <v>45511</v>
      </c>
      <c r="W518" s="2" t="s">
        <v>42</v>
      </c>
      <c r="X518" s="1" t="s">
        <v>42</v>
      </c>
      <c r="Y518" s="2" t="s">
        <v>42</v>
      </c>
      <c r="Z518" s="1" t="s">
        <v>2427</v>
      </c>
      <c r="AA518" s="1" t="s">
        <v>2428</v>
      </c>
      <c r="AB518" s="1" t="s">
        <v>2429</v>
      </c>
      <c r="AC518" s="1" t="s">
        <v>129</v>
      </c>
      <c r="AD518" s="1">
        <v>7009073037</v>
      </c>
      <c r="AE518" s="1" t="s">
        <v>103</v>
      </c>
      <c r="AF518" s="1" t="s">
        <v>436</v>
      </c>
      <c r="AG518" s="2" t="s">
        <v>42</v>
      </c>
      <c r="AH518" s="1"/>
      <c r="AI518" s="1" t="s">
        <v>42</v>
      </c>
      <c r="AJ518" s="1"/>
      <c r="AK518" s="2" t="s">
        <v>42</v>
      </c>
      <c r="AL518" s="1" t="s">
        <v>3507</v>
      </c>
    </row>
    <row r="519" spans="1:38" ht="20.100000000000001" customHeight="1" x14ac:dyDescent="0.2">
      <c r="A519" s="3">
        <f t="shared" si="16"/>
        <v>516</v>
      </c>
      <c r="B519" s="1" t="s">
        <v>2430</v>
      </c>
      <c r="C519" s="1" t="s">
        <v>2431</v>
      </c>
      <c r="D519" s="1" t="s">
        <v>38</v>
      </c>
      <c r="E519" s="1" t="s">
        <v>54</v>
      </c>
      <c r="F519" s="1" t="s">
        <v>55</v>
      </c>
      <c r="G519" s="1" t="s">
        <v>2432</v>
      </c>
      <c r="H519" s="2">
        <v>45223</v>
      </c>
      <c r="I519" s="2">
        <v>37267</v>
      </c>
      <c r="J519" s="7">
        <f t="shared" ca="1" si="17"/>
        <v>21.81095890410959</v>
      </c>
      <c r="K519" s="1" t="s">
        <v>133</v>
      </c>
      <c r="L519" s="1" t="s">
        <v>57</v>
      </c>
      <c r="M519" s="2">
        <v>45140</v>
      </c>
      <c r="N519" s="1">
        <v>2</v>
      </c>
      <c r="O519" s="2" t="s">
        <v>42</v>
      </c>
      <c r="P519" s="1" t="s">
        <v>578</v>
      </c>
      <c r="Q519" s="1" t="s">
        <v>578</v>
      </c>
      <c r="R519" s="1" t="s">
        <v>60</v>
      </c>
      <c r="S519" s="1" t="s">
        <v>156</v>
      </c>
      <c r="T519" s="1" t="s">
        <v>42</v>
      </c>
      <c r="U519" s="2" t="s">
        <v>42</v>
      </c>
      <c r="V519" s="2" t="s">
        <v>42</v>
      </c>
      <c r="W519" s="2" t="s">
        <v>42</v>
      </c>
      <c r="X519" s="1" t="s">
        <v>42</v>
      </c>
      <c r="Y519" s="2" t="s">
        <v>42</v>
      </c>
      <c r="Z519" s="1" t="s">
        <v>42</v>
      </c>
      <c r="AA519" s="1" t="s">
        <v>42</v>
      </c>
      <c r="AB519" s="1" t="s">
        <v>42</v>
      </c>
      <c r="AC519" s="1" t="s">
        <v>42</v>
      </c>
      <c r="AD519" s="1"/>
      <c r="AE519" s="1" t="s">
        <v>788</v>
      </c>
      <c r="AF519" s="1"/>
      <c r="AG519" s="2" t="s">
        <v>42</v>
      </c>
      <c r="AH519" s="1"/>
      <c r="AI519" s="1" t="s">
        <v>42</v>
      </c>
      <c r="AJ519" s="1"/>
      <c r="AK519" s="2" t="s">
        <v>42</v>
      </c>
      <c r="AL519" s="1" t="s">
        <v>3507</v>
      </c>
    </row>
    <row r="520" spans="1:38" ht="20.100000000000001" customHeight="1" x14ac:dyDescent="0.2">
      <c r="A520" s="3">
        <f t="shared" si="16"/>
        <v>517</v>
      </c>
      <c r="B520" s="1" t="s">
        <v>2433</v>
      </c>
      <c r="C520" s="1" t="s">
        <v>2434</v>
      </c>
      <c r="D520" s="1" t="s">
        <v>38</v>
      </c>
      <c r="E520" s="1" t="s">
        <v>54</v>
      </c>
      <c r="F520" s="1" t="s">
        <v>55</v>
      </c>
      <c r="G520" s="1" t="s">
        <v>2435</v>
      </c>
      <c r="H520" s="2">
        <v>45392</v>
      </c>
      <c r="I520" s="2">
        <v>34366</v>
      </c>
      <c r="J520" s="7">
        <f t="shared" ca="1" si="17"/>
        <v>29.758904109589039</v>
      </c>
      <c r="K520" s="1" t="s">
        <v>133</v>
      </c>
      <c r="L520" s="1" t="s">
        <v>57</v>
      </c>
      <c r="M520" s="2">
        <v>45140</v>
      </c>
      <c r="N520" s="1">
        <v>2</v>
      </c>
      <c r="O520" s="2" t="s">
        <v>42</v>
      </c>
      <c r="P520" s="1" t="s">
        <v>335</v>
      </c>
      <c r="Q520" s="1" t="s">
        <v>336</v>
      </c>
      <c r="R520" s="1" t="s">
        <v>60</v>
      </c>
      <c r="S520" s="1" t="s">
        <v>156</v>
      </c>
      <c r="T520" s="1">
        <v>8</v>
      </c>
      <c r="U520" s="2" t="s">
        <v>42</v>
      </c>
      <c r="V520" s="2" t="s">
        <v>42</v>
      </c>
      <c r="W520" s="2" t="s">
        <v>42</v>
      </c>
      <c r="X520" s="1" t="s">
        <v>42</v>
      </c>
      <c r="Y520" s="2" t="s">
        <v>42</v>
      </c>
      <c r="Z520" s="1" t="s">
        <v>42</v>
      </c>
      <c r="AA520" s="1" t="s">
        <v>42</v>
      </c>
      <c r="AB520" s="1" t="s">
        <v>2436</v>
      </c>
      <c r="AC520" s="1" t="s">
        <v>50</v>
      </c>
      <c r="AD520" s="1"/>
      <c r="AE520" s="1" t="s">
        <v>788</v>
      </c>
      <c r="AF520" s="1" t="s">
        <v>66</v>
      </c>
      <c r="AG520" s="2" t="s">
        <v>42</v>
      </c>
      <c r="AH520" s="1"/>
      <c r="AI520" s="1" t="s">
        <v>42</v>
      </c>
      <c r="AJ520" s="1"/>
      <c r="AK520" s="2" t="s">
        <v>42</v>
      </c>
      <c r="AL520" s="1" t="s">
        <v>3507</v>
      </c>
    </row>
    <row r="521" spans="1:38" ht="20.100000000000001" customHeight="1" x14ac:dyDescent="0.2">
      <c r="A521" s="3">
        <f t="shared" si="16"/>
        <v>518</v>
      </c>
      <c r="B521" s="1" t="s">
        <v>2437</v>
      </c>
      <c r="C521" s="1" t="s">
        <v>2438</v>
      </c>
      <c r="D521" s="1" t="s">
        <v>38</v>
      </c>
      <c r="E521" s="1" t="s">
        <v>69</v>
      </c>
      <c r="F521" s="1" t="s">
        <v>70</v>
      </c>
      <c r="G521" s="1" t="s">
        <v>2439</v>
      </c>
      <c r="H521" s="2" t="s">
        <v>42</v>
      </c>
      <c r="I521" s="2">
        <v>36739</v>
      </c>
      <c r="J521" s="7">
        <f t="shared" ca="1" si="17"/>
        <v>23.257534246575343</v>
      </c>
      <c r="K521" s="1" t="s">
        <v>133</v>
      </c>
      <c r="L521" s="1" t="s">
        <v>134</v>
      </c>
      <c r="M521" s="2">
        <v>45133</v>
      </c>
      <c r="N521" s="1">
        <v>2</v>
      </c>
      <c r="O521" s="2" t="s">
        <v>42</v>
      </c>
      <c r="P521" s="1" t="s">
        <v>44</v>
      </c>
      <c r="Q521" s="1" t="s">
        <v>142</v>
      </c>
      <c r="R521" s="1" t="s">
        <v>60</v>
      </c>
      <c r="S521" s="1"/>
      <c r="T521" s="1" t="s">
        <v>42</v>
      </c>
      <c r="U521" s="2" t="s">
        <v>42</v>
      </c>
      <c r="V521" s="2" t="s">
        <v>42</v>
      </c>
      <c r="W521" s="2" t="s">
        <v>42</v>
      </c>
      <c r="X521" s="1" t="s">
        <v>42</v>
      </c>
      <c r="Y521" s="2" t="s">
        <v>42</v>
      </c>
      <c r="Z521" s="1" t="s">
        <v>42</v>
      </c>
      <c r="AA521" s="1" t="s">
        <v>42</v>
      </c>
      <c r="AB521" s="1" t="s">
        <v>2440</v>
      </c>
      <c r="AC521" s="1" t="s">
        <v>129</v>
      </c>
      <c r="AD521" s="1">
        <v>7009073037</v>
      </c>
      <c r="AE521" s="1" t="s">
        <v>103</v>
      </c>
      <c r="AF521" s="1" t="s">
        <v>147</v>
      </c>
      <c r="AG521" s="2" t="s">
        <v>42</v>
      </c>
      <c r="AH521" s="1"/>
      <c r="AI521" s="1" t="s">
        <v>42</v>
      </c>
      <c r="AJ521" s="1"/>
      <c r="AK521" s="2" t="s">
        <v>42</v>
      </c>
      <c r="AL521" s="1" t="s">
        <v>3507</v>
      </c>
    </row>
    <row r="522" spans="1:38" ht="20.100000000000001" customHeight="1" x14ac:dyDescent="0.2">
      <c r="A522" s="3">
        <f t="shared" si="16"/>
        <v>519</v>
      </c>
      <c r="B522" s="1" t="s">
        <v>2441</v>
      </c>
      <c r="C522" s="1" t="s">
        <v>2442</v>
      </c>
      <c r="D522" s="1" t="s">
        <v>38</v>
      </c>
      <c r="E522" s="1" t="s">
        <v>69</v>
      </c>
      <c r="F522" s="1" t="s">
        <v>70</v>
      </c>
      <c r="G522" s="1" t="s">
        <v>2443</v>
      </c>
      <c r="H522" s="2" t="s">
        <v>42</v>
      </c>
      <c r="I522" s="2">
        <v>34335</v>
      </c>
      <c r="J522" s="7">
        <f t="shared" ca="1" si="17"/>
        <v>29.843835616438355</v>
      </c>
      <c r="K522" s="1" t="s">
        <v>2444</v>
      </c>
      <c r="L522" s="1" t="s">
        <v>134</v>
      </c>
      <c r="M522" s="2">
        <v>45147</v>
      </c>
      <c r="N522" s="1">
        <v>2</v>
      </c>
      <c r="O522" s="2">
        <v>45147</v>
      </c>
      <c r="P522" s="1" t="s">
        <v>44</v>
      </c>
      <c r="Q522" s="1" t="s">
        <v>306</v>
      </c>
      <c r="R522" s="1" t="s">
        <v>60</v>
      </c>
      <c r="S522" s="1"/>
      <c r="T522" s="1">
        <v>8</v>
      </c>
      <c r="U522" s="2" t="s">
        <v>42</v>
      </c>
      <c r="V522" s="2" t="s">
        <v>42</v>
      </c>
      <c r="W522" s="2" t="s">
        <v>42</v>
      </c>
      <c r="X522" s="1" t="s">
        <v>42</v>
      </c>
      <c r="Y522" s="2" t="s">
        <v>42</v>
      </c>
      <c r="Z522" s="1" t="s">
        <v>42</v>
      </c>
      <c r="AA522" s="1" t="s">
        <v>42</v>
      </c>
      <c r="AB522" s="1" t="s">
        <v>2445</v>
      </c>
      <c r="AC522" s="1" t="s">
        <v>50</v>
      </c>
      <c r="AD522" s="1">
        <v>7015572543</v>
      </c>
      <c r="AE522" s="1" t="s">
        <v>3506</v>
      </c>
      <c r="AF522" s="1" t="s">
        <v>66</v>
      </c>
      <c r="AG522" s="2" t="s">
        <v>42</v>
      </c>
      <c r="AH522" s="1"/>
      <c r="AI522" s="1" t="s">
        <v>42</v>
      </c>
      <c r="AJ522" s="1"/>
      <c r="AK522" s="2" t="s">
        <v>42</v>
      </c>
      <c r="AL522" s="1" t="s">
        <v>3507</v>
      </c>
    </row>
    <row r="523" spans="1:38" ht="20.100000000000001" customHeight="1" x14ac:dyDescent="0.2">
      <c r="A523" s="3">
        <f t="shared" si="16"/>
        <v>520</v>
      </c>
      <c r="B523" s="1" t="s">
        <v>2446</v>
      </c>
      <c r="C523" s="1" t="s">
        <v>2447</v>
      </c>
      <c r="D523" s="1" t="s">
        <v>38</v>
      </c>
      <c r="E523" s="1" t="s">
        <v>39</v>
      </c>
      <c r="F523" s="1" t="s">
        <v>40</v>
      </c>
      <c r="G523" s="1" t="s">
        <v>2448</v>
      </c>
      <c r="H523" s="2">
        <v>46015</v>
      </c>
      <c r="I523" s="2">
        <v>36751</v>
      </c>
      <c r="J523" s="7">
        <f t="shared" ca="1" si="17"/>
        <v>23.224657534246575</v>
      </c>
      <c r="K523" s="1" t="s">
        <v>42</v>
      </c>
      <c r="L523" s="1" t="s">
        <v>211</v>
      </c>
      <c r="M523" s="2">
        <v>45153</v>
      </c>
      <c r="N523" s="1">
        <v>2</v>
      </c>
      <c r="O523" s="2">
        <v>45153</v>
      </c>
      <c r="P523" s="1" t="s">
        <v>335</v>
      </c>
      <c r="Q523" s="1" t="s">
        <v>394</v>
      </c>
      <c r="R523" s="1" t="s">
        <v>60</v>
      </c>
      <c r="S523" s="1" t="s">
        <v>47</v>
      </c>
      <c r="T523" s="1">
        <v>8</v>
      </c>
      <c r="U523" s="2" t="s">
        <v>42</v>
      </c>
      <c r="V523" s="2" t="s">
        <v>42</v>
      </c>
      <c r="W523" s="2" t="s">
        <v>42</v>
      </c>
      <c r="X523" s="1" t="s">
        <v>42</v>
      </c>
      <c r="Y523" s="2" t="s">
        <v>42</v>
      </c>
      <c r="Z523" s="1" t="s">
        <v>2449</v>
      </c>
      <c r="AA523" s="1" t="s">
        <v>2450</v>
      </c>
      <c r="AB523" s="1" t="s">
        <v>2451</v>
      </c>
      <c r="AC523" s="1" t="s">
        <v>129</v>
      </c>
      <c r="AD523" s="1">
        <v>7034664628</v>
      </c>
      <c r="AE523" s="1" t="s">
        <v>443</v>
      </c>
      <c r="AF523" s="1" t="s">
        <v>66</v>
      </c>
      <c r="AG523" s="2" t="s">
        <v>42</v>
      </c>
      <c r="AH523" s="1"/>
      <c r="AI523" s="1" t="s">
        <v>42</v>
      </c>
      <c r="AJ523" s="1"/>
      <c r="AK523" s="2" t="s">
        <v>42</v>
      </c>
      <c r="AL523" s="1" t="s">
        <v>3507</v>
      </c>
    </row>
    <row r="524" spans="1:38" ht="20.100000000000001" customHeight="1" x14ac:dyDescent="0.2">
      <c r="A524" s="3">
        <f t="shared" si="16"/>
        <v>521</v>
      </c>
      <c r="B524" s="1" t="s">
        <v>2452</v>
      </c>
      <c r="C524" s="1" t="s">
        <v>2453</v>
      </c>
      <c r="D524" s="1" t="s">
        <v>38</v>
      </c>
      <c r="E524" s="1" t="s">
        <v>54</v>
      </c>
      <c r="F524" s="1" t="s">
        <v>55</v>
      </c>
      <c r="G524" s="1" t="s">
        <v>2454</v>
      </c>
      <c r="H524" s="2">
        <v>45480</v>
      </c>
      <c r="I524" s="2">
        <v>35462</v>
      </c>
      <c r="J524" s="7">
        <f t="shared" ca="1" si="17"/>
        <v>26.756164383561643</v>
      </c>
      <c r="K524" s="1" t="s">
        <v>2455</v>
      </c>
      <c r="L524" s="1" t="s">
        <v>42</v>
      </c>
      <c r="M524" s="2">
        <v>45133</v>
      </c>
      <c r="N524" s="1">
        <v>2</v>
      </c>
      <c r="O524" s="2" t="s">
        <v>42</v>
      </c>
      <c r="P524" s="1" t="s">
        <v>44</v>
      </c>
      <c r="Q524" s="1" t="s">
        <v>66</v>
      </c>
      <c r="R524" s="1" t="s">
        <v>60</v>
      </c>
      <c r="S524" s="1" t="s">
        <v>156</v>
      </c>
      <c r="T524" s="1">
        <v>8</v>
      </c>
      <c r="U524" s="2" t="s">
        <v>42</v>
      </c>
      <c r="V524" s="2" t="s">
        <v>42</v>
      </c>
      <c r="W524" s="2" t="s">
        <v>42</v>
      </c>
      <c r="X524" s="1" t="s">
        <v>42</v>
      </c>
      <c r="Y524" s="2" t="s">
        <v>42</v>
      </c>
      <c r="Z524" s="1" t="s">
        <v>42</v>
      </c>
      <c r="AA524" s="1" t="s">
        <v>42</v>
      </c>
      <c r="AB524" s="1" t="s">
        <v>2456</v>
      </c>
      <c r="AC524" s="1" t="s">
        <v>384</v>
      </c>
      <c r="AD524" s="1"/>
      <c r="AE524" s="1" t="s">
        <v>788</v>
      </c>
      <c r="AF524" s="1" t="s">
        <v>66</v>
      </c>
      <c r="AG524" s="2" t="s">
        <v>42</v>
      </c>
      <c r="AH524" s="1"/>
      <c r="AI524" s="1" t="s">
        <v>42</v>
      </c>
      <c r="AJ524" s="1"/>
      <c r="AK524" s="2" t="s">
        <v>42</v>
      </c>
      <c r="AL524" s="1" t="s">
        <v>3507</v>
      </c>
    </row>
    <row r="525" spans="1:38" ht="20.100000000000001" customHeight="1" x14ac:dyDescent="0.2">
      <c r="A525" s="3">
        <f t="shared" si="16"/>
        <v>522</v>
      </c>
      <c r="B525" s="1" t="s">
        <v>2457</v>
      </c>
      <c r="C525" s="1" t="s">
        <v>2458</v>
      </c>
      <c r="D525" s="1" t="s">
        <v>38</v>
      </c>
      <c r="E525" s="1" t="s">
        <v>69</v>
      </c>
      <c r="F525" s="1" t="s">
        <v>70</v>
      </c>
      <c r="G525" s="1" t="s">
        <v>2459</v>
      </c>
      <c r="H525" s="2" t="s">
        <v>42</v>
      </c>
      <c r="I525" s="2">
        <v>36892</v>
      </c>
      <c r="J525" s="7">
        <f t="shared" ca="1" si="17"/>
        <v>22.838356164383562</v>
      </c>
      <c r="K525" s="1" t="s">
        <v>1960</v>
      </c>
      <c r="L525" s="1" t="s">
        <v>134</v>
      </c>
      <c r="M525" s="2">
        <v>45147</v>
      </c>
      <c r="N525" s="1">
        <v>2</v>
      </c>
      <c r="O525" s="2" t="s">
        <v>42</v>
      </c>
      <c r="P525" s="1" t="s">
        <v>44</v>
      </c>
      <c r="Q525" s="1" t="s">
        <v>475</v>
      </c>
      <c r="R525" s="1" t="s">
        <v>60</v>
      </c>
      <c r="S525" s="1"/>
      <c r="T525" s="1" t="s">
        <v>42</v>
      </c>
      <c r="U525" s="2" t="s">
        <v>42</v>
      </c>
      <c r="V525" s="2" t="s">
        <v>42</v>
      </c>
      <c r="W525" s="2" t="s">
        <v>42</v>
      </c>
      <c r="X525" s="1" t="s">
        <v>42</v>
      </c>
      <c r="Y525" s="2" t="s">
        <v>42</v>
      </c>
      <c r="Z525" s="1" t="s">
        <v>42</v>
      </c>
      <c r="AA525" s="1" t="s">
        <v>42</v>
      </c>
      <c r="AB525" s="1" t="s">
        <v>42</v>
      </c>
      <c r="AC525" s="1" t="s">
        <v>129</v>
      </c>
      <c r="AD525" s="1"/>
      <c r="AE525" s="1" t="s">
        <v>788</v>
      </c>
      <c r="AF525" s="1" t="s">
        <v>66</v>
      </c>
      <c r="AG525" s="2" t="s">
        <v>42</v>
      </c>
      <c r="AH525" s="1"/>
      <c r="AI525" s="1" t="s">
        <v>42</v>
      </c>
      <c r="AJ525" s="1"/>
      <c r="AK525" s="2" t="s">
        <v>42</v>
      </c>
      <c r="AL525" s="1" t="s">
        <v>3507</v>
      </c>
    </row>
    <row r="526" spans="1:38" ht="20.100000000000001" customHeight="1" x14ac:dyDescent="0.2">
      <c r="A526" s="3">
        <f t="shared" si="16"/>
        <v>523</v>
      </c>
      <c r="B526" s="1" t="s">
        <v>2460</v>
      </c>
      <c r="C526" s="1" t="s">
        <v>2461</v>
      </c>
      <c r="D526" s="1" t="s">
        <v>38</v>
      </c>
      <c r="E526" s="1" t="s">
        <v>69</v>
      </c>
      <c r="F526" s="1" t="s">
        <v>70</v>
      </c>
      <c r="G526" s="1" t="s">
        <v>2462</v>
      </c>
      <c r="H526" s="2" t="s">
        <v>42</v>
      </c>
      <c r="I526" s="2">
        <v>37987</v>
      </c>
      <c r="J526" s="7">
        <f t="shared" ca="1" si="17"/>
        <v>19.838356164383562</v>
      </c>
      <c r="K526" s="1" t="s">
        <v>1960</v>
      </c>
      <c r="L526" s="1" t="s">
        <v>134</v>
      </c>
      <c r="M526" s="2">
        <v>45147</v>
      </c>
      <c r="N526" s="1">
        <v>2</v>
      </c>
      <c r="O526" s="2" t="s">
        <v>42</v>
      </c>
      <c r="P526" s="1" t="s">
        <v>44</v>
      </c>
      <c r="Q526" s="1" t="s">
        <v>466</v>
      </c>
      <c r="R526" s="1" t="s">
        <v>60</v>
      </c>
      <c r="S526" s="1" t="s">
        <v>156</v>
      </c>
      <c r="T526" s="1" t="s">
        <v>42</v>
      </c>
      <c r="U526" s="2" t="s">
        <v>42</v>
      </c>
      <c r="V526" s="2" t="s">
        <v>42</v>
      </c>
      <c r="W526" s="2" t="s">
        <v>42</v>
      </c>
      <c r="X526" s="1" t="s">
        <v>42</v>
      </c>
      <c r="Y526" s="2" t="s">
        <v>42</v>
      </c>
      <c r="Z526" s="1" t="s">
        <v>42</v>
      </c>
      <c r="AA526" s="1" t="s">
        <v>42</v>
      </c>
      <c r="AB526" s="1" t="s">
        <v>42</v>
      </c>
      <c r="AC526" s="1" t="s">
        <v>129</v>
      </c>
      <c r="AD526" s="1"/>
      <c r="AE526" s="1" t="s">
        <v>788</v>
      </c>
      <c r="AF526" s="1" t="s">
        <v>66</v>
      </c>
      <c r="AG526" s="2" t="s">
        <v>42</v>
      </c>
      <c r="AH526" s="1"/>
      <c r="AI526" s="1" t="s">
        <v>42</v>
      </c>
      <c r="AJ526" s="1"/>
      <c r="AK526" s="2" t="s">
        <v>42</v>
      </c>
      <c r="AL526" s="1" t="s">
        <v>3507</v>
      </c>
    </row>
    <row r="527" spans="1:38" ht="20.100000000000001" customHeight="1" x14ac:dyDescent="0.2">
      <c r="A527" s="3">
        <f t="shared" si="16"/>
        <v>524</v>
      </c>
      <c r="B527" s="1" t="s">
        <v>2463</v>
      </c>
      <c r="C527" s="1" t="s">
        <v>2464</v>
      </c>
      <c r="D527" s="1" t="s">
        <v>38</v>
      </c>
      <c r="E527" s="1" t="s">
        <v>54</v>
      </c>
      <c r="F527" s="1" t="s">
        <v>55</v>
      </c>
      <c r="G527" s="1" t="s">
        <v>2465</v>
      </c>
      <c r="H527" s="2" t="s">
        <v>42</v>
      </c>
      <c r="I527" s="2">
        <v>37150</v>
      </c>
      <c r="J527" s="7">
        <f t="shared" ca="1" si="17"/>
        <v>22.13150684931507</v>
      </c>
      <c r="K527" s="1" t="s">
        <v>133</v>
      </c>
      <c r="L527" s="1" t="s">
        <v>134</v>
      </c>
      <c r="M527" s="2">
        <v>45148</v>
      </c>
      <c r="N527" s="1">
        <v>2</v>
      </c>
      <c r="O527" s="2">
        <v>45148</v>
      </c>
      <c r="P527" s="1" t="s">
        <v>44</v>
      </c>
      <c r="Q527" s="1" t="s">
        <v>203</v>
      </c>
      <c r="R527" s="1" t="s">
        <v>60</v>
      </c>
      <c r="S527" s="1"/>
      <c r="T527" s="1">
        <v>0</v>
      </c>
      <c r="U527" s="2" t="s">
        <v>42</v>
      </c>
      <c r="V527" s="2" t="s">
        <v>42</v>
      </c>
      <c r="W527" s="2" t="s">
        <v>42</v>
      </c>
      <c r="X527" s="1" t="s">
        <v>42</v>
      </c>
      <c r="Y527" s="2" t="s">
        <v>42</v>
      </c>
      <c r="Z527" s="1" t="s">
        <v>42</v>
      </c>
      <c r="AA527" s="1" t="s">
        <v>42</v>
      </c>
      <c r="AB527" s="1" t="s">
        <v>42</v>
      </c>
      <c r="AC527" s="1" t="s">
        <v>42</v>
      </c>
      <c r="AD527" s="1"/>
      <c r="AE527" s="1" t="s">
        <v>788</v>
      </c>
      <c r="AF527" s="1" t="s">
        <v>66</v>
      </c>
      <c r="AG527" s="2" t="s">
        <v>42</v>
      </c>
      <c r="AH527" s="1"/>
      <c r="AI527" s="1" t="s">
        <v>42</v>
      </c>
      <c r="AJ527" s="1"/>
      <c r="AK527" s="2" t="s">
        <v>42</v>
      </c>
      <c r="AL527" s="1" t="s">
        <v>3507</v>
      </c>
    </row>
    <row r="528" spans="1:38" ht="20.100000000000001" customHeight="1" x14ac:dyDescent="0.2">
      <c r="A528" s="3">
        <f t="shared" si="16"/>
        <v>525</v>
      </c>
      <c r="B528" s="1" t="s">
        <v>2466</v>
      </c>
      <c r="C528" s="1" t="s">
        <v>2467</v>
      </c>
      <c r="D528" s="1" t="s">
        <v>38</v>
      </c>
      <c r="E528" s="1" t="s">
        <v>54</v>
      </c>
      <c r="F528" s="1" t="s">
        <v>55</v>
      </c>
      <c r="G528" s="1" t="s">
        <v>2468</v>
      </c>
      <c r="H528" s="2" t="s">
        <v>42</v>
      </c>
      <c r="I528" s="2">
        <v>36590</v>
      </c>
      <c r="J528" s="7">
        <f t="shared" ca="1" si="17"/>
        <v>23.665753424657535</v>
      </c>
      <c r="K528" s="1" t="s">
        <v>482</v>
      </c>
      <c r="L528" s="1" t="s">
        <v>134</v>
      </c>
      <c r="M528" s="2">
        <v>45133</v>
      </c>
      <c r="N528" s="1">
        <v>2</v>
      </c>
      <c r="O528" s="2">
        <v>45133</v>
      </c>
      <c r="P528" s="1" t="s">
        <v>44</v>
      </c>
      <c r="Q528" s="1" t="s">
        <v>431</v>
      </c>
      <c r="R528" s="1" t="s">
        <v>1122</v>
      </c>
      <c r="S528" s="1"/>
      <c r="T528" s="1" t="s">
        <v>42</v>
      </c>
      <c r="U528" s="2" t="s">
        <v>42</v>
      </c>
      <c r="V528" s="2" t="s">
        <v>42</v>
      </c>
      <c r="W528" s="2" t="s">
        <v>42</v>
      </c>
      <c r="X528" s="1" t="s">
        <v>42</v>
      </c>
      <c r="Y528" s="2" t="s">
        <v>42</v>
      </c>
      <c r="Z528" s="1" t="s">
        <v>42</v>
      </c>
      <c r="AA528" s="1" t="s">
        <v>42</v>
      </c>
      <c r="AB528" s="1" t="s">
        <v>42</v>
      </c>
      <c r="AC528" s="1" t="s">
        <v>42</v>
      </c>
      <c r="AD528" s="1"/>
      <c r="AE528" s="1" t="s">
        <v>788</v>
      </c>
      <c r="AF528" s="1" t="s">
        <v>436</v>
      </c>
      <c r="AG528" s="2" t="s">
        <v>42</v>
      </c>
      <c r="AH528" s="1"/>
      <c r="AI528" s="1" t="s">
        <v>42</v>
      </c>
      <c r="AJ528" s="1"/>
      <c r="AK528" s="2" t="s">
        <v>42</v>
      </c>
      <c r="AL528" s="1" t="s">
        <v>3507</v>
      </c>
    </row>
    <row r="529" spans="1:38" ht="20.100000000000001" customHeight="1" x14ac:dyDescent="0.2">
      <c r="A529" s="3">
        <f t="shared" si="16"/>
        <v>526</v>
      </c>
      <c r="B529" s="1" t="s">
        <v>2469</v>
      </c>
      <c r="C529" s="1" t="s">
        <v>2470</v>
      </c>
      <c r="D529" s="1" t="s">
        <v>38</v>
      </c>
      <c r="E529" s="1" t="s">
        <v>54</v>
      </c>
      <c r="F529" s="1" t="s">
        <v>55</v>
      </c>
      <c r="G529" s="1" t="s">
        <v>2471</v>
      </c>
      <c r="H529" s="2" t="s">
        <v>42</v>
      </c>
      <c r="I529" s="2">
        <v>36356</v>
      </c>
      <c r="J529" s="7">
        <f t="shared" ca="1" si="17"/>
        <v>24.306849315068494</v>
      </c>
      <c r="K529" s="1" t="s">
        <v>555</v>
      </c>
      <c r="L529" s="1" t="s">
        <v>134</v>
      </c>
      <c r="M529" s="2">
        <v>45133</v>
      </c>
      <c r="N529" s="1">
        <v>2</v>
      </c>
      <c r="O529" s="2">
        <v>45133</v>
      </c>
      <c r="P529" s="1" t="s">
        <v>44</v>
      </c>
      <c r="Q529" s="1" t="s">
        <v>431</v>
      </c>
      <c r="R529" s="1" t="s">
        <v>1122</v>
      </c>
      <c r="S529" s="1"/>
      <c r="T529" s="1" t="s">
        <v>42</v>
      </c>
      <c r="U529" s="2" t="s">
        <v>42</v>
      </c>
      <c r="V529" s="2" t="s">
        <v>42</v>
      </c>
      <c r="W529" s="2" t="s">
        <v>42</v>
      </c>
      <c r="X529" s="1" t="s">
        <v>42</v>
      </c>
      <c r="Y529" s="2" t="s">
        <v>42</v>
      </c>
      <c r="Z529" s="1" t="s">
        <v>42</v>
      </c>
      <c r="AA529" s="1" t="s">
        <v>42</v>
      </c>
      <c r="AB529" s="1" t="s">
        <v>2472</v>
      </c>
      <c r="AC529" s="1" t="s">
        <v>50</v>
      </c>
      <c r="AD529" s="1"/>
      <c r="AE529" s="1" t="s">
        <v>788</v>
      </c>
      <c r="AF529" s="1" t="s">
        <v>436</v>
      </c>
      <c r="AG529" s="2" t="s">
        <v>42</v>
      </c>
      <c r="AH529" s="1"/>
      <c r="AI529" s="1" t="s">
        <v>42</v>
      </c>
      <c r="AJ529" s="1"/>
      <c r="AK529" s="2" t="s">
        <v>42</v>
      </c>
      <c r="AL529" s="1" t="s">
        <v>3507</v>
      </c>
    </row>
    <row r="530" spans="1:38" ht="20.100000000000001" customHeight="1" x14ac:dyDescent="0.2">
      <c r="A530" s="3">
        <f t="shared" si="16"/>
        <v>527</v>
      </c>
      <c r="B530" s="1" t="s">
        <v>3486</v>
      </c>
      <c r="C530" s="1" t="s">
        <v>3487</v>
      </c>
      <c r="D530" s="1" t="s">
        <v>38</v>
      </c>
      <c r="E530" s="1" t="s">
        <v>54</v>
      </c>
      <c r="F530" s="1" t="s">
        <v>55</v>
      </c>
      <c r="G530" s="1" t="s">
        <v>3488</v>
      </c>
      <c r="H530" s="2">
        <v>45561</v>
      </c>
      <c r="I530" s="2">
        <v>36053</v>
      </c>
      <c r="J530" s="7">
        <f t="shared" ca="1" si="17"/>
        <v>25.136986301369863</v>
      </c>
      <c r="K530" s="1" t="s">
        <v>133</v>
      </c>
      <c r="L530" s="1" t="s">
        <v>134</v>
      </c>
      <c r="M530" s="2">
        <v>45133</v>
      </c>
      <c r="N530" s="1">
        <v>2</v>
      </c>
      <c r="O530" s="2">
        <v>45133</v>
      </c>
      <c r="P530" s="1" t="s">
        <v>44</v>
      </c>
      <c r="Q530" s="1" t="s">
        <v>431</v>
      </c>
      <c r="R530" s="1" t="s">
        <v>1122</v>
      </c>
      <c r="S530" s="1"/>
      <c r="T530" s="1" t="s">
        <v>42</v>
      </c>
      <c r="U530" s="2" t="s">
        <v>42</v>
      </c>
      <c r="V530" s="2" t="s">
        <v>42</v>
      </c>
      <c r="W530" s="2" t="s">
        <v>42</v>
      </c>
      <c r="X530" s="1" t="s">
        <v>42</v>
      </c>
      <c r="Y530" s="2" t="s">
        <v>42</v>
      </c>
      <c r="Z530" s="1" t="s">
        <v>42</v>
      </c>
      <c r="AA530" s="1" t="s">
        <v>42</v>
      </c>
      <c r="AB530" s="1" t="s">
        <v>42</v>
      </c>
      <c r="AC530" s="1" t="s">
        <v>42</v>
      </c>
      <c r="AD530" s="1"/>
      <c r="AE530" s="1" t="s">
        <v>788</v>
      </c>
      <c r="AF530" s="1" t="s">
        <v>436</v>
      </c>
      <c r="AG530" s="2">
        <v>45194</v>
      </c>
      <c r="AH530" s="1" t="s">
        <v>2812</v>
      </c>
      <c r="AI530" s="1" t="s">
        <v>42</v>
      </c>
      <c r="AJ530" s="1"/>
      <c r="AK530" s="2" t="s">
        <v>42</v>
      </c>
      <c r="AL530" s="1" t="s">
        <v>3507</v>
      </c>
    </row>
    <row r="531" spans="1:38" ht="20.100000000000001" customHeight="1" x14ac:dyDescent="0.2">
      <c r="A531" s="3">
        <f t="shared" si="16"/>
        <v>528</v>
      </c>
      <c r="B531" s="1" t="s">
        <v>2473</v>
      </c>
      <c r="C531" s="1" t="s">
        <v>2474</v>
      </c>
      <c r="D531" s="1" t="s">
        <v>121</v>
      </c>
      <c r="E531" s="1" t="s">
        <v>39</v>
      </c>
      <c r="F531" s="1" t="s">
        <v>40</v>
      </c>
      <c r="G531" s="1" t="s">
        <v>2475</v>
      </c>
      <c r="H531" s="2">
        <v>46826</v>
      </c>
      <c r="I531" s="2">
        <v>34928</v>
      </c>
      <c r="J531" s="7">
        <f t="shared" ca="1" si="17"/>
        <v>28.219178082191782</v>
      </c>
      <c r="K531" s="1" t="s">
        <v>42</v>
      </c>
      <c r="L531" s="1" t="s">
        <v>211</v>
      </c>
      <c r="M531" s="2">
        <v>45160</v>
      </c>
      <c r="N531" s="1">
        <v>2</v>
      </c>
      <c r="O531" s="2">
        <v>45160</v>
      </c>
      <c r="P531" s="1" t="s">
        <v>578</v>
      </c>
      <c r="Q531" s="1" t="s">
        <v>578</v>
      </c>
      <c r="R531" s="1" t="s">
        <v>60</v>
      </c>
      <c r="S531" s="1" t="s">
        <v>47</v>
      </c>
      <c r="T531" s="1">
        <v>8</v>
      </c>
      <c r="U531" s="2">
        <v>45160</v>
      </c>
      <c r="V531" s="2">
        <v>45525</v>
      </c>
      <c r="W531" s="2" t="s">
        <v>42</v>
      </c>
      <c r="X531" s="1" t="s">
        <v>42</v>
      </c>
      <c r="Y531" s="2" t="s">
        <v>42</v>
      </c>
      <c r="Z531" s="1" t="s">
        <v>2476</v>
      </c>
      <c r="AA531" s="1" t="s">
        <v>2477</v>
      </c>
      <c r="AB531" s="1" t="s">
        <v>2478</v>
      </c>
      <c r="AC531" s="1" t="s">
        <v>129</v>
      </c>
      <c r="AD531" s="1">
        <v>7034664628</v>
      </c>
      <c r="AE531" s="1" t="s">
        <v>443</v>
      </c>
      <c r="AF531" s="1"/>
      <c r="AG531" s="2" t="s">
        <v>42</v>
      </c>
      <c r="AH531" s="1"/>
      <c r="AI531" s="1" t="s">
        <v>2479</v>
      </c>
      <c r="AJ531" s="1"/>
      <c r="AK531" s="2" t="s">
        <v>42</v>
      </c>
      <c r="AL531" s="1" t="s">
        <v>3507</v>
      </c>
    </row>
    <row r="532" spans="1:38" ht="20.100000000000001" customHeight="1" x14ac:dyDescent="0.2">
      <c r="A532" s="3">
        <f t="shared" si="16"/>
        <v>529</v>
      </c>
      <c r="B532" s="1" t="s">
        <v>3489</v>
      </c>
      <c r="C532" s="1" t="s">
        <v>3490</v>
      </c>
      <c r="D532" s="1" t="s">
        <v>38</v>
      </c>
      <c r="E532" s="1" t="s">
        <v>39</v>
      </c>
      <c r="F532" s="1" t="s">
        <v>40</v>
      </c>
      <c r="G532" s="1" t="s">
        <v>3491</v>
      </c>
      <c r="H532" s="2">
        <v>46335</v>
      </c>
      <c r="I532" s="2">
        <v>36916</v>
      </c>
      <c r="J532" s="7">
        <f t="shared" ca="1" si="17"/>
        <v>22.772602739726029</v>
      </c>
      <c r="K532" s="1" t="s">
        <v>42</v>
      </c>
      <c r="L532" s="1" t="s">
        <v>211</v>
      </c>
      <c r="M532" s="2">
        <v>45161</v>
      </c>
      <c r="N532" s="1">
        <v>2</v>
      </c>
      <c r="O532" s="2">
        <v>45161</v>
      </c>
      <c r="P532" s="1" t="s">
        <v>578</v>
      </c>
      <c r="Q532" s="1" t="s">
        <v>578</v>
      </c>
      <c r="R532" s="1" t="s">
        <v>60</v>
      </c>
      <c r="S532" s="1" t="s">
        <v>47</v>
      </c>
      <c r="T532" s="1">
        <v>8</v>
      </c>
      <c r="U532" s="2">
        <v>45161</v>
      </c>
      <c r="V532" s="2">
        <v>45526</v>
      </c>
      <c r="W532" s="2" t="s">
        <v>42</v>
      </c>
      <c r="X532" s="1" t="s">
        <v>42</v>
      </c>
      <c r="Y532" s="2" t="s">
        <v>42</v>
      </c>
      <c r="Z532" s="1" t="s">
        <v>3492</v>
      </c>
      <c r="AA532" s="1" t="s">
        <v>3493</v>
      </c>
      <c r="AB532" s="1" t="s">
        <v>3494</v>
      </c>
      <c r="AC532" s="1" t="s">
        <v>129</v>
      </c>
      <c r="AD532" s="1">
        <v>7034664628</v>
      </c>
      <c r="AE532" s="1" t="s">
        <v>443</v>
      </c>
      <c r="AF532" s="1"/>
      <c r="AG532" s="2">
        <v>45178</v>
      </c>
      <c r="AH532" s="1" t="s">
        <v>2812</v>
      </c>
      <c r="AI532" s="1" t="s">
        <v>2862</v>
      </c>
      <c r="AJ532" s="1"/>
      <c r="AK532" s="2" t="s">
        <v>42</v>
      </c>
      <c r="AL532" s="1" t="s">
        <v>2806</v>
      </c>
    </row>
    <row r="533" spans="1:38" ht="20.100000000000001" customHeight="1" x14ac:dyDescent="0.2">
      <c r="A533" s="3">
        <f t="shared" si="16"/>
        <v>530</v>
      </c>
      <c r="B533" s="1" t="s">
        <v>2480</v>
      </c>
      <c r="C533" s="1" t="s">
        <v>2481</v>
      </c>
      <c r="D533" s="1" t="s">
        <v>38</v>
      </c>
      <c r="E533" s="1" t="s">
        <v>54</v>
      </c>
      <c r="F533" s="1" t="s">
        <v>55</v>
      </c>
      <c r="G533" s="1" t="s">
        <v>2482</v>
      </c>
      <c r="H533" s="2" t="s">
        <v>42</v>
      </c>
      <c r="I533" s="2">
        <v>33074</v>
      </c>
      <c r="J533" s="7">
        <f t="shared" ca="1" si="17"/>
        <v>33.298630136986304</v>
      </c>
      <c r="K533" s="1" t="s">
        <v>42</v>
      </c>
      <c r="L533" s="1" t="s">
        <v>133</v>
      </c>
      <c r="M533" s="2">
        <v>45150</v>
      </c>
      <c r="N533" s="1">
        <v>2</v>
      </c>
      <c r="O533" s="2">
        <v>45150</v>
      </c>
      <c r="P533" s="1" t="s">
        <v>44</v>
      </c>
      <c r="Q533" s="1" t="s">
        <v>431</v>
      </c>
      <c r="R533" s="1" t="s">
        <v>60</v>
      </c>
      <c r="S533" s="1"/>
      <c r="T533" s="1" t="s">
        <v>42</v>
      </c>
      <c r="U533" s="2" t="s">
        <v>42</v>
      </c>
      <c r="V533" s="2" t="s">
        <v>42</v>
      </c>
      <c r="W533" s="2" t="s">
        <v>42</v>
      </c>
      <c r="X533" s="1" t="s">
        <v>42</v>
      </c>
      <c r="Y533" s="2" t="s">
        <v>42</v>
      </c>
      <c r="Z533" s="1" t="s">
        <v>42</v>
      </c>
      <c r="AA533" s="1" t="s">
        <v>42</v>
      </c>
      <c r="AB533" s="1" t="s">
        <v>42</v>
      </c>
      <c r="AC533" s="1" t="s">
        <v>42</v>
      </c>
      <c r="AD533" s="1" t="s">
        <v>42</v>
      </c>
      <c r="AE533" s="1" t="s">
        <v>788</v>
      </c>
      <c r="AF533" s="1" t="s">
        <v>436</v>
      </c>
      <c r="AG533" s="2" t="s">
        <v>42</v>
      </c>
      <c r="AH533" s="1"/>
      <c r="AI533" s="1" t="s">
        <v>42</v>
      </c>
      <c r="AJ533" s="1"/>
      <c r="AK533" s="2" t="s">
        <v>42</v>
      </c>
      <c r="AL533" s="1" t="s">
        <v>3507</v>
      </c>
    </row>
    <row r="534" spans="1:38" ht="20.100000000000001" customHeight="1" x14ac:dyDescent="0.2">
      <c r="A534" s="3">
        <f t="shared" si="16"/>
        <v>531</v>
      </c>
      <c r="B534" s="1" t="s">
        <v>3495</v>
      </c>
      <c r="C534" s="1" t="s">
        <v>3496</v>
      </c>
      <c r="D534" s="1" t="s">
        <v>38</v>
      </c>
      <c r="E534" s="1" t="s">
        <v>193</v>
      </c>
      <c r="F534" s="1" t="s">
        <v>55</v>
      </c>
      <c r="G534" s="1" t="s">
        <v>3497</v>
      </c>
      <c r="H534" s="2" t="s">
        <v>42</v>
      </c>
      <c r="I534" s="2" t="s">
        <v>42</v>
      </c>
      <c r="J534" s="7"/>
      <c r="K534" s="1" t="s">
        <v>42</v>
      </c>
      <c r="L534" s="1" t="s">
        <v>134</v>
      </c>
      <c r="M534" s="2">
        <v>45142</v>
      </c>
      <c r="N534" s="1">
        <v>2</v>
      </c>
      <c r="O534" s="2">
        <v>45142</v>
      </c>
      <c r="P534" s="1" t="s">
        <v>335</v>
      </c>
      <c r="Q534" s="1" t="s">
        <v>270</v>
      </c>
      <c r="R534" s="1" t="s">
        <v>60</v>
      </c>
      <c r="S534" s="1" t="s">
        <v>156</v>
      </c>
      <c r="T534" s="1" t="s">
        <v>42</v>
      </c>
      <c r="U534" s="2" t="s">
        <v>42</v>
      </c>
      <c r="V534" s="2" t="s">
        <v>42</v>
      </c>
      <c r="W534" s="2" t="s">
        <v>42</v>
      </c>
      <c r="X534" s="1" t="s">
        <v>42</v>
      </c>
      <c r="Y534" s="2" t="s">
        <v>42</v>
      </c>
      <c r="Z534" s="1" t="s">
        <v>42</v>
      </c>
      <c r="AA534" s="1" t="s">
        <v>42</v>
      </c>
      <c r="AB534" s="1" t="s">
        <v>3498</v>
      </c>
      <c r="AC534" s="1" t="s">
        <v>129</v>
      </c>
      <c r="AD534" s="1"/>
      <c r="AE534" s="1" t="s">
        <v>788</v>
      </c>
      <c r="AF534" s="1"/>
      <c r="AG534" s="2">
        <v>45156</v>
      </c>
      <c r="AH534" s="1" t="s">
        <v>2812</v>
      </c>
      <c r="AI534" s="1" t="s">
        <v>42</v>
      </c>
      <c r="AJ534" s="1"/>
      <c r="AK534" s="2" t="s">
        <v>42</v>
      </c>
      <c r="AL534" s="1" t="s">
        <v>2806</v>
      </c>
    </row>
    <row r="535" spans="1:38" ht="20.100000000000001" customHeight="1" x14ac:dyDescent="0.2">
      <c r="A535" s="3">
        <f t="shared" si="16"/>
        <v>532</v>
      </c>
      <c r="B535" s="1" t="s">
        <v>2483</v>
      </c>
      <c r="C535" s="1" t="s">
        <v>2484</v>
      </c>
      <c r="D535" s="1" t="s">
        <v>38</v>
      </c>
      <c r="E535" s="1" t="s">
        <v>39</v>
      </c>
      <c r="F535" s="1" t="s">
        <v>40</v>
      </c>
      <c r="G535" s="1" t="s">
        <v>2485</v>
      </c>
      <c r="H535" s="2">
        <v>46726</v>
      </c>
      <c r="I535" s="2">
        <v>38697</v>
      </c>
      <c r="J535" s="7">
        <f t="shared" ca="1" si="17"/>
        <v>17.893150684931506</v>
      </c>
      <c r="K535" s="1" t="s">
        <v>42</v>
      </c>
      <c r="L535" s="1" t="s">
        <v>211</v>
      </c>
      <c r="M535" s="2">
        <v>45169</v>
      </c>
      <c r="N535" s="1">
        <v>2</v>
      </c>
      <c r="O535" s="2">
        <v>45169</v>
      </c>
      <c r="P535" s="1" t="s">
        <v>335</v>
      </c>
      <c r="Q535" s="1" t="s">
        <v>270</v>
      </c>
      <c r="R535" s="1" t="s">
        <v>60</v>
      </c>
      <c r="S535" s="1" t="s">
        <v>47</v>
      </c>
      <c r="T535" s="1">
        <v>8</v>
      </c>
      <c r="U535" s="2">
        <v>45169</v>
      </c>
      <c r="V535" s="2">
        <v>45534</v>
      </c>
      <c r="W535" s="2" t="s">
        <v>42</v>
      </c>
      <c r="X535" s="1" t="s">
        <v>42</v>
      </c>
      <c r="Y535" s="2" t="s">
        <v>42</v>
      </c>
      <c r="Z535" s="1" t="s">
        <v>2486</v>
      </c>
      <c r="AA535" s="1" t="s">
        <v>42</v>
      </c>
      <c r="AB535" s="1" t="s">
        <v>2487</v>
      </c>
      <c r="AC535" s="1" t="s">
        <v>129</v>
      </c>
      <c r="AD535" s="1">
        <v>7034664628</v>
      </c>
      <c r="AE535" s="1" t="s">
        <v>443</v>
      </c>
      <c r="AF535" s="1" t="s">
        <v>66</v>
      </c>
      <c r="AG535" s="2" t="s">
        <v>42</v>
      </c>
      <c r="AH535" s="1"/>
      <c r="AI535" s="1" t="s">
        <v>42</v>
      </c>
      <c r="AJ535" s="1"/>
      <c r="AK535" s="2" t="s">
        <v>42</v>
      </c>
      <c r="AL535" s="1" t="s">
        <v>42</v>
      </c>
    </row>
    <row r="536" spans="1:38" ht="20.100000000000001" customHeight="1" x14ac:dyDescent="0.2">
      <c r="A536" s="3">
        <f t="shared" si="16"/>
        <v>533</v>
      </c>
      <c r="B536" s="1" t="s">
        <v>2488</v>
      </c>
      <c r="C536" s="1" t="s">
        <v>583</v>
      </c>
      <c r="D536" s="1" t="s">
        <v>38</v>
      </c>
      <c r="E536" s="1" t="s">
        <v>54</v>
      </c>
      <c r="F536" s="1" t="s">
        <v>55</v>
      </c>
      <c r="G536" s="1" t="s">
        <v>584</v>
      </c>
      <c r="H536" s="2">
        <v>45348</v>
      </c>
      <c r="I536" s="2">
        <v>32056</v>
      </c>
      <c r="J536" s="7">
        <f t="shared" ca="1" si="17"/>
        <v>36.087671232876716</v>
      </c>
      <c r="K536" s="1" t="s">
        <v>57</v>
      </c>
      <c r="L536" s="1" t="s">
        <v>134</v>
      </c>
      <c r="M536" s="2">
        <v>43723</v>
      </c>
      <c r="N536" s="1">
        <v>2</v>
      </c>
      <c r="O536" s="2">
        <v>45136</v>
      </c>
      <c r="P536" s="1" t="s">
        <v>44</v>
      </c>
      <c r="Q536" s="1" t="s">
        <v>107</v>
      </c>
      <c r="R536" s="1" t="s">
        <v>60</v>
      </c>
      <c r="S536" s="1" t="s">
        <v>47</v>
      </c>
      <c r="T536" s="1">
        <v>12</v>
      </c>
      <c r="U536" s="2" t="s">
        <v>42</v>
      </c>
      <c r="V536" s="2">
        <v>44818</v>
      </c>
      <c r="W536" s="2">
        <v>45014</v>
      </c>
      <c r="X536" s="1" t="s">
        <v>2489</v>
      </c>
      <c r="Y536" s="2">
        <v>46774</v>
      </c>
      <c r="Z536" s="1" t="s">
        <v>585</v>
      </c>
      <c r="AA536" s="1" t="s">
        <v>586</v>
      </c>
      <c r="AB536" s="1" t="s">
        <v>587</v>
      </c>
      <c r="AC536" s="1" t="s">
        <v>50</v>
      </c>
      <c r="AD536" s="1">
        <v>7014477116</v>
      </c>
      <c r="AE536" s="1" t="s">
        <v>65</v>
      </c>
      <c r="AF536" s="1"/>
      <c r="AG536" s="2" t="s">
        <v>42</v>
      </c>
      <c r="AH536" s="1"/>
      <c r="AI536" s="1" t="s">
        <v>42</v>
      </c>
      <c r="AJ536" s="1"/>
      <c r="AK536" s="2" t="s">
        <v>42</v>
      </c>
      <c r="AL536" s="1" t="s">
        <v>3507</v>
      </c>
    </row>
    <row r="537" spans="1:38" ht="20.100000000000001" customHeight="1" x14ac:dyDescent="0.2">
      <c r="A537" s="3">
        <f t="shared" si="16"/>
        <v>534</v>
      </c>
      <c r="B537" s="1" t="s">
        <v>2488</v>
      </c>
      <c r="C537" s="1" t="s">
        <v>2490</v>
      </c>
      <c r="D537" s="1" t="s">
        <v>121</v>
      </c>
      <c r="E537" s="1" t="s">
        <v>39</v>
      </c>
      <c r="F537" s="1" t="s">
        <v>40</v>
      </c>
      <c r="G537" s="1" t="s">
        <v>2491</v>
      </c>
      <c r="H537" s="2">
        <v>45989</v>
      </c>
      <c r="I537" s="2">
        <v>36915</v>
      </c>
      <c r="J537" s="7">
        <f t="shared" ca="1" si="17"/>
        <v>22.775342465753425</v>
      </c>
      <c r="K537" s="1" t="s">
        <v>42</v>
      </c>
      <c r="L537" s="1" t="s">
        <v>211</v>
      </c>
      <c r="M537" s="2">
        <v>45163</v>
      </c>
      <c r="N537" s="1">
        <v>2</v>
      </c>
      <c r="O537" s="2">
        <v>45163</v>
      </c>
      <c r="P537" s="1" t="s">
        <v>44</v>
      </c>
      <c r="Q537" s="1" t="s">
        <v>306</v>
      </c>
      <c r="R537" s="1" t="s">
        <v>60</v>
      </c>
      <c r="S537" s="1" t="s">
        <v>47</v>
      </c>
      <c r="T537" s="1">
        <v>8</v>
      </c>
      <c r="U537" s="2">
        <v>45163</v>
      </c>
      <c r="V537" s="2">
        <v>45528</v>
      </c>
      <c r="W537" s="2" t="s">
        <v>42</v>
      </c>
      <c r="X537" s="1" t="s">
        <v>42</v>
      </c>
      <c r="Y537" s="2" t="s">
        <v>42</v>
      </c>
      <c r="Z537" s="1" t="s">
        <v>2492</v>
      </c>
      <c r="AA537" s="1" t="s">
        <v>42</v>
      </c>
      <c r="AB537" s="1" t="s">
        <v>2493</v>
      </c>
      <c r="AC537" s="1" t="s">
        <v>129</v>
      </c>
      <c r="AD537" s="1">
        <v>7015572543</v>
      </c>
      <c r="AE537" s="1" t="s">
        <v>3506</v>
      </c>
      <c r="AF537" s="1" t="s">
        <v>66</v>
      </c>
      <c r="AG537" s="2" t="s">
        <v>42</v>
      </c>
      <c r="AH537" s="1"/>
      <c r="AI537" s="1" t="s">
        <v>42</v>
      </c>
      <c r="AJ537" s="1"/>
      <c r="AK537" s="2" t="s">
        <v>42</v>
      </c>
      <c r="AL537" s="1" t="s">
        <v>42</v>
      </c>
    </row>
    <row r="538" spans="1:38" ht="20.100000000000001" customHeight="1" x14ac:dyDescent="0.2">
      <c r="A538" s="3">
        <f t="shared" si="16"/>
        <v>535</v>
      </c>
      <c r="B538" s="1" t="s">
        <v>2494</v>
      </c>
      <c r="C538" s="1" t="s">
        <v>2495</v>
      </c>
      <c r="D538" s="1" t="s">
        <v>121</v>
      </c>
      <c r="E538" s="1" t="s">
        <v>39</v>
      </c>
      <c r="F538" s="1" t="s">
        <v>40</v>
      </c>
      <c r="G538" s="1" t="s">
        <v>2496</v>
      </c>
      <c r="H538" s="2">
        <v>45097</v>
      </c>
      <c r="I538" s="2">
        <v>34963</v>
      </c>
      <c r="J538" s="7">
        <f t="shared" ca="1" si="17"/>
        <v>28.123287671232877</v>
      </c>
      <c r="K538" s="1" t="s">
        <v>42</v>
      </c>
      <c r="L538" s="1" t="s">
        <v>211</v>
      </c>
      <c r="M538" s="2">
        <v>45172</v>
      </c>
      <c r="N538" s="1">
        <v>2</v>
      </c>
      <c r="O538" s="2">
        <v>45172</v>
      </c>
      <c r="P538" s="1" t="s">
        <v>44</v>
      </c>
      <c r="Q538" s="1" t="s">
        <v>306</v>
      </c>
      <c r="R538" s="1" t="s">
        <v>60</v>
      </c>
      <c r="S538" s="1" t="s">
        <v>47</v>
      </c>
      <c r="T538" s="1">
        <v>8</v>
      </c>
      <c r="U538" s="2">
        <v>45172</v>
      </c>
      <c r="V538" s="2">
        <v>45537</v>
      </c>
      <c r="W538" s="2" t="s">
        <v>42</v>
      </c>
      <c r="X538" s="1" t="s">
        <v>42</v>
      </c>
      <c r="Y538" s="2" t="s">
        <v>42</v>
      </c>
      <c r="Z538" s="1" t="s">
        <v>2497</v>
      </c>
      <c r="AA538" s="1" t="s">
        <v>2498</v>
      </c>
      <c r="AB538" s="1" t="s">
        <v>2499</v>
      </c>
      <c r="AC538" s="1" t="s">
        <v>129</v>
      </c>
      <c r="AD538" s="1">
        <v>7015572543</v>
      </c>
      <c r="AE538" s="1" t="s">
        <v>3506</v>
      </c>
      <c r="AF538" s="1" t="s">
        <v>66</v>
      </c>
      <c r="AG538" s="2" t="s">
        <v>42</v>
      </c>
      <c r="AH538" s="1"/>
      <c r="AI538" s="1" t="s">
        <v>42</v>
      </c>
      <c r="AJ538" s="1"/>
      <c r="AK538" s="2" t="s">
        <v>42</v>
      </c>
      <c r="AL538" s="1" t="s">
        <v>42</v>
      </c>
    </row>
    <row r="539" spans="1:38" ht="20.100000000000001" customHeight="1" x14ac:dyDescent="0.2">
      <c r="A539" s="3">
        <f t="shared" si="16"/>
        <v>536</v>
      </c>
      <c r="B539" s="1" t="s">
        <v>2500</v>
      </c>
      <c r="C539" s="1" t="s">
        <v>2501</v>
      </c>
      <c r="D539" s="1" t="s">
        <v>121</v>
      </c>
      <c r="E539" s="1" t="s">
        <v>39</v>
      </c>
      <c r="F539" s="1" t="s">
        <v>40</v>
      </c>
      <c r="G539" s="1" t="s">
        <v>2502</v>
      </c>
      <c r="H539" s="2">
        <v>45345</v>
      </c>
      <c r="I539" s="2">
        <v>32741</v>
      </c>
      <c r="J539" s="7">
        <f t="shared" ca="1" si="17"/>
        <v>34.210958904109589</v>
      </c>
      <c r="K539" s="1" t="s">
        <v>42</v>
      </c>
      <c r="L539" s="1" t="s">
        <v>2124</v>
      </c>
      <c r="M539" s="2">
        <v>45174</v>
      </c>
      <c r="N539" s="1">
        <v>2</v>
      </c>
      <c r="O539" s="2">
        <v>45174</v>
      </c>
      <c r="P539" s="1" t="s">
        <v>44</v>
      </c>
      <c r="Q539" s="1" t="s">
        <v>408</v>
      </c>
      <c r="R539" s="1" t="s">
        <v>124</v>
      </c>
      <c r="S539" s="1" t="s">
        <v>125</v>
      </c>
      <c r="T539" s="1">
        <v>8</v>
      </c>
      <c r="U539" s="2">
        <v>45174</v>
      </c>
      <c r="V539" s="2">
        <v>45539</v>
      </c>
      <c r="W539" s="2" t="s">
        <v>42</v>
      </c>
      <c r="X539" s="1" t="s">
        <v>42</v>
      </c>
      <c r="Y539" s="2" t="s">
        <v>42</v>
      </c>
      <c r="Z539" s="1" t="s">
        <v>2503</v>
      </c>
      <c r="AA539" s="1" t="s">
        <v>2504</v>
      </c>
      <c r="AB539" s="1" t="s">
        <v>2505</v>
      </c>
      <c r="AC539" s="1" t="s">
        <v>617</v>
      </c>
      <c r="AD539" s="1">
        <v>7021202564</v>
      </c>
      <c r="AE539" s="1" t="s">
        <v>567</v>
      </c>
      <c r="AF539" s="1"/>
      <c r="AG539" s="2" t="s">
        <v>42</v>
      </c>
      <c r="AH539" s="1"/>
      <c r="AI539" s="1" t="s">
        <v>42</v>
      </c>
      <c r="AJ539" s="1"/>
      <c r="AK539" s="2" t="s">
        <v>42</v>
      </c>
      <c r="AL539" s="1" t="s">
        <v>42</v>
      </c>
    </row>
    <row r="540" spans="1:38" ht="20.100000000000001" customHeight="1" x14ac:dyDescent="0.2">
      <c r="A540" s="3">
        <f t="shared" si="16"/>
        <v>537</v>
      </c>
      <c r="B540" s="1" t="s">
        <v>2506</v>
      </c>
      <c r="C540" s="1" t="s">
        <v>2507</v>
      </c>
      <c r="D540" s="1" t="s">
        <v>38</v>
      </c>
      <c r="E540" s="1" t="s">
        <v>39</v>
      </c>
      <c r="F540" s="1" t="s">
        <v>40</v>
      </c>
      <c r="G540" s="1" t="s">
        <v>2508</v>
      </c>
      <c r="H540" s="2">
        <v>48451</v>
      </c>
      <c r="I540" s="2">
        <v>32839</v>
      </c>
      <c r="J540" s="7">
        <f t="shared" ca="1" si="17"/>
        <v>33.942465753424656</v>
      </c>
      <c r="K540" s="1" t="s">
        <v>42</v>
      </c>
      <c r="L540" s="1" t="s">
        <v>2509</v>
      </c>
      <c r="M540" s="2">
        <v>45165</v>
      </c>
      <c r="N540" s="1">
        <v>2</v>
      </c>
      <c r="O540" s="2">
        <v>45165</v>
      </c>
      <c r="P540" s="1" t="s">
        <v>44</v>
      </c>
      <c r="Q540" s="1" t="s">
        <v>45</v>
      </c>
      <c r="R540" s="1" t="s">
        <v>3508</v>
      </c>
      <c r="S540" s="1" t="s">
        <v>47</v>
      </c>
      <c r="T540" s="1">
        <v>8</v>
      </c>
      <c r="U540" s="2">
        <v>45165</v>
      </c>
      <c r="V540" s="2">
        <v>45530</v>
      </c>
      <c r="W540" s="2" t="s">
        <v>42</v>
      </c>
      <c r="X540" s="1" t="s">
        <v>42</v>
      </c>
      <c r="Y540" s="2" t="s">
        <v>42</v>
      </c>
      <c r="Z540" s="1" t="s">
        <v>2510</v>
      </c>
      <c r="AA540" s="1" t="s">
        <v>2511</v>
      </c>
      <c r="AB540" s="1" t="s">
        <v>42</v>
      </c>
      <c r="AC540" s="1" t="s">
        <v>42</v>
      </c>
      <c r="AD540" s="1">
        <v>7014477116</v>
      </c>
      <c r="AE540" s="1" t="s">
        <v>65</v>
      </c>
      <c r="AF540" s="1"/>
      <c r="AG540" s="2" t="s">
        <v>42</v>
      </c>
      <c r="AH540" s="1"/>
      <c r="AI540" s="1" t="s">
        <v>42</v>
      </c>
      <c r="AJ540" s="1"/>
      <c r="AK540" s="2" t="s">
        <v>42</v>
      </c>
      <c r="AL540" s="1" t="s">
        <v>42</v>
      </c>
    </row>
    <row r="541" spans="1:38" ht="20.100000000000001" customHeight="1" x14ac:dyDescent="0.2">
      <c r="A541" s="3">
        <f t="shared" si="16"/>
        <v>538</v>
      </c>
      <c r="B541" s="1" t="s">
        <v>2512</v>
      </c>
      <c r="C541" s="1" t="s">
        <v>2513</v>
      </c>
      <c r="D541" s="1" t="s">
        <v>121</v>
      </c>
      <c r="E541" s="1" t="s">
        <v>39</v>
      </c>
      <c r="F541" s="1" t="s">
        <v>40</v>
      </c>
      <c r="G541" s="1" t="s">
        <v>2514</v>
      </c>
      <c r="H541" s="2">
        <v>46155</v>
      </c>
      <c r="I541" s="2">
        <v>34267</v>
      </c>
      <c r="J541" s="7">
        <f t="shared" ca="1" si="17"/>
        <v>30.030136986301368</v>
      </c>
      <c r="K541" s="1" t="s">
        <v>42</v>
      </c>
      <c r="L541" s="1" t="s">
        <v>2124</v>
      </c>
      <c r="M541" s="2">
        <v>45179</v>
      </c>
      <c r="N541" s="1">
        <v>2</v>
      </c>
      <c r="O541" s="2">
        <v>45179</v>
      </c>
      <c r="P541" s="1" t="s">
        <v>44</v>
      </c>
      <c r="Q541" s="1" t="s">
        <v>408</v>
      </c>
      <c r="R541" s="1" t="s">
        <v>124</v>
      </c>
      <c r="S541" s="1" t="s">
        <v>125</v>
      </c>
      <c r="T541" s="1">
        <v>8</v>
      </c>
      <c r="U541" s="2">
        <v>45179</v>
      </c>
      <c r="V541" s="2">
        <v>45544</v>
      </c>
      <c r="W541" s="2" t="s">
        <v>42</v>
      </c>
      <c r="X541" s="1" t="s">
        <v>42</v>
      </c>
      <c r="Y541" s="2" t="s">
        <v>42</v>
      </c>
      <c r="Z541" s="1" t="s">
        <v>2515</v>
      </c>
      <c r="AA541" s="1" t="s">
        <v>2516</v>
      </c>
      <c r="AB541" s="1" t="s">
        <v>2517</v>
      </c>
      <c r="AC541" s="1" t="s">
        <v>617</v>
      </c>
      <c r="AD541" s="1">
        <v>7021202564</v>
      </c>
      <c r="AE541" s="1" t="s">
        <v>567</v>
      </c>
      <c r="AF541" s="1"/>
      <c r="AG541" s="2" t="s">
        <v>42</v>
      </c>
      <c r="AH541" s="1"/>
      <c r="AI541" s="1" t="s">
        <v>42</v>
      </c>
      <c r="AJ541" s="1"/>
      <c r="AK541" s="2" t="s">
        <v>42</v>
      </c>
      <c r="AL541" s="1" t="s">
        <v>42</v>
      </c>
    </row>
    <row r="542" spans="1:38" ht="20.100000000000001" customHeight="1" x14ac:dyDescent="0.2">
      <c r="A542" s="3">
        <f t="shared" si="16"/>
        <v>539</v>
      </c>
      <c r="B542" s="1" t="s">
        <v>2518</v>
      </c>
      <c r="C542" s="1" t="s">
        <v>2519</v>
      </c>
      <c r="D542" s="1" t="s">
        <v>38</v>
      </c>
      <c r="E542" s="1" t="s">
        <v>69</v>
      </c>
      <c r="F542" s="1" t="s">
        <v>70</v>
      </c>
      <c r="G542" s="1" t="s">
        <v>2520</v>
      </c>
      <c r="H542" s="2">
        <v>45407</v>
      </c>
      <c r="I542" s="2">
        <v>33239</v>
      </c>
      <c r="J542" s="7">
        <f t="shared" ca="1" si="17"/>
        <v>32.846575342465755</v>
      </c>
      <c r="K542" s="1" t="s">
        <v>89</v>
      </c>
      <c r="L542" s="1" t="s">
        <v>134</v>
      </c>
      <c r="M542" s="2">
        <v>45182</v>
      </c>
      <c r="N542" s="1">
        <v>2</v>
      </c>
      <c r="O542" s="2" t="s">
        <v>42</v>
      </c>
      <c r="P542" s="1" t="s">
        <v>44</v>
      </c>
      <c r="Q542" s="1" t="s">
        <v>142</v>
      </c>
      <c r="R542" s="1" t="s">
        <v>42</v>
      </c>
      <c r="S542" s="1" t="s">
        <v>156</v>
      </c>
      <c r="T542" s="1" t="s">
        <v>42</v>
      </c>
      <c r="U542" s="2">
        <v>45182</v>
      </c>
      <c r="V542" s="2" t="s">
        <v>42</v>
      </c>
      <c r="W542" s="2" t="s">
        <v>42</v>
      </c>
      <c r="X542" s="1" t="s">
        <v>42</v>
      </c>
      <c r="Y542" s="2" t="s">
        <v>42</v>
      </c>
      <c r="Z542" s="1" t="s">
        <v>2521</v>
      </c>
      <c r="AA542" s="1" t="s">
        <v>2522</v>
      </c>
      <c r="AB542" s="1" t="s">
        <v>2523</v>
      </c>
      <c r="AC542" s="1" t="s">
        <v>617</v>
      </c>
      <c r="AD542" s="1">
        <v>7009073037</v>
      </c>
      <c r="AE542" s="1" t="s">
        <v>103</v>
      </c>
      <c r="AF542" s="1" t="s">
        <v>147</v>
      </c>
      <c r="AG542" s="2" t="s">
        <v>42</v>
      </c>
      <c r="AH542" s="1"/>
      <c r="AI542" s="1" t="s">
        <v>42</v>
      </c>
      <c r="AJ542" s="1"/>
      <c r="AK542" s="2" t="s">
        <v>42</v>
      </c>
      <c r="AL542" s="1" t="s">
        <v>3507</v>
      </c>
    </row>
    <row r="543" spans="1:38" ht="20.100000000000001" customHeight="1" x14ac:dyDescent="0.2">
      <c r="A543" s="3">
        <f t="shared" si="16"/>
        <v>540</v>
      </c>
      <c r="B543" s="1" t="s">
        <v>3499</v>
      </c>
      <c r="C543" s="1" t="s">
        <v>3500</v>
      </c>
      <c r="D543" s="1" t="s">
        <v>38</v>
      </c>
      <c r="E543" s="1" t="s">
        <v>54</v>
      </c>
      <c r="F543" s="1" t="s">
        <v>55</v>
      </c>
      <c r="G543" s="1" t="s">
        <v>3501</v>
      </c>
      <c r="H543" s="2" t="s">
        <v>42</v>
      </c>
      <c r="I543" s="2">
        <v>37087</v>
      </c>
      <c r="J543" s="7">
        <f t="shared" ca="1" si="17"/>
        <v>22.304109589041097</v>
      </c>
      <c r="K543" s="1" t="s">
        <v>133</v>
      </c>
      <c r="L543" s="1" t="s">
        <v>1083</v>
      </c>
      <c r="M543" s="2">
        <v>45181</v>
      </c>
      <c r="N543" s="1">
        <v>2</v>
      </c>
      <c r="O543" s="2">
        <v>45181</v>
      </c>
      <c r="P543" s="1" t="s">
        <v>44</v>
      </c>
      <c r="Q543" s="1" t="s">
        <v>431</v>
      </c>
      <c r="R543" s="1" t="s">
        <v>1122</v>
      </c>
      <c r="S543" s="1"/>
      <c r="T543" s="1">
        <v>10</v>
      </c>
      <c r="U543" s="2" t="s">
        <v>42</v>
      </c>
      <c r="V543" s="2" t="s">
        <v>42</v>
      </c>
      <c r="W543" s="2" t="s">
        <v>42</v>
      </c>
      <c r="X543" s="1" t="s">
        <v>42</v>
      </c>
      <c r="Y543" s="2" t="s">
        <v>42</v>
      </c>
      <c r="Z543" s="1" t="s">
        <v>3502</v>
      </c>
      <c r="AA543" s="1" t="s">
        <v>3503</v>
      </c>
      <c r="AB543" s="1" t="s">
        <v>42</v>
      </c>
      <c r="AC543" s="1" t="s">
        <v>42</v>
      </c>
      <c r="AD543" s="1" t="s">
        <v>42</v>
      </c>
      <c r="AE543" s="1" t="s">
        <v>788</v>
      </c>
      <c r="AF543" s="1" t="s">
        <v>436</v>
      </c>
      <c r="AG543" s="2">
        <v>45178</v>
      </c>
      <c r="AH543" s="1" t="s">
        <v>2812</v>
      </c>
      <c r="AI543" s="1" t="s">
        <v>42</v>
      </c>
      <c r="AJ543" s="1"/>
      <c r="AK543" s="2" t="s">
        <v>42</v>
      </c>
      <c r="AL543" s="1" t="s">
        <v>42</v>
      </c>
    </row>
    <row r="544" spans="1:38" ht="20.100000000000001" customHeight="1" x14ac:dyDescent="0.2">
      <c r="A544" s="3">
        <f t="shared" si="16"/>
        <v>541</v>
      </c>
      <c r="B544" s="1" t="s">
        <v>2524</v>
      </c>
      <c r="C544" s="1" t="s">
        <v>2525</v>
      </c>
      <c r="D544" s="1" t="s">
        <v>38</v>
      </c>
      <c r="E544" s="1" t="s">
        <v>39</v>
      </c>
      <c r="F544" s="1" t="s">
        <v>40</v>
      </c>
      <c r="G544" s="1" t="s">
        <v>2526</v>
      </c>
      <c r="H544" s="2" t="s">
        <v>42</v>
      </c>
      <c r="I544" s="2">
        <v>32785</v>
      </c>
      <c r="J544" s="7">
        <f t="shared" ca="1" si="17"/>
        <v>34.090410958904108</v>
      </c>
      <c r="K544" s="1" t="s">
        <v>2527</v>
      </c>
      <c r="L544" s="1" t="s">
        <v>2527</v>
      </c>
      <c r="M544" s="2">
        <v>45180</v>
      </c>
      <c r="N544" s="1">
        <v>2</v>
      </c>
      <c r="O544" s="2">
        <v>45180</v>
      </c>
      <c r="P544" s="1" t="s">
        <v>44</v>
      </c>
      <c r="Q544" s="1" t="s">
        <v>203</v>
      </c>
      <c r="R544" s="1" t="s">
        <v>124</v>
      </c>
      <c r="S544" s="1" t="s">
        <v>754</v>
      </c>
      <c r="T544" s="1">
        <v>0</v>
      </c>
      <c r="U544" s="2" t="s">
        <v>42</v>
      </c>
      <c r="V544" s="2" t="s">
        <v>42</v>
      </c>
      <c r="W544" s="2" t="s">
        <v>42</v>
      </c>
      <c r="X544" s="1" t="s">
        <v>42</v>
      </c>
      <c r="Y544" s="2" t="s">
        <v>42</v>
      </c>
      <c r="Z544" s="1" t="s">
        <v>42</v>
      </c>
      <c r="AA544" s="1" t="s">
        <v>42</v>
      </c>
      <c r="AB544" s="1" t="s">
        <v>2528</v>
      </c>
      <c r="AC544" s="1" t="s">
        <v>129</v>
      </c>
      <c r="AD544" s="1" t="s">
        <v>42</v>
      </c>
      <c r="AE544" s="1" t="s">
        <v>788</v>
      </c>
      <c r="AF544" s="1" t="s">
        <v>66</v>
      </c>
      <c r="AG544" s="2" t="s">
        <v>42</v>
      </c>
      <c r="AH544" s="1"/>
      <c r="AI544" s="1" t="s">
        <v>42</v>
      </c>
      <c r="AJ544" s="1"/>
      <c r="AK544" s="2" t="s">
        <v>42</v>
      </c>
      <c r="AL544" s="1" t="s">
        <v>3507</v>
      </c>
    </row>
    <row r="545" spans="1:38" ht="20.100000000000001" customHeight="1" x14ac:dyDescent="0.2">
      <c r="A545" s="3">
        <f t="shared" si="16"/>
        <v>542</v>
      </c>
      <c r="B545" s="1" t="s">
        <v>2529</v>
      </c>
      <c r="C545" s="1" t="s">
        <v>2530</v>
      </c>
      <c r="D545" s="1" t="s">
        <v>38</v>
      </c>
      <c r="E545" s="1" t="s">
        <v>54</v>
      </c>
      <c r="F545" s="1" t="s">
        <v>55</v>
      </c>
      <c r="G545" s="1" t="s">
        <v>2531</v>
      </c>
      <c r="H545" s="2">
        <v>45223</v>
      </c>
      <c r="I545" s="2">
        <v>36489</v>
      </c>
      <c r="J545" s="7">
        <f t="shared" ca="1" si="17"/>
        <v>23.942465753424656</v>
      </c>
      <c r="K545" s="1" t="s">
        <v>133</v>
      </c>
      <c r="L545" s="1" t="s">
        <v>134</v>
      </c>
      <c r="M545" s="2">
        <v>45171</v>
      </c>
      <c r="N545" s="1">
        <v>2</v>
      </c>
      <c r="O545" s="2" t="s">
        <v>42</v>
      </c>
      <c r="P545" s="1" t="s">
        <v>44</v>
      </c>
      <c r="Q545" s="1" t="s">
        <v>142</v>
      </c>
      <c r="R545" s="1" t="s">
        <v>42</v>
      </c>
      <c r="S545" s="1"/>
      <c r="T545" s="1" t="s">
        <v>42</v>
      </c>
      <c r="U545" s="2">
        <v>45171</v>
      </c>
      <c r="V545" s="2" t="s">
        <v>42</v>
      </c>
      <c r="W545" s="2" t="s">
        <v>42</v>
      </c>
      <c r="X545" s="1" t="s">
        <v>42</v>
      </c>
      <c r="Y545" s="2" t="s">
        <v>42</v>
      </c>
      <c r="Z545" s="1" t="s">
        <v>2532</v>
      </c>
      <c r="AA545" s="1" t="s">
        <v>2533</v>
      </c>
      <c r="AB545" s="1" t="s">
        <v>42</v>
      </c>
      <c r="AC545" s="1" t="s">
        <v>42</v>
      </c>
      <c r="AD545" s="1" t="s">
        <v>42</v>
      </c>
      <c r="AE545" s="1" t="s">
        <v>788</v>
      </c>
      <c r="AF545" s="1" t="s">
        <v>147</v>
      </c>
      <c r="AG545" s="2" t="s">
        <v>42</v>
      </c>
      <c r="AH545" s="1"/>
      <c r="AI545" s="1" t="s">
        <v>42</v>
      </c>
      <c r="AJ545" s="1"/>
      <c r="AK545" s="2" t="s">
        <v>42</v>
      </c>
      <c r="AL545" s="1" t="s">
        <v>42</v>
      </c>
    </row>
    <row r="546" spans="1:38" ht="20.100000000000001" customHeight="1" x14ac:dyDescent="0.2">
      <c r="A546" s="3">
        <f t="shared" si="16"/>
        <v>543</v>
      </c>
      <c r="B546" s="1" t="s">
        <v>2534</v>
      </c>
      <c r="C546" s="1" t="s">
        <v>2535</v>
      </c>
      <c r="D546" s="1" t="s">
        <v>38</v>
      </c>
      <c r="E546" s="1" t="s">
        <v>54</v>
      </c>
      <c r="F546" s="1" t="s">
        <v>55</v>
      </c>
      <c r="G546" s="1" t="s">
        <v>2536</v>
      </c>
      <c r="H546" s="2" t="s">
        <v>42</v>
      </c>
      <c r="I546" s="2">
        <v>36374</v>
      </c>
      <c r="J546" s="7">
        <f t="shared" ca="1" si="17"/>
        <v>24.257534246575343</v>
      </c>
      <c r="K546" s="1" t="s">
        <v>133</v>
      </c>
      <c r="L546" s="1" t="s">
        <v>134</v>
      </c>
      <c r="M546" s="2">
        <v>45171</v>
      </c>
      <c r="N546" s="1">
        <v>2</v>
      </c>
      <c r="O546" s="2" t="s">
        <v>42</v>
      </c>
      <c r="P546" s="1" t="s">
        <v>44</v>
      </c>
      <c r="Q546" s="1" t="s">
        <v>142</v>
      </c>
      <c r="R546" s="1" t="s">
        <v>42</v>
      </c>
      <c r="S546" s="1" t="s">
        <v>47</v>
      </c>
      <c r="T546" s="1" t="s">
        <v>42</v>
      </c>
      <c r="U546" s="2" t="s">
        <v>42</v>
      </c>
      <c r="V546" s="2" t="s">
        <v>42</v>
      </c>
      <c r="W546" s="2" t="s">
        <v>42</v>
      </c>
      <c r="X546" s="1" t="s">
        <v>42</v>
      </c>
      <c r="Y546" s="2" t="s">
        <v>42</v>
      </c>
      <c r="Z546" s="1" t="s">
        <v>2537</v>
      </c>
      <c r="AA546" s="1" t="s">
        <v>2538</v>
      </c>
      <c r="AB546" s="1" t="s">
        <v>42</v>
      </c>
      <c r="AC546" s="1" t="s">
        <v>42</v>
      </c>
      <c r="AD546" s="1" t="s">
        <v>42</v>
      </c>
      <c r="AE546" s="1" t="s">
        <v>788</v>
      </c>
      <c r="AF546" s="1" t="s">
        <v>147</v>
      </c>
      <c r="AG546" s="2" t="s">
        <v>42</v>
      </c>
      <c r="AH546" s="1"/>
      <c r="AI546" s="1" t="s">
        <v>42</v>
      </c>
      <c r="AJ546" s="1"/>
      <c r="AK546" s="2" t="s">
        <v>42</v>
      </c>
      <c r="AL546" s="1" t="s">
        <v>3507</v>
      </c>
    </row>
    <row r="547" spans="1:38" ht="20.100000000000001" customHeight="1" x14ac:dyDescent="0.2">
      <c r="A547" s="3">
        <f t="shared" si="16"/>
        <v>544</v>
      </c>
      <c r="B547" s="1" t="s">
        <v>2539</v>
      </c>
      <c r="C547" s="1" t="s">
        <v>2540</v>
      </c>
      <c r="D547" s="1" t="s">
        <v>121</v>
      </c>
      <c r="E547" s="1" t="s">
        <v>39</v>
      </c>
      <c r="F547" s="1" t="s">
        <v>40</v>
      </c>
      <c r="G547" s="1" t="s">
        <v>2541</v>
      </c>
      <c r="H547" s="2">
        <v>45113</v>
      </c>
      <c r="I547" s="2">
        <v>36928</v>
      </c>
      <c r="J547" s="7">
        <f t="shared" ca="1" si="17"/>
        <v>22.739726027397261</v>
      </c>
      <c r="K547" s="1" t="s">
        <v>42</v>
      </c>
      <c r="L547" s="1" t="s">
        <v>211</v>
      </c>
      <c r="M547" s="2">
        <v>45179</v>
      </c>
      <c r="N547" s="1">
        <v>2</v>
      </c>
      <c r="O547" s="2">
        <v>45179</v>
      </c>
      <c r="P547" s="1" t="s">
        <v>578</v>
      </c>
      <c r="Q547" s="1" t="s">
        <v>578</v>
      </c>
      <c r="R547" s="1" t="s">
        <v>60</v>
      </c>
      <c r="S547" s="1" t="s">
        <v>47</v>
      </c>
      <c r="T547" s="1">
        <v>8</v>
      </c>
      <c r="U547" s="2">
        <v>45179</v>
      </c>
      <c r="V547" s="2">
        <v>45544</v>
      </c>
      <c r="W547" s="2" t="s">
        <v>42</v>
      </c>
      <c r="X547" s="1" t="s">
        <v>42</v>
      </c>
      <c r="Y547" s="2" t="s">
        <v>42</v>
      </c>
      <c r="Z547" s="1" t="s">
        <v>2542</v>
      </c>
      <c r="AA547" s="1" t="s">
        <v>42</v>
      </c>
      <c r="AB547" s="1" t="s">
        <v>2543</v>
      </c>
      <c r="AC547" s="1" t="s">
        <v>522</v>
      </c>
      <c r="AD547" s="1">
        <v>7034664628</v>
      </c>
      <c r="AE547" s="1" t="s">
        <v>443</v>
      </c>
      <c r="AF547" s="1"/>
      <c r="AG547" s="2" t="s">
        <v>42</v>
      </c>
      <c r="AH547" s="1"/>
      <c r="AI547" s="1" t="s">
        <v>42</v>
      </c>
      <c r="AJ547" s="1"/>
      <c r="AK547" s="2" t="s">
        <v>42</v>
      </c>
      <c r="AL547" s="1" t="s">
        <v>3507</v>
      </c>
    </row>
    <row r="548" spans="1:38" ht="20.100000000000001" customHeight="1" x14ac:dyDescent="0.2">
      <c r="A548" s="3">
        <f t="shared" si="16"/>
        <v>545</v>
      </c>
      <c r="B548" s="1" t="s">
        <v>2544</v>
      </c>
      <c r="C548" s="1" t="s">
        <v>2545</v>
      </c>
      <c r="D548" s="1" t="s">
        <v>38</v>
      </c>
      <c r="E548" s="1" t="s">
        <v>54</v>
      </c>
      <c r="F548" s="1" t="s">
        <v>55</v>
      </c>
      <c r="G548" s="1" t="s">
        <v>2546</v>
      </c>
      <c r="H548" s="2">
        <v>45273</v>
      </c>
      <c r="I548" s="2">
        <v>36617</v>
      </c>
      <c r="J548" s="7">
        <f t="shared" ca="1" si="17"/>
        <v>23.591780821917808</v>
      </c>
      <c r="K548" s="1" t="s">
        <v>2547</v>
      </c>
      <c r="L548" s="1" t="s">
        <v>134</v>
      </c>
      <c r="M548" s="2">
        <v>45186</v>
      </c>
      <c r="N548" s="1">
        <v>2</v>
      </c>
      <c r="O548" s="2" t="s">
        <v>42</v>
      </c>
      <c r="P548" s="1" t="s">
        <v>44</v>
      </c>
      <c r="Q548" s="1" t="s">
        <v>107</v>
      </c>
      <c r="R548" s="1" t="s">
        <v>60</v>
      </c>
      <c r="S548" s="1" t="s">
        <v>47</v>
      </c>
      <c r="T548" s="1">
        <v>10</v>
      </c>
      <c r="U548" s="2">
        <v>45188</v>
      </c>
      <c r="V548" s="2" t="s">
        <v>42</v>
      </c>
      <c r="W548" s="2" t="s">
        <v>42</v>
      </c>
      <c r="X548" s="1" t="s">
        <v>42</v>
      </c>
      <c r="Y548" s="2" t="s">
        <v>42</v>
      </c>
      <c r="Z548" s="1" t="s">
        <v>2548</v>
      </c>
      <c r="AA548" s="1" t="s">
        <v>42</v>
      </c>
      <c r="AB548" s="1" t="s">
        <v>42</v>
      </c>
      <c r="AC548" s="1" t="s">
        <v>42</v>
      </c>
      <c r="AD548" s="1" t="s">
        <v>42</v>
      </c>
      <c r="AE548" s="1" t="s">
        <v>788</v>
      </c>
      <c r="AF548" s="1" t="s">
        <v>66</v>
      </c>
      <c r="AG548" s="2" t="s">
        <v>42</v>
      </c>
      <c r="AH548" s="1"/>
      <c r="AI548" s="1" t="s">
        <v>42</v>
      </c>
      <c r="AJ548" s="1"/>
      <c r="AK548" s="2" t="s">
        <v>42</v>
      </c>
      <c r="AL548" s="1" t="s">
        <v>3507</v>
      </c>
    </row>
    <row r="549" spans="1:38" ht="20.100000000000001" customHeight="1" x14ac:dyDescent="0.2">
      <c r="A549" s="3">
        <f t="shared" si="16"/>
        <v>546</v>
      </c>
      <c r="B549" s="1" t="s">
        <v>2549</v>
      </c>
      <c r="C549" s="1" t="s">
        <v>2550</v>
      </c>
      <c r="D549" s="1" t="s">
        <v>38</v>
      </c>
      <c r="E549" s="1" t="s">
        <v>54</v>
      </c>
      <c r="F549" s="1" t="s">
        <v>55</v>
      </c>
      <c r="G549" s="1" t="s">
        <v>2551</v>
      </c>
      <c r="H549" s="2">
        <v>45273</v>
      </c>
      <c r="I549" s="2">
        <v>37084</v>
      </c>
      <c r="J549" s="7">
        <f t="shared" ca="1" si="17"/>
        <v>22.312328767123287</v>
      </c>
      <c r="K549" s="1" t="s">
        <v>57</v>
      </c>
      <c r="L549" s="1" t="s">
        <v>134</v>
      </c>
      <c r="M549" s="2">
        <v>45186</v>
      </c>
      <c r="N549" s="1">
        <v>2</v>
      </c>
      <c r="O549" s="2" t="s">
        <v>42</v>
      </c>
      <c r="P549" s="1" t="s">
        <v>44</v>
      </c>
      <c r="Q549" s="1" t="s">
        <v>203</v>
      </c>
      <c r="R549" s="1" t="s">
        <v>60</v>
      </c>
      <c r="S549" s="1" t="s">
        <v>47</v>
      </c>
      <c r="T549" s="1">
        <v>10</v>
      </c>
      <c r="U549" s="2">
        <v>45186</v>
      </c>
      <c r="V549" s="2" t="s">
        <v>42</v>
      </c>
      <c r="W549" s="2" t="s">
        <v>42</v>
      </c>
      <c r="X549" s="1" t="s">
        <v>42</v>
      </c>
      <c r="Y549" s="2" t="s">
        <v>42</v>
      </c>
      <c r="Z549" s="1" t="s">
        <v>2552</v>
      </c>
      <c r="AA549" s="1" t="s">
        <v>42</v>
      </c>
      <c r="AB549" s="1" t="s">
        <v>2553</v>
      </c>
      <c r="AC549" s="1" t="s">
        <v>42</v>
      </c>
      <c r="AD549" s="1" t="s">
        <v>42</v>
      </c>
      <c r="AE549" s="1" t="s">
        <v>788</v>
      </c>
      <c r="AF549" s="1" t="s">
        <v>66</v>
      </c>
      <c r="AG549" s="2" t="s">
        <v>42</v>
      </c>
      <c r="AH549" s="1"/>
      <c r="AI549" s="1" t="s">
        <v>42</v>
      </c>
      <c r="AJ549" s="1"/>
      <c r="AK549" s="2" t="s">
        <v>42</v>
      </c>
      <c r="AL549" s="1" t="s">
        <v>3507</v>
      </c>
    </row>
    <row r="550" spans="1:38" ht="20.100000000000001" customHeight="1" x14ac:dyDescent="0.2">
      <c r="A550" s="3">
        <f t="shared" si="16"/>
        <v>547</v>
      </c>
      <c r="B550" s="1" t="s">
        <v>2554</v>
      </c>
      <c r="C550" s="1" t="s">
        <v>2555</v>
      </c>
      <c r="D550" s="1" t="s">
        <v>38</v>
      </c>
      <c r="E550" s="1" t="s">
        <v>54</v>
      </c>
      <c r="F550" s="1" t="s">
        <v>55</v>
      </c>
      <c r="G550" s="1" t="s">
        <v>2556</v>
      </c>
      <c r="H550" s="2">
        <v>45273</v>
      </c>
      <c r="I550" s="2">
        <v>35794</v>
      </c>
      <c r="J550" s="7">
        <f t="shared" ca="1" si="17"/>
        <v>25.846575342465755</v>
      </c>
      <c r="K550" s="1" t="s">
        <v>57</v>
      </c>
      <c r="L550" s="1" t="s">
        <v>134</v>
      </c>
      <c r="M550" s="2">
        <v>45186</v>
      </c>
      <c r="N550" s="1">
        <v>2</v>
      </c>
      <c r="O550" s="2" t="s">
        <v>42</v>
      </c>
      <c r="P550" s="1" t="s">
        <v>44</v>
      </c>
      <c r="Q550" s="1" t="s">
        <v>744</v>
      </c>
      <c r="R550" s="1" t="s">
        <v>60</v>
      </c>
      <c r="S550" s="1" t="s">
        <v>47</v>
      </c>
      <c r="T550" s="1">
        <v>10</v>
      </c>
      <c r="U550" s="2">
        <v>45186</v>
      </c>
      <c r="V550" s="2" t="s">
        <v>42</v>
      </c>
      <c r="W550" s="2" t="s">
        <v>42</v>
      </c>
      <c r="X550" s="1" t="s">
        <v>42</v>
      </c>
      <c r="Y550" s="2" t="s">
        <v>42</v>
      </c>
      <c r="Z550" s="1" t="s">
        <v>2557</v>
      </c>
      <c r="AA550" s="1" t="s">
        <v>2558</v>
      </c>
      <c r="AB550" s="1" t="s">
        <v>42</v>
      </c>
      <c r="AC550" s="1" t="s">
        <v>42</v>
      </c>
      <c r="AD550" s="1" t="s">
        <v>42</v>
      </c>
      <c r="AE550" s="1" t="s">
        <v>788</v>
      </c>
      <c r="AF550" s="1" t="s">
        <v>66</v>
      </c>
      <c r="AG550" s="2" t="s">
        <v>42</v>
      </c>
      <c r="AH550" s="1"/>
      <c r="AI550" s="1" t="s">
        <v>42</v>
      </c>
      <c r="AJ550" s="1"/>
      <c r="AK550" s="2" t="s">
        <v>42</v>
      </c>
      <c r="AL550" s="1" t="s">
        <v>3507</v>
      </c>
    </row>
    <row r="551" spans="1:38" ht="20.100000000000001" customHeight="1" x14ac:dyDescent="0.2">
      <c r="A551" s="3">
        <f t="shared" si="16"/>
        <v>548</v>
      </c>
      <c r="B551" s="1" t="s">
        <v>2559</v>
      </c>
      <c r="C551" s="1" t="s">
        <v>2560</v>
      </c>
      <c r="D551" s="1" t="s">
        <v>38</v>
      </c>
      <c r="E551" s="1" t="s">
        <v>54</v>
      </c>
      <c r="F551" s="1" t="s">
        <v>55</v>
      </c>
      <c r="G551" s="1" t="s">
        <v>2561</v>
      </c>
      <c r="H551" s="2">
        <v>45273</v>
      </c>
      <c r="I551" s="2">
        <v>35951</v>
      </c>
      <c r="J551" s="7">
        <f t="shared" ca="1" si="17"/>
        <v>25.416438356164385</v>
      </c>
      <c r="K551" s="1" t="s">
        <v>57</v>
      </c>
      <c r="L551" s="1" t="s">
        <v>134</v>
      </c>
      <c r="M551" s="2">
        <v>45185</v>
      </c>
      <c r="N551" s="1">
        <v>2</v>
      </c>
      <c r="O551" s="2" t="s">
        <v>42</v>
      </c>
      <c r="P551" s="1" t="s">
        <v>44</v>
      </c>
      <c r="Q551" s="1" t="s">
        <v>203</v>
      </c>
      <c r="R551" s="1" t="s">
        <v>60</v>
      </c>
      <c r="S551" s="1" t="s">
        <v>47</v>
      </c>
      <c r="T551" s="1">
        <v>10</v>
      </c>
      <c r="U551" s="2">
        <v>45185</v>
      </c>
      <c r="V551" s="2" t="s">
        <v>42</v>
      </c>
      <c r="W551" s="2" t="s">
        <v>42</v>
      </c>
      <c r="X551" s="1" t="s">
        <v>42</v>
      </c>
      <c r="Y551" s="2" t="s">
        <v>42</v>
      </c>
      <c r="Z551" s="1" t="s">
        <v>2562</v>
      </c>
      <c r="AA551" s="1" t="s">
        <v>42</v>
      </c>
      <c r="AB551" s="1" t="s">
        <v>2563</v>
      </c>
      <c r="AC551" s="1" t="s">
        <v>42</v>
      </c>
      <c r="AD551" s="1" t="s">
        <v>42</v>
      </c>
      <c r="AE551" s="1" t="s">
        <v>788</v>
      </c>
      <c r="AF551" s="1" t="s">
        <v>66</v>
      </c>
      <c r="AG551" s="2" t="s">
        <v>42</v>
      </c>
      <c r="AH551" s="1"/>
      <c r="AI551" s="1" t="s">
        <v>42</v>
      </c>
      <c r="AJ551" s="1"/>
      <c r="AK551" s="2" t="s">
        <v>42</v>
      </c>
      <c r="AL551" s="1" t="s">
        <v>3507</v>
      </c>
    </row>
    <row r="552" spans="1:38" ht="20.100000000000001" customHeight="1" x14ac:dyDescent="0.2">
      <c r="A552" s="3">
        <f t="shared" si="16"/>
        <v>549</v>
      </c>
      <c r="B552" s="1" t="s">
        <v>2564</v>
      </c>
      <c r="C552" s="1" t="s">
        <v>2565</v>
      </c>
      <c r="D552" s="1" t="s">
        <v>38</v>
      </c>
      <c r="E552" s="1" t="s">
        <v>54</v>
      </c>
      <c r="F552" s="1" t="s">
        <v>55</v>
      </c>
      <c r="G552" s="1" t="s">
        <v>2566</v>
      </c>
      <c r="H552" s="2">
        <v>45273</v>
      </c>
      <c r="I552" s="2">
        <v>37047</v>
      </c>
      <c r="J552" s="7">
        <f t="shared" ca="1" si="17"/>
        <v>22.413698630136988</v>
      </c>
      <c r="K552" s="1" t="s">
        <v>57</v>
      </c>
      <c r="L552" s="1" t="s">
        <v>134</v>
      </c>
      <c r="M552" s="2">
        <v>45185</v>
      </c>
      <c r="N552" s="1">
        <v>2</v>
      </c>
      <c r="O552" s="2" t="s">
        <v>42</v>
      </c>
      <c r="P552" s="1" t="s">
        <v>44</v>
      </c>
      <c r="Q552" s="1" t="s">
        <v>203</v>
      </c>
      <c r="R552" s="1" t="s">
        <v>60</v>
      </c>
      <c r="S552" s="1" t="s">
        <v>47</v>
      </c>
      <c r="T552" s="1">
        <v>10</v>
      </c>
      <c r="U552" s="2">
        <v>45185</v>
      </c>
      <c r="V552" s="2" t="s">
        <v>42</v>
      </c>
      <c r="W552" s="2" t="s">
        <v>42</v>
      </c>
      <c r="X552" s="1" t="s">
        <v>42</v>
      </c>
      <c r="Y552" s="2" t="s">
        <v>42</v>
      </c>
      <c r="Z552" s="1" t="s">
        <v>2567</v>
      </c>
      <c r="AA552" s="1" t="s">
        <v>2568</v>
      </c>
      <c r="AB552" s="1" t="s">
        <v>42</v>
      </c>
      <c r="AC552" s="1" t="s">
        <v>42</v>
      </c>
      <c r="AD552" s="1" t="s">
        <v>42</v>
      </c>
      <c r="AE552" s="1" t="s">
        <v>788</v>
      </c>
      <c r="AF552" s="1" t="s">
        <v>66</v>
      </c>
      <c r="AG552" s="2" t="s">
        <v>42</v>
      </c>
      <c r="AH552" s="1"/>
      <c r="AI552" s="1" t="s">
        <v>42</v>
      </c>
      <c r="AJ552" s="1"/>
      <c r="AK552" s="2" t="s">
        <v>42</v>
      </c>
      <c r="AL552" s="1" t="s">
        <v>3507</v>
      </c>
    </row>
    <row r="553" spans="1:38" ht="20.100000000000001" customHeight="1" x14ac:dyDescent="0.2">
      <c r="A553" s="3">
        <f t="shared" si="16"/>
        <v>550</v>
      </c>
      <c r="B553" s="1" t="s">
        <v>2569</v>
      </c>
      <c r="C553" s="1" t="s">
        <v>2570</v>
      </c>
      <c r="D553" s="1" t="s">
        <v>38</v>
      </c>
      <c r="E553" s="1" t="s">
        <v>54</v>
      </c>
      <c r="F553" s="1" t="s">
        <v>55</v>
      </c>
      <c r="G553" s="1" t="s">
        <v>2571</v>
      </c>
      <c r="H553" s="2">
        <v>45273</v>
      </c>
      <c r="I553" s="2">
        <v>36526</v>
      </c>
      <c r="J553" s="7">
        <f t="shared" ca="1" si="17"/>
        <v>23.841095890410958</v>
      </c>
      <c r="K553" s="1" t="s">
        <v>57</v>
      </c>
      <c r="L553" s="1" t="s">
        <v>134</v>
      </c>
      <c r="M553" s="2">
        <v>45186</v>
      </c>
      <c r="N553" s="1">
        <v>2</v>
      </c>
      <c r="O553" s="2" t="s">
        <v>42</v>
      </c>
      <c r="P553" s="1" t="s">
        <v>578</v>
      </c>
      <c r="Q553" s="1" t="s">
        <v>203</v>
      </c>
      <c r="R553" s="1" t="s">
        <v>60</v>
      </c>
      <c r="S553" s="1" t="s">
        <v>47</v>
      </c>
      <c r="T553" s="1">
        <v>10</v>
      </c>
      <c r="U553" s="2">
        <v>45186</v>
      </c>
      <c r="V553" s="2" t="s">
        <v>42</v>
      </c>
      <c r="W553" s="2" t="s">
        <v>42</v>
      </c>
      <c r="X553" s="1" t="s">
        <v>42</v>
      </c>
      <c r="Y553" s="2" t="s">
        <v>42</v>
      </c>
      <c r="Z553" s="1" t="s">
        <v>2572</v>
      </c>
      <c r="AA553" s="1" t="s">
        <v>42</v>
      </c>
      <c r="AB553" s="1" t="s">
        <v>42</v>
      </c>
      <c r="AC553" s="1" t="s">
        <v>42</v>
      </c>
      <c r="AD553" s="1" t="s">
        <v>42</v>
      </c>
      <c r="AE553" s="1" t="s">
        <v>788</v>
      </c>
      <c r="AF553" s="1" t="s">
        <v>66</v>
      </c>
      <c r="AG553" s="2" t="s">
        <v>42</v>
      </c>
      <c r="AH553" s="1"/>
      <c r="AI553" s="1" t="s">
        <v>42</v>
      </c>
      <c r="AJ553" s="1"/>
      <c r="AK553" s="2" t="s">
        <v>42</v>
      </c>
      <c r="AL553" s="1" t="s">
        <v>3507</v>
      </c>
    </row>
    <row r="554" spans="1:38" ht="20.100000000000001" customHeight="1" x14ac:dyDescent="0.2">
      <c r="A554" s="3">
        <f t="shared" si="16"/>
        <v>551</v>
      </c>
      <c r="B554" s="1" t="s">
        <v>2573</v>
      </c>
      <c r="C554" s="1" t="s">
        <v>2574</v>
      </c>
      <c r="D554" s="1" t="s">
        <v>38</v>
      </c>
      <c r="E554" s="1" t="s">
        <v>69</v>
      </c>
      <c r="F554" s="1" t="s">
        <v>70</v>
      </c>
      <c r="G554" s="1" t="s">
        <v>2575</v>
      </c>
      <c r="H554" s="2" t="s">
        <v>42</v>
      </c>
      <c r="I554" s="2">
        <v>36290</v>
      </c>
      <c r="J554" s="7">
        <f t="shared" ca="1" si="17"/>
        <v>24.487671232876714</v>
      </c>
      <c r="K554" s="1" t="s">
        <v>133</v>
      </c>
      <c r="L554" s="1" t="s">
        <v>134</v>
      </c>
      <c r="M554" s="2">
        <v>45168</v>
      </c>
      <c r="N554" s="1">
        <v>2</v>
      </c>
      <c r="O554" s="2" t="s">
        <v>42</v>
      </c>
      <c r="P554" s="1" t="s">
        <v>44</v>
      </c>
      <c r="Q554" s="1" t="s">
        <v>142</v>
      </c>
      <c r="R554" s="1" t="s">
        <v>60</v>
      </c>
      <c r="S554" s="1" t="s">
        <v>47</v>
      </c>
      <c r="T554" s="1" t="s">
        <v>42</v>
      </c>
      <c r="U554" s="2" t="s">
        <v>42</v>
      </c>
      <c r="V554" s="2" t="s">
        <v>42</v>
      </c>
      <c r="W554" s="2" t="s">
        <v>42</v>
      </c>
      <c r="X554" s="1" t="s">
        <v>42</v>
      </c>
      <c r="Y554" s="2" t="s">
        <v>42</v>
      </c>
      <c r="Z554" s="1" t="s">
        <v>42</v>
      </c>
      <c r="AA554" s="1" t="s">
        <v>42</v>
      </c>
      <c r="AB554" s="1" t="s">
        <v>42</v>
      </c>
      <c r="AC554" s="1" t="s">
        <v>42</v>
      </c>
      <c r="AD554" s="1" t="s">
        <v>42</v>
      </c>
      <c r="AE554" s="1" t="s">
        <v>788</v>
      </c>
      <c r="AF554" s="1" t="s">
        <v>147</v>
      </c>
      <c r="AG554" s="2" t="s">
        <v>42</v>
      </c>
      <c r="AH554" s="1"/>
      <c r="AI554" s="1" t="s">
        <v>42</v>
      </c>
      <c r="AJ554" s="1"/>
      <c r="AK554" s="2" t="s">
        <v>42</v>
      </c>
      <c r="AL554" s="1" t="s">
        <v>3507</v>
      </c>
    </row>
    <row r="555" spans="1:38" ht="20.100000000000001" customHeight="1" x14ac:dyDescent="0.2">
      <c r="A555" s="3">
        <f t="shared" si="16"/>
        <v>552</v>
      </c>
      <c r="B555" s="1" t="s">
        <v>2576</v>
      </c>
      <c r="C555" s="1" t="s">
        <v>2577</v>
      </c>
      <c r="D555" s="1" t="s">
        <v>38</v>
      </c>
      <c r="E555" s="1" t="s">
        <v>54</v>
      </c>
      <c r="F555" s="1" t="s">
        <v>55</v>
      </c>
      <c r="G555" s="1" t="s">
        <v>2578</v>
      </c>
      <c r="H555" s="2">
        <v>45227</v>
      </c>
      <c r="I555" s="2">
        <v>36952</v>
      </c>
      <c r="J555" s="7">
        <f t="shared" ca="1" si="17"/>
        <v>22.673972602739727</v>
      </c>
      <c r="K555" s="1" t="s">
        <v>1408</v>
      </c>
      <c r="L555" s="1" t="s">
        <v>134</v>
      </c>
      <c r="M555" s="2">
        <v>45181</v>
      </c>
      <c r="N555" s="1">
        <v>2</v>
      </c>
      <c r="O555" s="2" t="s">
        <v>42</v>
      </c>
      <c r="P555" s="1" t="s">
        <v>44</v>
      </c>
      <c r="Q555" s="1" t="s">
        <v>475</v>
      </c>
      <c r="R555" s="1" t="s">
        <v>60</v>
      </c>
      <c r="S555" s="1"/>
      <c r="T555" s="1" t="s">
        <v>42</v>
      </c>
      <c r="U555" s="2" t="s">
        <v>42</v>
      </c>
      <c r="V555" s="2" t="s">
        <v>42</v>
      </c>
      <c r="W555" s="2" t="s">
        <v>42</v>
      </c>
      <c r="X555" s="1" t="s">
        <v>42</v>
      </c>
      <c r="Y555" s="2" t="s">
        <v>42</v>
      </c>
      <c r="Z555" s="1" t="s">
        <v>2579</v>
      </c>
      <c r="AA555" s="1" t="s">
        <v>42</v>
      </c>
      <c r="AB555" s="1" t="s">
        <v>42</v>
      </c>
      <c r="AC555" s="1" t="s">
        <v>42</v>
      </c>
      <c r="AD555" s="1" t="s">
        <v>42</v>
      </c>
      <c r="AE555" s="1" t="s">
        <v>788</v>
      </c>
      <c r="AF555" s="1" t="s">
        <v>66</v>
      </c>
      <c r="AG555" s="2" t="s">
        <v>42</v>
      </c>
      <c r="AH555" s="1"/>
      <c r="AI555" s="1" t="s">
        <v>42</v>
      </c>
      <c r="AJ555" s="1"/>
      <c r="AK555" s="2" t="s">
        <v>42</v>
      </c>
      <c r="AL555" s="1" t="s">
        <v>3507</v>
      </c>
    </row>
    <row r="556" spans="1:38" ht="20.100000000000001" customHeight="1" x14ac:dyDescent="0.2">
      <c r="A556" s="3">
        <f t="shared" si="16"/>
        <v>553</v>
      </c>
      <c r="B556" s="1" t="s">
        <v>2580</v>
      </c>
      <c r="C556" s="1" t="s">
        <v>2581</v>
      </c>
      <c r="D556" s="1" t="s">
        <v>38</v>
      </c>
      <c r="E556" s="1" t="s">
        <v>54</v>
      </c>
      <c r="F556" s="1" t="s">
        <v>55</v>
      </c>
      <c r="G556" s="1" t="s">
        <v>42</v>
      </c>
      <c r="H556" s="2" t="s">
        <v>42</v>
      </c>
      <c r="I556" s="2" t="s">
        <v>42</v>
      </c>
      <c r="J556" s="7"/>
      <c r="K556" s="1" t="s">
        <v>42</v>
      </c>
      <c r="L556" s="1" t="s">
        <v>42</v>
      </c>
      <c r="M556" s="2" t="s">
        <v>42</v>
      </c>
      <c r="N556" s="1">
        <v>2</v>
      </c>
      <c r="O556" s="2" t="s">
        <v>42</v>
      </c>
      <c r="P556" s="1" t="s">
        <v>44</v>
      </c>
      <c r="Q556" s="1" t="s">
        <v>466</v>
      </c>
      <c r="R556" s="1" t="s">
        <v>60</v>
      </c>
      <c r="S556" s="1"/>
      <c r="T556" s="1" t="s">
        <v>42</v>
      </c>
      <c r="U556" s="2" t="s">
        <v>42</v>
      </c>
      <c r="V556" s="2" t="s">
        <v>42</v>
      </c>
      <c r="W556" s="2" t="s">
        <v>42</v>
      </c>
      <c r="X556" s="1" t="s">
        <v>42</v>
      </c>
      <c r="Y556" s="2" t="s">
        <v>42</v>
      </c>
      <c r="Z556" s="1" t="s">
        <v>42</v>
      </c>
      <c r="AA556" s="1" t="s">
        <v>42</v>
      </c>
      <c r="AB556" s="1" t="s">
        <v>42</v>
      </c>
      <c r="AC556" s="1" t="s">
        <v>42</v>
      </c>
      <c r="AD556" s="1" t="s">
        <v>42</v>
      </c>
      <c r="AE556" s="1" t="s">
        <v>788</v>
      </c>
      <c r="AF556" s="1"/>
      <c r="AG556" s="2" t="s">
        <v>42</v>
      </c>
      <c r="AH556" s="1"/>
      <c r="AI556" s="1" t="s">
        <v>42</v>
      </c>
      <c r="AJ556" s="1"/>
      <c r="AK556" s="2" t="s">
        <v>42</v>
      </c>
      <c r="AL556" s="1" t="s">
        <v>3507</v>
      </c>
    </row>
    <row r="557" spans="1:38" ht="20.100000000000001" customHeight="1" x14ac:dyDescent="0.2">
      <c r="A557" s="3">
        <f t="shared" si="16"/>
        <v>554</v>
      </c>
      <c r="B557" s="1" t="s">
        <v>2580</v>
      </c>
      <c r="C557" s="1" t="s">
        <v>2582</v>
      </c>
      <c r="D557" s="1" t="s">
        <v>38</v>
      </c>
      <c r="E557" s="1" t="s">
        <v>54</v>
      </c>
      <c r="F557" s="1" t="s">
        <v>55</v>
      </c>
      <c r="G557" s="1" t="s">
        <v>42</v>
      </c>
      <c r="H557" s="2" t="s">
        <v>42</v>
      </c>
      <c r="I557" s="2" t="s">
        <v>42</v>
      </c>
      <c r="J557" s="7"/>
      <c r="K557" s="1" t="s">
        <v>42</v>
      </c>
      <c r="L557" s="1" t="s">
        <v>42</v>
      </c>
      <c r="M557" s="2">
        <v>45195</v>
      </c>
      <c r="N557" s="1">
        <v>2</v>
      </c>
      <c r="O557" s="2">
        <v>45195</v>
      </c>
      <c r="P557" s="1" t="s">
        <v>42</v>
      </c>
      <c r="Q557" s="1" t="s">
        <v>42</v>
      </c>
      <c r="R557" s="1" t="s">
        <v>42</v>
      </c>
      <c r="S557" s="1" t="s">
        <v>42</v>
      </c>
      <c r="T557" s="1" t="s">
        <v>42</v>
      </c>
      <c r="U557" s="2" t="s">
        <v>42</v>
      </c>
      <c r="V557" s="2" t="s">
        <v>42</v>
      </c>
      <c r="W557" s="2" t="s">
        <v>42</v>
      </c>
      <c r="X557" s="1" t="s">
        <v>42</v>
      </c>
      <c r="Y557" s="2" t="s">
        <v>42</v>
      </c>
      <c r="Z557" s="1" t="s">
        <v>42</v>
      </c>
      <c r="AA557" s="1" t="s">
        <v>42</v>
      </c>
      <c r="AB557" s="1" t="s">
        <v>42</v>
      </c>
      <c r="AC557" s="1" t="s">
        <v>42</v>
      </c>
      <c r="AD557" s="1"/>
      <c r="AE557" s="1" t="s">
        <v>42</v>
      </c>
      <c r="AF557" s="1"/>
      <c r="AG557" s="2" t="s">
        <v>42</v>
      </c>
      <c r="AH557" s="1"/>
      <c r="AI557" s="1" t="s">
        <v>42</v>
      </c>
      <c r="AJ557" s="1"/>
      <c r="AK557" s="2" t="s">
        <v>42</v>
      </c>
      <c r="AL557" s="1" t="s">
        <v>42</v>
      </c>
    </row>
    <row r="558" spans="1:38" ht="20.100000000000001" customHeight="1" x14ac:dyDescent="0.2">
      <c r="A558" s="3">
        <f t="shared" si="16"/>
        <v>555</v>
      </c>
      <c r="B558" s="1" t="s">
        <v>2583</v>
      </c>
      <c r="C558" s="1" t="s">
        <v>2584</v>
      </c>
      <c r="D558" s="1" t="s">
        <v>38</v>
      </c>
      <c r="E558" s="1" t="s">
        <v>69</v>
      </c>
      <c r="F558" s="1" t="s">
        <v>70</v>
      </c>
      <c r="G558" s="1" t="s">
        <v>2585</v>
      </c>
      <c r="H558" s="2" t="s">
        <v>42</v>
      </c>
      <c r="I558" s="2">
        <v>36526</v>
      </c>
      <c r="J558" s="7">
        <f t="shared" ca="1" si="17"/>
        <v>23.841095890410958</v>
      </c>
      <c r="K558" s="1" t="s">
        <v>134</v>
      </c>
      <c r="L558" s="1" t="s">
        <v>134</v>
      </c>
      <c r="M558" s="2">
        <v>45192</v>
      </c>
      <c r="N558" s="1">
        <v>2</v>
      </c>
      <c r="O558" s="2" t="s">
        <v>42</v>
      </c>
      <c r="P558" s="1" t="s">
        <v>44</v>
      </c>
      <c r="Q558" s="1" t="s">
        <v>899</v>
      </c>
      <c r="R558" s="1" t="s">
        <v>900</v>
      </c>
      <c r="S558" s="1" t="s">
        <v>156</v>
      </c>
      <c r="T558" s="1" t="s">
        <v>42</v>
      </c>
      <c r="U558" s="2" t="s">
        <v>42</v>
      </c>
      <c r="V558" s="2" t="s">
        <v>42</v>
      </c>
      <c r="W558" s="2" t="s">
        <v>42</v>
      </c>
      <c r="X558" s="1" t="s">
        <v>42</v>
      </c>
      <c r="Y558" s="2" t="s">
        <v>42</v>
      </c>
      <c r="Z558" s="1" t="s">
        <v>2586</v>
      </c>
      <c r="AA558" s="1" t="s">
        <v>42</v>
      </c>
      <c r="AB558" s="1" t="s">
        <v>42</v>
      </c>
      <c r="AC558" s="1" t="s">
        <v>42</v>
      </c>
      <c r="AD558" s="1" t="s">
        <v>42</v>
      </c>
      <c r="AE558" s="1" t="s">
        <v>788</v>
      </c>
      <c r="AF558" s="1" t="s">
        <v>904</v>
      </c>
      <c r="AG558" s="2" t="s">
        <v>42</v>
      </c>
      <c r="AH558" s="1"/>
      <c r="AI558" s="1" t="s">
        <v>42</v>
      </c>
      <c r="AJ558" s="1"/>
      <c r="AK558" s="2" t="s">
        <v>42</v>
      </c>
      <c r="AL558" s="1" t="s">
        <v>3507</v>
      </c>
    </row>
    <row r="559" spans="1:38" ht="20.100000000000001" customHeight="1" x14ac:dyDescent="0.2">
      <c r="A559" s="3">
        <f t="shared" si="16"/>
        <v>556</v>
      </c>
      <c r="B559" s="1" t="s">
        <v>2587</v>
      </c>
      <c r="C559" s="1" t="s">
        <v>2588</v>
      </c>
      <c r="D559" s="1" t="s">
        <v>121</v>
      </c>
      <c r="E559" s="1" t="s">
        <v>39</v>
      </c>
      <c r="F559" s="1" t="s">
        <v>55</v>
      </c>
      <c r="G559" s="1" t="s">
        <v>2589</v>
      </c>
      <c r="H559" s="2">
        <v>48692</v>
      </c>
      <c r="I559" s="2">
        <v>32397</v>
      </c>
      <c r="J559" s="7">
        <f t="shared" ca="1" si="17"/>
        <v>35.153424657534245</v>
      </c>
      <c r="K559" s="1" t="s">
        <v>42</v>
      </c>
      <c r="L559" s="1" t="s">
        <v>2590</v>
      </c>
      <c r="M559" s="2">
        <v>45201</v>
      </c>
      <c r="N559" s="1">
        <v>2</v>
      </c>
      <c r="O559" s="2">
        <v>45201</v>
      </c>
      <c r="P559" s="1" t="s">
        <v>44</v>
      </c>
      <c r="Q559" s="1" t="s">
        <v>408</v>
      </c>
      <c r="R559" s="1" t="s">
        <v>124</v>
      </c>
      <c r="S559" s="1" t="s">
        <v>125</v>
      </c>
      <c r="T559" s="1">
        <v>8</v>
      </c>
      <c r="U559" s="2">
        <v>45201</v>
      </c>
      <c r="V559" s="2">
        <v>45566</v>
      </c>
      <c r="W559" s="2" t="s">
        <v>42</v>
      </c>
      <c r="X559" s="1" t="s">
        <v>42</v>
      </c>
      <c r="Y559" s="2" t="s">
        <v>42</v>
      </c>
      <c r="Z559" s="1" t="s">
        <v>2591</v>
      </c>
      <c r="AA559" s="1" t="s">
        <v>2592</v>
      </c>
      <c r="AB559" s="1" t="s">
        <v>2593</v>
      </c>
      <c r="AC559" s="1" t="s">
        <v>50</v>
      </c>
      <c r="AD559" s="1">
        <v>7014477116</v>
      </c>
      <c r="AE559" s="1" t="s">
        <v>65</v>
      </c>
      <c r="AF559" s="1"/>
      <c r="AG559" s="2" t="s">
        <v>42</v>
      </c>
      <c r="AH559" s="1"/>
      <c r="AI559" s="1" t="s">
        <v>42</v>
      </c>
      <c r="AJ559" s="1"/>
      <c r="AK559" s="2" t="s">
        <v>42</v>
      </c>
      <c r="AL559" s="1" t="s">
        <v>3507</v>
      </c>
    </row>
    <row r="560" spans="1:38" ht="20.100000000000001" customHeight="1" x14ac:dyDescent="0.2">
      <c r="A560" s="3">
        <f t="shared" si="16"/>
        <v>557</v>
      </c>
      <c r="B560" s="1" t="s">
        <v>2594</v>
      </c>
      <c r="C560" s="1" t="s">
        <v>2595</v>
      </c>
      <c r="D560" s="1" t="s">
        <v>38</v>
      </c>
      <c r="E560" s="1" t="s">
        <v>39</v>
      </c>
      <c r="F560" s="1" t="s">
        <v>40</v>
      </c>
      <c r="G560" s="1" t="s">
        <v>2596</v>
      </c>
      <c r="H560" s="2">
        <v>47927</v>
      </c>
      <c r="I560" s="2">
        <v>33366</v>
      </c>
      <c r="J560" s="7">
        <f t="shared" ca="1" si="17"/>
        <v>32.4986301369863</v>
      </c>
      <c r="K560" s="1" t="s">
        <v>42</v>
      </c>
      <c r="L560" s="1" t="s">
        <v>407</v>
      </c>
      <c r="M560" s="2">
        <v>45201</v>
      </c>
      <c r="N560" s="1">
        <v>2</v>
      </c>
      <c r="O560" s="2">
        <v>45201</v>
      </c>
      <c r="P560" s="1" t="s">
        <v>44</v>
      </c>
      <c r="Q560" s="1" t="s">
        <v>408</v>
      </c>
      <c r="R560" s="1" t="s">
        <v>124</v>
      </c>
      <c r="S560" s="1" t="s">
        <v>125</v>
      </c>
      <c r="T560" s="1">
        <v>8</v>
      </c>
      <c r="U560" s="2">
        <v>45201</v>
      </c>
      <c r="V560" s="2">
        <v>45566</v>
      </c>
      <c r="W560" s="2" t="s">
        <v>42</v>
      </c>
      <c r="X560" s="1" t="s">
        <v>42</v>
      </c>
      <c r="Y560" s="2" t="s">
        <v>42</v>
      </c>
      <c r="Z560" s="1" t="s">
        <v>2597</v>
      </c>
      <c r="AA560" s="1" t="s">
        <v>2598</v>
      </c>
      <c r="AB560" s="1" t="s">
        <v>2599</v>
      </c>
      <c r="AC560" s="1" t="s">
        <v>42</v>
      </c>
      <c r="AD560" s="1">
        <v>7026482336</v>
      </c>
      <c r="AE560" s="1" t="s">
        <v>903</v>
      </c>
      <c r="AF560" s="1"/>
      <c r="AG560" s="2" t="s">
        <v>42</v>
      </c>
      <c r="AH560" s="1"/>
      <c r="AI560" s="1" t="s">
        <v>42</v>
      </c>
      <c r="AJ560" s="1"/>
      <c r="AK560" s="2" t="s">
        <v>42</v>
      </c>
      <c r="AL560" s="1" t="s">
        <v>3507</v>
      </c>
    </row>
    <row r="561" spans="1:38" ht="20.100000000000001" customHeight="1" x14ac:dyDescent="0.2">
      <c r="A561" s="3">
        <f t="shared" si="16"/>
        <v>558</v>
      </c>
      <c r="B561" s="1" t="s">
        <v>2600</v>
      </c>
      <c r="C561" s="1" t="s">
        <v>2601</v>
      </c>
      <c r="D561" s="1" t="s">
        <v>38</v>
      </c>
      <c r="E561" s="1" t="s">
        <v>54</v>
      </c>
      <c r="F561" s="1" t="s">
        <v>55</v>
      </c>
      <c r="G561" s="1" t="s">
        <v>2602</v>
      </c>
      <c r="H561" s="2" t="s">
        <v>42</v>
      </c>
      <c r="I561" s="2">
        <v>34335</v>
      </c>
      <c r="J561" s="7">
        <f t="shared" ca="1" si="17"/>
        <v>29.843835616438355</v>
      </c>
      <c r="K561" s="1" t="s">
        <v>133</v>
      </c>
      <c r="L561" s="1" t="s">
        <v>134</v>
      </c>
      <c r="M561" s="2">
        <v>44927</v>
      </c>
      <c r="N561" s="1">
        <v>2</v>
      </c>
      <c r="O561" s="2" t="s">
        <v>42</v>
      </c>
      <c r="P561" s="1" t="s">
        <v>578</v>
      </c>
      <c r="Q561" s="1" t="s">
        <v>578</v>
      </c>
      <c r="R561" s="1" t="s">
        <v>60</v>
      </c>
      <c r="S561" s="1" t="s">
        <v>47</v>
      </c>
      <c r="T561" s="1" t="s">
        <v>42</v>
      </c>
      <c r="U561" s="2" t="s">
        <v>42</v>
      </c>
      <c r="V561" s="2" t="s">
        <v>42</v>
      </c>
      <c r="W561" s="2" t="s">
        <v>42</v>
      </c>
      <c r="X561" s="1" t="s">
        <v>42</v>
      </c>
      <c r="Y561" s="2" t="s">
        <v>42</v>
      </c>
      <c r="Z561" s="1" t="s">
        <v>2603</v>
      </c>
      <c r="AA561" s="1" t="s">
        <v>42</v>
      </c>
      <c r="AB561" s="1" t="s">
        <v>2604</v>
      </c>
      <c r="AC561" s="1" t="s">
        <v>129</v>
      </c>
      <c r="AD561" s="1" t="s">
        <v>42</v>
      </c>
      <c r="AE561" s="1" t="s">
        <v>788</v>
      </c>
      <c r="AF561" s="1"/>
      <c r="AG561" s="2" t="s">
        <v>42</v>
      </c>
      <c r="AH561" s="1"/>
      <c r="AI561" s="1" t="s">
        <v>42</v>
      </c>
      <c r="AJ561" s="1"/>
      <c r="AK561" s="2" t="s">
        <v>42</v>
      </c>
      <c r="AL561" s="1" t="s">
        <v>3507</v>
      </c>
    </row>
    <row r="562" spans="1:38" ht="20.100000000000001" customHeight="1" x14ac:dyDescent="0.2">
      <c r="A562" s="3">
        <f t="shared" si="16"/>
        <v>559</v>
      </c>
      <c r="B562" s="1" t="s">
        <v>2605</v>
      </c>
      <c r="C562" s="1" t="s">
        <v>2606</v>
      </c>
      <c r="D562" s="1" t="s">
        <v>38</v>
      </c>
      <c r="E562" s="1" t="s">
        <v>54</v>
      </c>
      <c r="F562" s="1" t="s">
        <v>55</v>
      </c>
      <c r="G562" s="1" t="s">
        <v>2607</v>
      </c>
      <c r="H562" s="2" t="s">
        <v>42</v>
      </c>
      <c r="I562" s="2">
        <v>35490</v>
      </c>
      <c r="J562" s="7">
        <f t="shared" ca="1" si="17"/>
        <v>26.67945205479452</v>
      </c>
      <c r="K562" s="1" t="s">
        <v>133</v>
      </c>
      <c r="L562" s="1" t="s">
        <v>134</v>
      </c>
      <c r="M562" s="2">
        <v>45195</v>
      </c>
      <c r="N562" s="1">
        <v>2</v>
      </c>
      <c r="O562" s="2" t="s">
        <v>42</v>
      </c>
      <c r="P562" s="1" t="s">
        <v>44</v>
      </c>
      <c r="Q562" s="1" t="s">
        <v>2608</v>
      </c>
      <c r="R562" s="1" t="s">
        <v>60</v>
      </c>
      <c r="S562" s="1" t="s">
        <v>47</v>
      </c>
      <c r="T562" s="1" t="s">
        <v>42</v>
      </c>
      <c r="U562" s="2" t="s">
        <v>42</v>
      </c>
      <c r="V562" s="2" t="s">
        <v>42</v>
      </c>
      <c r="W562" s="2" t="s">
        <v>42</v>
      </c>
      <c r="X562" s="1" t="s">
        <v>42</v>
      </c>
      <c r="Y562" s="2" t="s">
        <v>42</v>
      </c>
      <c r="Z562" s="1" t="s">
        <v>2609</v>
      </c>
      <c r="AA562" s="1" t="s">
        <v>42</v>
      </c>
      <c r="AB562" s="1" t="s">
        <v>2610</v>
      </c>
      <c r="AC562" s="1" t="s">
        <v>129</v>
      </c>
      <c r="AD562" s="1" t="s">
        <v>42</v>
      </c>
      <c r="AE562" s="1" t="s">
        <v>788</v>
      </c>
      <c r="AF562" s="1" t="s">
        <v>66</v>
      </c>
      <c r="AG562" s="2" t="s">
        <v>42</v>
      </c>
      <c r="AH562" s="1"/>
      <c r="AI562" s="1" t="s">
        <v>42</v>
      </c>
      <c r="AJ562" s="1"/>
      <c r="AK562" s="2" t="s">
        <v>42</v>
      </c>
      <c r="AL562" s="1" t="s">
        <v>3507</v>
      </c>
    </row>
    <row r="563" spans="1:38" ht="20.100000000000001" customHeight="1" x14ac:dyDescent="0.2">
      <c r="A563" s="3">
        <f t="shared" si="16"/>
        <v>560</v>
      </c>
      <c r="B563" s="1" t="s">
        <v>2611</v>
      </c>
      <c r="C563" s="1" t="s">
        <v>2612</v>
      </c>
      <c r="D563" s="1" t="s">
        <v>38</v>
      </c>
      <c r="E563" s="1" t="s">
        <v>54</v>
      </c>
      <c r="F563" s="1" t="s">
        <v>55</v>
      </c>
      <c r="G563" s="1" t="s">
        <v>2613</v>
      </c>
      <c r="H563" s="2" t="s">
        <v>42</v>
      </c>
      <c r="I563" s="2">
        <v>35552</v>
      </c>
      <c r="J563" s="7">
        <f t="shared" ca="1" si="17"/>
        <v>26.509589041095889</v>
      </c>
      <c r="K563" s="1" t="s">
        <v>482</v>
      </c>
      <c r="L563" s="1" t="s">
        <v>134</v>
      </c>
      <c r="M563" s="2">
        <v>45197</v>
      </c>
      <c r="N563" s="1">
        <v>2</v>
      </c>
      <c r="O563" s="2" t="s">
        <v>42</v>
      </c>
      <c r="P563" s="1" t="s">
        <v>44</v>
      </c>
      <c r="Q563" s="1" t="s">
        <v>475</v>
      </c>
      <c r="R563" s="1" t="s">
        <v>60</v>
      </c>
      <c r="S563" s="1" t="s">
        <v>47</v>
      </c>
      <c r="T563" s="1" t="s">
        <v>42</v>
      </c>
      <c r="U563" s="2" t="s">
        <v>42</v>
      </c>
      <c r="V563" s="2" t="s">
        <v>42</v>
      </c>
      <c r="W563" s="2" t="s">
        <v>42</v>
      </c>
      <c r="X563" s="1" t="s">
        <v>42</v>
      </c>
      <c r="Y563" s="2" t="s">
        <v>42</v>
      </c>
      <c r="Z563" s="1" t="s">
        <v>2614</v>
      </c>
      <c r="AA563" s="1" t="s">
        <v>42</v>
      </c>
      <c r="AB563" s="1" t="s">
        <v>2615</v>
      </c>
      <c r="AC563" s="1" t="s">
        <v>129</v>
      </c>
      <c r="AD563" s="1" t="s">
        <v>42</v>
      </c>
      <c r="AE563" s="1" t="s">
        <v>788</v>
      </c>
      <c r="AF563" s="1" t="s">
        <v>66</v>
      </c>
      <c r="AG563" s="2" t="s">
        <v>42</v>
      </c>
      <c r="AH563" s="1"/>
      <c r="AI563" s="1" t="s">
        <v>42</v>
      </c>
      <c r="AJ563" s="1"/>
      <c r="AK563" s="2" t="s">
        <v>42</v>
      </c>
      <c r="AL563" s="1" t="s">
        <v>3507</v>
      </c>
    </row>
    <row r="564" spans="1:38" ht="20.100000000000001" customHeight="1" x14ac:dyDescent="0.2">
      <c r="A564" s="3">
        <f t="shared" si="16"/>
        <v>561</v>
      </c>
      <c r="B564" s="1" t="s">
        <v>2616</v>
      </c>
      <c r="C564" s="1" t="s">
        <v>2617</v>
      </c>
      <c r="D564" s="1" t="s">
        <v>38</v>
      </c>
      <c r="E564" s="1" t="s">
        <v>54</v>
      </c>
      <c r="F564" s="1" t="s">
        <v>55</v>
      </c>
      <c r="G564" s="1" t="s">
        <v>2618</v>
      </c>
      <c r="H564" s="2">
        <v>45475</v>
      </c>
      <c r="I564" s="2">
        <v>36540</v>
      </c>
      <c r="J564" s="7">
        <f t="shared" ca="1" si="17"/>
        <v>23.802739726027397</v>
      </c>
      <c r="K564" s="1" t="s">
        <v>133</v>
      </c>
      <c r="L564" s="1" t="s">
        <v>134</v>
      </c>
      <c r="M564" s="2">
        <v>45197</v>
      </c>
      <c r="N564" s="1">
        <v>2</v>
      </c>
      <c r="O564" s="2" t="s">
        <v>42</v>
      </c>
      <c r="P564" s="1" t="s">
        <v>44</v>
      </c>
      <c r="Q564" s="1" t="s">
        <v>466</v>
      </c>
      <c r="R564" s="1" t="s">
        <v>60</v>
      </c>
      <c r="S564" s="1" t="s">
        <v>47</v>
      </c>
      <c r="T564" s="1" t="s">
        <v>42</v>
      </c>
      <c r="U564" s="2" t="s">
        <v>42</v>
      </c>
      <c r="V564" s="2" t="s">
        <v>42</v>
      </c>
      <c r="W564" s="2" t="s">
        <v>42</v>
      </c>
      <c r="X564" s="1" t="s">
        <v>42</v>
      </c>
      <c r="Y564" s="2" t="s">
        <v>42</v>
      </c>
      <c r="Z564" s="1" t="s">
        <v>2619</v>
      </c>
      <c r="AA564" s="1" t="s">
        <v>2620</v>
      </c>
      <c r="AB564" s="1" t="s">
        <v>42</v>
      </c>
      <c r="AC564" s="1" t="s">
        <v>42</v>
      </c>
      <c r="AD564" s="1" t="s">
        <v>42</v>
      </c>
      <c r="AE564" s="1" t="s">
        <v>788</v>
      </c>
      <c r="AF564" s="1"/>
      <c r="AG564" s="2" t="s">
        <v>42</v>
      </c>
      <c r="AH564" s="1"/>
      <c r="AI564" s="1" t="s">
        <v>42</v>
      </c>
      <c r="AJ564" s="1"/>
      <c r="AK564" s="2" t="s">
        <v>42</v>
      </c>
      <c r="AL564" s="1" t="s">
        <v>3507</v>
      </c>
    </row>
    <row r="565" spans="1:38" ht="20.100000000000001" customHeight="1" x14ac:dyDescent="0.2">
      <c r="A565" s="3">
        <f t="shared" si="16"/>
        <v>562</v>
      </c>
      <c r="B565" s="1" t="s">
        <v>2621</v>
      </c>
      <c r="C565" s="1" t="s">
        <v>2622</v>
      </c>
      <c r="D565" s="1" t="s">
        <v>38</v>
      </c>
      <c r="E565" s="1" t="s">
        <v>54</v>
      </c>
      <c r="F565" s="1" t="s">
        <v>55</v>
      </c>
      <c r="G565" s="1" t="s">
        <v>2623</v>
      </c>
      <c r="H565" s="2">
        <v>45258</v>
      </c>
      <c r="I565" s="2">
        <v>37380</v>
      </c>
      <c r="J565" s="7">
        <f t="shared" ca="1" si="17"/>
        <v>21.5013698630137</v>
      </c>
      <c r="K565" s="1" t="s">
        <v>133</v>
      </c>
      <c r="L565" s="1" t="s">
        <v>134</v>
      </c>
      <c r="M565" s="2">
        <v>45225</v>
      </c>
      <c r="N565" s="1">
        <v>2</v>
      </c>
      <c r="O565" s="2" t="s">
        <v>42</v>
      </c>
      <c r="P565" s="1" t="s">
        <v>44</v>
      </c>
      <c r="Q565" s="1" t="s">
        <v>2608</v>
      </c>
      <c r="R565" s="1" t="s">
        <v>60</v>
      </c>
      <c r="S565" s="1" t="s">
        <v>47</v>
      </c>
      <c r="T565" s="1" t="s">
        <v>42</v>
      </c>
      <c r="U565" s="2" t="s">
        <v>42</v>
      </c>
      <c r="V565" s="2" t="s">
        <v>42</v>
      </c>
      <c r="W565" s="2" t="s">
        <v>42</v>
      </c>
      <c r="X565" s="1" t="s">
        <v>42</v>
      </c>
      <c r="Y565" s="2" t="s">
        <v>42</v>
      </c>
      <c r="Z565" s="1" t="s">
        <v>2624</v>
      </c>
      <c r="AA565" s="1" t="s">
        <v>2625</v>
      </c>
      <c r="AB565" s="1" t="s">
        <v>2626</v>
      </c>
      <c r="AC565" s="1" t="s">
        <v>42</v>
      </c>
      <c r="AD565" s="1" t="s">
        <v>42</v>
      </c>
      <c r="AE565" s="1" t="s">
        <v>788</v>
      </c>
      <c r="AF565" s="1" t="s">
        <v>66</v>
      </c>
      <c r="AG565" s="2" t="s">
        <v>42</v>
      </c>
      <c r="AH565" s="1"/>
      <c r="AI565" s="1" t="s">
        <v>42</v>
      </c>
      <c r="AJ565" s="1"/>
      <c r="AK565" s="2" t="s">
        <v>42</v>
      </c>
      <c r="AL565" s="1" t="s">
        <v>3507</v>
      </c>
    </row>
    <row r="566" spans="1:38" ht="20.100000000000001" customHeight="1" x14ac:dyDescent="0.2">
      <c r="A566" s="3">
        <f t="shared" si="16"/>
        <v>563</v>
      </c>
      <c r="B566" s="1" t="s">
        <v>2627</v>
      </c>
      <c r="C566" s="1" t="s">
        <v>2628</v>
      </c>
      <c r="D566" s="1" t="s">
        <v>38</v>
      </c>
      <c r="E566" s="1" t="s">
        <v>54</v>
      </c>
      <c r="F566" s="1" t="s">
        <v>55</v>
      </c>
      <c r="G566" s="1" t="s">
        <v>2629</v>
      </c>
      <c r="H566" s="2" t="s">
        <v>42</v>
      </c>
      <c r="I566" s="2">
        <v>37268</v>
      </c>
      <c r="J566" s="7">
        <f t="shared" ca="1" si="17"/>
        <v>21.80821917808219</v>
      </c>
      <c r="K566" s="1" t="s">
        <v>133</v>
      </c>
      <c r="L566" s="1" t="s">
        <v>134</v>
      </c>
      <c r="M566" s="2">
        <v>45195</v>
      </c>
      <c r="N566" s="1">
        <v>2</v>
      </c>
      <c r="O566" s="2" t="s">
        <v>42</v>
      </c>
      <c r="P566" s="1" t="s">
        <v>44</v>
      </c>
      <c r="Q566" s="1" t="s">
        <v>2608</v>
      </c>
      <c r="R566" s="1" t="s">
        <v>60</v>
      </c>
      <c r="S566" s="1"/>
      <c r="T566" s="1" t="s">
        <v>42</v>
      </c>
      <c r="U566" s="2" t="s">
        <v>42</v>
      </c>
      <c r="V566" s="2" t="s">
        <v>42</v>
      </c>
      <c r="W566" s="2" t="s">
        <v>42</v>
      </c>
      <c r="X566" s="1" t="s">
        <v>42</v>
      </c>
      <c r="Y566" s="2" t="s">
        <v>42</v>
      </c>
      <c r="Z566" s="1" t="s">
        <v>2630</v>
      </c>
      <c r="AA566" s="1" t="s">
        <v>2631</v>
      </c>
      <c r="AB566" s="1" t="s">
        <v>42</v>
      </c>
      <c r="AC566" s="1" t="s">
        <v>42</v>
      </c>
      <c r="AD566" s="1" t="s">
        <v>42</v>
      </c>
      <c r="AE566" s="1" t="s">
        <v>788</v>
      </c>
      <c r="AF566" s="1" t="s">
        <v>66</v>
      </c>
      <c r="AG566" s="2" t="s">
        <v>42</v>
      </c>
      <c r="AH566" s="1"/>
      <c r="AI566" s="1" t="s">
        <v>42</v>
      </c>
      <c r="AJ566" s="1"/>
      <c r="AK566" s="2" t="s">
        <v>42</v>
      </c>
      <c r="AL566" s="1" t="s">
        <v>3507</v>
      </c>
    </row>
    <row r="567" spans="1:38" ht="20.100000000000001" customHeight="1" x14ac:dyDescent="0.2">
      <c r="A567" s="3">
        <f t="shared" si="16"/>
        <v>564</v>
      </c>
      <c r="B567" s="1" t="s">
        <v>2632</v>
      </c>
      <c r="C567" s="1" t="s">
        <v>2633</v>
      </c>
      <c r="D567" s="1" t="s">
        <v>38</v>
      </c>
      <c r="E567" s="1" t="s">
        <v>54</v>
      </c>
      <c r="F567" s="1" t="s">
        <v>55</v>
      </c>
      <c r="G567" s="1" t="s">
        <v>2634</v>
      </c>
      <c r="H567" s="2">
        <v>45541</v>
      </c>
      <c r="I567" s="2">
        <v>36342</v>
      </c>
      <c r="J567" s="7">
        <f t="shared" ca="1" si="17"/>
        <v>24.345205479452055</v>
      </c>
      <c r="K567" s="1" t="s">
        <v>133</v>
      </c>
      <c r="L567" s="1" t="s">
        <v>134</v>
      </c>
      <c r="M567" s="2">
        <v>45195</v>
      </c>
      <c r="N567" s="1">
        <v>2</v>
      </c>
      <c r="O567" s="2" t="s">
        <v>42</v>
      </c>
      <c r="P567" s="1" t="s">
        <v>44</v>
      </c>
      <c r="Q567" s="1" t="s">
        <v>270</v>
      </c>
      <c r="R567" s="1" t="s">
        <v>60</v>
      </c>
      <c r="S567" s="1"/>
      <c r="T567" s="1" t="s">
        <v>42</v>
      </c>
      <c r="U567" s="2" t="s">
        <v>42</v>
      </c>
      <c r="V567" s="2" t="s">
        <v>42</v>
      </c>
      <c r="W567" s="2" t="s">
        <v>42</v>
      </c>
      <c r="X567" s="1" t="s">
        <v>42</v>
      </c>
      <c r="Y567" s="2" t="s">
        <v>42</v>
      </c>
      <c r="Z567" s="1" t="s">
        <v>42</v>
      </c>
      <c r="AA567" s="1" t="s">
        <v>42</v>
      </c>
      <c r="AB567" s="1" t="s">
        <v>2635</v>
      </c>
      <c r="AC567" s="1" t="s">
        <v>42</v>
      </c>
      <c r="AD567" s="1" t="s">
        <v>42</v>
      </c>
      <c r="AE567" s="1" t="s">
        <v>788</v>
      </c>
      <c r="AF567" s="1" t="s">
        <v>66</v>
      </c>
      <c r="AG567" s="2" t="s">
        <v>42</v>
      </c>
      <c r="AH567" s="1"/>
      <c r="AI567" s="1" t="s">
        <v>42</v>
      </c>
      <c r="AJ567" s="1"/>
      <c r="AK567" s="2" t="s">
        <v>42</v>
      </c>
      <c r="AL567" s="1" t="s">
        <v>3507</v>
      </c>
    </row>
    <row r="568" spans="1:38" ht="20.100000000000001" customHeight="1" x14ac:dyDescent="0.2">
      <c r="A568" s="3">
        <f t="shared" si="16"/>
        <v>565</v>
      </c>
      <c r="B568" s="1" t="s">
        <v>2636</v>
      </c>
      <c r="C568" s="1" t="s">
        <v>2637</v>
      </c>
      <c r="D568" s="1" t="s">
        <v>38</v>
      </c>
      <c r="E568" s="1" t="s">
        <v>54</v>
      </c>
      <c r="F568" s="1" t="s">
        <v>55</v>
      </c>
      <c r="G568" s="1" t="s">
        <v>2638</v>
      </c>
      <c r="H568" s="2" t="s">
        <v>42</v>
      </c>
      <c r="I568" s="2">
        <v>35649</v>
      </c>
      <c r="J568" s="7">
        <f t="shared" ca="1" si="17"/>
        <v>26.243835616438357</v>
      </c>
      <c r="K568" s="1" t="s">
        <v>133</v>
      </c>
      <c r="L568" s="1" t="s">
        <v>134</v>
      </c>
      <c r="M568" s="2">
        <v>45195</v>
      </c>
      <c r="N568" s="1">
        <v>2</v>
      </c>
      <c r="O568" s="2" t="s">
        <v>42</v>
      </c>
      <c r="P568" s="1" t="s">
        <v>44</v>
      </c>
      <c r="Q568" s="1" t="s">
        <v>2608</v>
      </c>
      <c r="R568" s="1" t="s">
        <v>60</v>
      </c>
      <c r="S568" s="1"/>
      <c r="T568" s="1" t="s">
        <v>42</v>
      </c>
      <c r="U568" s="2" t="s">
        <v>42</v>
      </c>
      <c r="V568" s="2" t="s">
        <v>42</v>
      </c>
      <c r="W568" s="2" t="s">
        <v>42</v>
      </c>
      <c r="X568" s="1" t="s">
        <v>42</v>
      </c>
      <c r="Y568" s="2" t="s">
        <v>42</v>
      </c>
      <c r="Z568" s="1" t="s">
        <v>2639</v>
      </c>
      <c r="AA568" s="1" t="s">
        <v>42</v>
      </c>
      <c r="AB568" s="1" t="s">
        <v>2640</v>
      </c>
      <c r="AC568" s="1" t="s">
        <v>42</v>
      </c>
      <c r="AD568" s="1" t="s">
        <v>42</v>
      </c>
      <c r="AE568" s="1" t="s">
        <v>788</v>
      </c>
      <c r="AF568" s="1" t="s">
        <v>66</v>
      </c>
      <c r="AG568" s="2" t="s">
        <v>42</v>
      </c>
      <c r="AH568" s="1"/>
      <c r="AI568" s="1" t="s">
        <v>42</v>
      </c>
      <c r="AJ568" s="1"/>
      <c r="AK568" s="2" t="s">
        <v>42</v>
      </c>
      <c r="AL568" s="1" t="s">
        <v>3507</v>
      </c>
    </row>
    <row r="569" spans="1:38" ht="20.100000000000001" customHeight="1" x14ac:dyDescent="0.2">
      <c r="A569" s="3">
        <f t="shared" si="16"/>
        <v>566</v>
      </c>
      <c r="B569" s="1" t="s">
        <v>2641</v>
      </c>
      <c r="C569" s="1" t="s">
        <v>2642</v>
      </c>
      <c r="D569" s="1" t="s">
        <v>38</v>
      </c>
      <c r="E569" s="1" t="s">
        <v>54</v>
      </c>
      <c r="F569" s="1" t="s">
        <v>55</v>
      </c>
      <c r="G569" s="1" t="s">
        <v>2643</v>
      </c>
      <c r="H569" s="2">
        <v>45276</v>
      </c>
      <c r="I569" s="2">
        <v>37189</v>
      </c>
      <c r="J569" s="7">
        <f t="shared" ca="1" si="17"/>
        <v>22.024657534246575</v>
      </c>
      <c r="K569" s="1" t="s">
        <v>133</v>
      </c>
      <c r="L569" s="1" t="s">
        <v>42</v>
      </c>
      <c r="M569" s="2">
        <v>45195</v>
      </c>
      <c r="N569" s="1">
        <v>2</v>
      </c>
      <c r="O569" s="2" t="s">
        <v>42</v>
      </c>
      <c r="P569" s="1" t="s">
        <v>44</v>
      </c>
      <c r="Q569" s="1" t="s">
        <v>394</v>
      </c>
      <c r="R569" s="1" t="s">
        <v>60</v>
      </c>
      <c r="S569" s="1" t="s">
        <v>156</v>
      </c>
      <c r="T569" s="1" t="s">
        <v>42</v>
      </c>
      <c r="U569" s="2">
        <v>45195</v>
      </c>
      <c r="V569" s="2" t="s">
        <v>42</v>
      </c>
      <c r="W569" s="2" t="s">
        <v>42</v>
      </c>
      <c r="X569" s="1" t="s">
        <v>42</v>
      </c>
      <c r="Y569" s="2" t="s">
        <v>42</v>
      </c>
      <c r="Z569" s="1" t="s">
        <v>2644</v>
      </c>
      <c r="AA569" s="1" t="s">
        <v>42</v>
      </c>
      <c r="AB569" s="1" t="s">
        <v>2645</v>
      </c>
      <c r="AC569" s="1" t="s">
        <v>42</v>
      </c>
      <c r="AD569" s="1" t="s">
        <v>42</v>
      </c>
      <c r="AE569" s="1" t="s">
        <v>788</v>
      </c>
      <c r="AF569" s="1" t="s">
        <v>66</v>
      </c>
      <c r="AG569" s="2" t="s">
        <v>42</v>
      </c>
      <c r="AH569" s="1"/>
      <c r="AI569" s="1" t="s">
        <v>42</v>
      </c>
      <c r="AJ569" s="1"/>
      <c r="AK569" s="2" t="s">
        <v>42</v>
      </c>
      <c r="AL569" s="1" t="s">
        <v>3507</v>
      </c>
    </row>
    <row r="570" spans="1:38" ht="20.100000000000001" customHeight="1" x14ac:dyDescent="0.2">
      <c r="A570" s="3">
        <f t="shared" si="16"/>
        <v>567</v>
      </c>
      <c r="B570" s="1" t="s">
        <v>2646</v>
      </c>
      <c r="C570" s="1" t="s">
        <v>2647</v>
      </c>
      <c r="D570" s="1" t="s">
        <v>38</v>
      </c>
      <c r="E570" s="1" t="s">
        <v>54</v>
      </c>
      <c r="F570" s="1" t="s">
        <v>55</v>
      </c>
      <c r="G570" s="1" t="s">
        <v>2618</v>
      </c>
      <c r="H570" s="2" t="s">
        <v>42</v>
      </c>
      <c r="I570" s="2" t="s">
        <v>42</v>
      </c>
      <c r="J570" s="7"/>
      <c r="K570" s="1" t="s">
        <v>42</v>
      </c>
      <c r="L570" s="1" t="s">
        <v>42</v>
      </c>
      <c r="M570" s="2">
        <v>45197</v>
      </c>
      <c r="N570" s="1">
        <v>2</v>
      </c>
      <c r="O570" s="2" t="s">
        <v>42</v>
      </c>
      <c r="P570" s="1" t="s">
        <v>44</v>
      </c>
      <c r="Q570" s="1" t="s">
        <v>466</v>
      </c>
      <c r="R570" s="1" t="s">
        <v>60</v>
      </c>
      <c r="S570" s="1" t="s">
        <v>156</v>
      </c>
      <c r="T570" s="1" t="s">
        <v>42</v>
      </c>
      <c r="U570" s="2" t="s">
        <v>42</v>
      </c>
      <c r="V570" s="2" t="s">
        <v>42</v>
      </c>
      <c r="W570" s="2" t="s">
        <v>42</v>
      </c>
      <c r="X570" s="1" t="s">
        <v>42</v>
      </c>
      <c r="Y570" s="2" t="s">
        <v>42</v>
      </c>
      <c r="Z570" s="1" t="s">
        <v>42</v>
      </c>
      <c r="AA570" s="1" t="s">
        <v>42</v>
      </c>
      <c r="AB570" s="1" t="s">
        <v>42</v>
      </c>
      <c r="AC570" s="1" t="s">
        <v>42</v>
      </c>
      <c r="AD570" s="1" t="s">
        <v>42</v>
      </c>
      <c r="AE570" s="1" t="s">
        <v>788</v>
      </c>
      <c r="AF570" s="1" t="s">
        <v>66</v>
      </c>
      <c r="AG570" s="2" t="s">
        <v>42</v>
      </c>
      <c r="AH570" s="1"/>
      <c r="AI570" s="1" t="s">
        <v>42</v>
      </c>
      <c r="AJ570" s="1"/>
      <c r="AK570" s="2" t="s">
        <v>42</v>
      </c>
      <c r="AL570" s="1" t="s">
        <v>3507</v>
      </c>
    </row>
    <row r="571" spans="1:38" ht="20.100000000000001" customHeight="1" x14ac:dyDescent="0.2">
      <c r="A571" s="3">
        <f t="shared" si="16"/>
        <v>568</v>
      </c>
      <c r="B571" s="1" t="s">
        <v>2648</v>
      </c>
      <c r="C571" s="1" t="s">
        <v>2649</v>
      </c>
      <c r="D571" s="1" t="s">
        <v>38</v>
      </c>
      <c r="E571" s="1" t="s">
        <v>54</v>
      </c>
      <c r="F571" s="1" t="s">
        <v>55</v>
      </c>
      <c r="G571" s="1" t="s">
        <v>42</v>
      </c>
      <c r="H571" s="2" t="s">
        <v>42</v>
      </c>
      <c r="I571" s="2" t="s">
        <v>42</v>
      </c>
      <c r="J571" s="7"/>
      <c r="K571" s="1" t="s">
        <v>42</v>
      </c>
      <c r="L571" s="1" t="s">
        <v>42</v>
      </c>
      <c r="M571" s="2">
        <v>45199</v>
      </c>
      <c r="N571" s="1">
        <v>2</v>
      </c>
      <c r="O571" s="2" t="s">
        <v>42</v>
      </c>
      <c r="P571" s="1" t="s">
        <v>44</v>
      </c>
      <c r="Q571" s="1" t="s">
        <v>475</v>
      </c>
      <c r="R571" s="1" t="s">
        <v>60</v>
      </c>
      <c r="S571" s="1"/>
      <c r="T571" s="1" t="s">
        <v>42</v>
      </c>
      <c r="U571" s="2" t="s">
        <v>42</v>
      </c>
      <c r="V571" s="2" t="s">
        <v>42</v>
      </c>
      <c r="W571" s="2" t="s">
        <v>42</v>
      </c>
      <c r="X571" s="1" t="s">
        <v>42</v>
      </c>
      <c r="Y571" s="2" t="s">
        <v>42</v>
      </c>
      <c r="Z571" s="1" t="s">
        <v>42</v>
      </c>
      <c r="AA571" s="1" t="s">
        <v>42</v>
      </c>
      <c r="AB571" s="1" t="s">
        <v>42</v>
      </c>
      <c r="AC571" s="1" t="s">
        <v>42</v>
      </c>
      <c r="AD571" s="1" t="s">
        <v>42</v>
      </c>
      <c r="AE571" s="1" t="s">
        <v>788</v>
      </c>
      <c r="AF571" s="1"/>
      <c r="AG571" s="2" t="s">
        <v>42</v>
      </c>
      <c r="AH571" s="1"/>
      <c r="AI571" s="1" t="s">
        <v>42</v>
      </c>
      <c r="AJ571" s="1"/>
      <c r="AK571" s="2" t="s">
        <v>42</v>
      </c>
      <c r="AL571" s="1" t="s">
        <v>3507</v>
      </c>
    </row>
    <row r="572" spans="1:38" ht="20.100000000000001" customHeight="1" x14ac:dyDescent="0.2">
      <c r="A572" s="3">
        <f t="shared" si="16"/>
        <v>569</v>
      </c>
      <c r="B572" s="1" t="s">
        <v>2650</v>
      </c>
      <c r="C572" s="1" t="s">
        <v>2651</v>
      </c>
      <c r="D572" s="1" t="s">
        <v>38</v>
      </c>
      <c r="E572" s="1" t="s">
        <v>54</v>
      </c>
      <c r="F572" s="1" t="s">
        <v>55</v>
      </c>
      <c r="G572" s="1" t="s">
        <v>2652</v>
      </c>
      <c r="H572" s="2">
        <v>45530</v>
      </c>
      <c r="I572" s="2">
        <v>36568</v>
      </c>
      <c r="J572" s="7">
        <f t="shared" ca="1" si="17"/>
        <v>23.726027397260275</v>
      </c>
      <c r="K572" s="1" t="s">
        <v>133</v>
      </c>
      <c r="L572" s="1" t="s">
        <v>134</v>
      </c>
      <c r="M572" s="2">
        <v>45181</v>
      </c>
      <c r="N572" s="1">
        <v>2</v>
      </c>
      <c r="O572" s="2" t="s">
        <v>42</v>
      </c>
      <c r="P572" s="1" t="s">
        <v>44</v>
      </c>
      <c r="Q572" s="1" t="s">
        <v>154</v>
      </c>
      <c r="R572" s="1" t="s">
        <v>42</v>
      </c>
      <c r="S572" s="1"/>
      <c r="T572" s="1" t="s">
        <v>42</v>
      </c>
      <c r="U572" s="2" t="s">
        <v>42</v>
      </c>
      <c r="V572" s="2" t="s">
        <v>42</v>
      </c>
      <c r="W572" s="2" t="s">
        <v>42</v>
      </c>
      <c r="X572" s="1" t="s">
        <v>42</v>
      </c>
      <c r="Y572" s="2" t="s">
        <v>42</v>
      </c>
      <c r="Z572" s="1" t="s">
        <v>2653</v>
      </c>
      <c r="AA572" s="1" t="s">
        <v>2654</v>
      </c>
      <c r="AB572" s="1" t="s">
        <v>42</v>
      </c>
      <c r="AC572" s="1" t="s">
        <v>42</v>
      </c>
      <c r="AD572" s="1" t="s">
        <v>42</v>
      </c>
      <c r="AE572" s="1" t="s">
        <v>788</v>
      </c>
      <c r="AF572" s="1"/>
      <c r="AG572" s="2" t="s">
        <v>42</v>
      </c>
      <c r="AH572" s="1"/>
      <c r="AI572" s="1" t="s">
        <v>42</v>
      </c>
      <c r="AJ572" s="1"/>
      <c r="AK572" s="2" t="s">
        <v>42</v>
      </c>
      <c r="AL572" s="1" t="s">
        <v>42</v>
      </c>
    </row>
    <row r="573" spans="1:38" ht="20.100000000000001" customHeight="1" x14ac:dyDescent="0.2">
      <c r="A573" s="3">
        <f t="shared" si="16"/>
        <v>570</v>
      </c>
      <c r="B573" s="1" t="s">
        <v>2655</v>
      </c>
      <c r="C573" s="1" t="s">
        <v>2581</v>
      </c>
      <c r="D573" s="1" t="s">
        <v>38</v>
      </c>
      <c r="E573" s="1" t="s">
        <v>54</v>
      </c>
      <c r="F573" s="1" t="s">
        <v>55</v>
      </c>
      <c r="G573" s="1" t="s">
        <v>2656</v>
      </c>
      <c r="H573" s="2" t="s">
        <v>42</v>
      </c>
      <c r="I573" s="2">
        <v>36656</v>
      </c>
      <c r="J573" s="7">
        <f t="shared" ca="1" si="17"/>
        <v>23.484931506849314</v>
      </c>
      <c r="K573" s="1" t="s">
        <v>133</v>
      </c>
      <c r="L573" s="1" t="s">
        <v>134</v>
      </c>
      <c r="M573" s="2">
        <v>45181</v>
      </c>
      <c r="N573" s="1">
        <v>2</v>
      </c>
      <c r="O573" s="2" t="s">
        <v>42</v>
      </c>
      <c r="P573" s="1" t="s">
        <v>44</v>
      </c>
      <c r="Q573" s="1" t="s">
        <v>466</v>
      </c>
      <c r="R573" s="1" t="s">
        <v>60</v>
      </c>
      <c r="S573" s="1" t="s">
        <v>156</v>
      </c>
      <c r="T573" s="1" t="s">
        <v>42</v>
      </c>
      <c r="U573" s="2" t="s">
        <v>42</v>
      </c>
      <c r="V573" s="2" t="s">
        <v>42</v>
      </c>
      <c r="W573" s="2" t="s">
        <v>42</v>
      </c>
      <c r="X573" s="1" t="s">
        <v>42</v>
      </c>
      <c r="Y573" s="2" t="s">
        <v>42</v>
      </c>
      <c r="Z573" s="1" t="s">
        <v>2657</v>
      </c>
      <c r="AA573" s="1" t="s">
        <v>42</v>
      </c>
      <c r="AB573" s="1" t="s">
        <v>42</v>
      </c>
      <c r="AC573" s="1" t="s">
        <v>42</v>
      </c>
      <c r="AD573" s="1"/>
      <c r="AE573" s="1" t="s">
        <v>42</v>
      </c>
      <c r="AF573" s="1" t="s">
        <v>66</v>
      </c>
      <c r="AG573" s="2" t="s">
        <v>42</v>
      </c>
      <c r="AH573" s="1"/>
      <c r="AI573" s="1" t="s">
        <v>42</v>
      </c>
      <c r="AJ573" s="1"/>
      <c r="AK573" s="2" t="s">
        <v>42</v>
      </c>
      <c r="AL573" s="1" t="s">
        <v>42</v>
      </c>
    </row>
    <row r="574" spans="1:38" ht="20.100000000000001" customHeight="1" x14ac:dyDescent="0.2">
      <c r="A574" s="3">
        <f t="shared" si="16"/>
        <v>571</v>
      </c>
      <c r="B574" s="1" t="s">
        <v>2658</v>
      </c>
      <c r="C574" s="1" t="s">
        <v>2659</v>
      </c>
      <c r="D574" s="1" t="s">
        <v>38</v>
      </c>
      <c r="E574" s="1" t="s">
        <v>54</v>
      </c>
      <c r="F574" s="1" t="s">
        <v>55</v>
      </c>
      <c r="G574" s="1" t="s">
        <v>2660</v>
      </c>
      <c r="H574" s="2">
        <v>45241</v>
      </c>
      <c r="I574" s="2">
        <v>36227</v>
      </c>
      <c r="J574" s="7">
        <f t="shared" ca="1" si="17"/>
        <v>24.660273972602738</v>
      </c>
      <c r="K574" s="1" t="s">
        <v>133</v>
      </c>
      <c r="L574" s="1" t="s">
        <v>134</v>
      </c>
      <c r="M574" s="2">
        <v>45181</v>
      </c>
      <c r="N574" s="1">
        <v>2</v>
      </c>
      <c r="O574" s="2" t="s">
        <v>42</v>
      </c>
      <c r="P574" s="1" t="s">
        <v>44</v>
      </c>
      <c r="Q574" s="1" t="s">
        <v>1309</v>
      </c>
      <c r="R574" s="1" t="s">
        <v>60</v>
      </c>
      <c r="S574" s="1"/>
      <c r="T574" s="1" t="s">
        <v>42</v>
      </c>
      <c r="U574" s="2" t="s">
        <v>42</v>
      </c>
      <c r="V574" s="2" t="s">
        <v>42</v>
      </c>
      <c r="W574" s="2" t="s">
        <v>42</v>
      </c>
      <c r="X574" s="1" t="s">
        <v>42</v>
      </c>
      <c r="Y574" s="2" t="s">
        <v>42</v>
      </c>
      <c r="Z574" s="1" t="s">
        <v>2661</v>
      </c>
      <c r="AA574" s="1" t="s">
        <v>2662</v>
      </c>
      <c r="AB574" s="1" t="s">
        <v>42</v>
      </c>
      <c r="AC574" s="1" t="s">
        <v>42</v>
      </c>
      <c r="AD574" s="1" t="s">
        <v>42</v>
      </c>
      <c r="AE574" s="1" t="s">
        <v>788</v>
      </c>
      <c r="AF574" s="1" t="s">
        <v>436</v>
      </c>
      <c r="AG574" s="2" t="s">
        <v>42</v>
      </c>
      <c r="AH574" s="1"/>
      <c r="AI574" s="1" t="s">
        <v>42</v>
      </c>
      <c r="AJ574" s="1"/>
      <c r="AK574" s="2" t="s">
        <v>42</v>
      </c>
      <c r="AL574" s="1" t="s">
        <v>42</v>
      </c>
    </row>
    <row r="575" spans="1:38" ht="20.100000000000001" customHeight="1" x14ac:dyDescent="0.2">
      <c r="A575" s="3">
        <f t="shared" si="16"/>
        <v>572</v>
      </c>
      <c r="B575" s="1" t="s">
        <v>2663</v>
      </c>
      <c r="C575" s="1" t="s">
        <v>2664</v>
      </c>
      <c r="D575" s="1" t="s">
        <v>38</v>
      </c>
      <c r="E575" s="1" t="s">
        <v>54</v>
      </c>
      <c r="F575" s="1" t="s">
        <v>55</v>
      </c>
      <c r="G575" s="1" t="s">
        <v>2665</v>
      </c>
      <c r="H575" s="2">
        <v>45259</v>
      </c>
      <c r="I575" s="2">
        <v>35796</v>
      </c>
      <c r="J575" s="7">
        <f t="shared" ca="1" si="17"/>
        <v>25.841095890410958</v>
      </c>
      <c r="K575" s="1" t="s">
        <v>133</v>
      </c>
      <c r="L575" s="1" t="s">
        <v>134</v>
      </c>
      <c r="M575" s="2">
        <v>45181</v>
      </c>
      <c r="N575" s="1">
        <v>2</v>
      </c>
      <c r="O575" s="2" t="s">
        <v>42</v>
      </c>
      <c r="P575" s="1" t="s">
        <v>44</v>
      </c>
      <c r="Q575" s="1" t="s">
        <v>1309</v>
      </c>
      <c r="R575" s="1" t="s">
        <v>42</v>
      </c>
      <c r="S575" s="1"/>
      <c r="T575" s="1" t="s">
        <v>42</v>
      </c>
      <c r="U575" s="2" t="s">
        <v>42</v>
      </c>
      <c r="V575" s="2" t="s">
        <v>42</v>
      </c>
      <c r="W575" s="2" t="s">
        <v>42</v>
      </c>
      <c r="X575" s="1" t="s">
        <v>42</v>
      </c>
      <c r="Y575" s="2" t="s">
        <v>42</v>
      </c>
      <c r="Z575" s="1" t="s">
        <v>2666</v>
      </c>
      <c r="AA575" s="1" t="s">
        <v>42</v>
      </c>
      <c r="AB575" s="1" t="s">
        <v>2667</v>
      </c>
      <c r="AC575" s="1" t="s">
        <v>42</v>
      </c>
      <c r="AD575" s="1" t="s">
        <v>42</v>
      </c>
      <c r="AE575" s="1" t="s">
        <v>788</v>
      </c>
      <c r="AF575" s="1" t="s">
        <v>436</v>
      </c>
      <c r="AG575" s="2" t="s">
        <v>42</v>
      </c>
      <c r="AH575" s="1"/>
      <c r="AI575" s="1" t="s">
        <v>42</v>
      </c>
      <c r="AJ575" s="1"/>
      <c r="AK575" s="2" t="s">
        <v>42</v>
      </c>
      <c r="AL575" s="1" t="s">
        <v>42</v>
      </c>
    </row>
    <row r="576" spans="1:38" ht="20.100000000000001" customHeight="1" x14ac:dyDescent="0.2">
      <c r="A576" s="3">
        <f t="shared" si="16"/>
        <v>573</v>
      </c>
      <c r="B576" s="1" t="s">
        <v>2668</v>
      </c>
      <c r="C576" s="1" t="s">
        <v>2669</v>
      </c>
      <c r="D576" s="1" t="s">
        <v>38</v>
      </c>
      <c r="E576" s="1" t="s">
        <v>54</v>
      </c>
      <c r="F576" s="1" t="s">
        <v>55</v>
      </c>
      <c r="G576" s="1" t="s">
        <v>42</v>
      </c>
      <c r="H576" s="2" t="s">
        <v>42</v>
      </c>
      <c r="I576" s="2">
        <v>37319</v>
      </c>
      <c r="J576" s="7">
        <f t="shared" ca="1" si="17"/>
        <v>21.668493150684931</v>
      </c>
      <c r="K576" s="1" t="s">
        <v>133</v>
      </c>
      <c r="L576" s="1" t="s">
        <v>134</v>
      </c>
      <c r="M576" s="2">
        <v>45181</v>
      </c>
      <c r="N576" s="1">
        <v>2</v>
      </c>
      <c r="O576" s="2" t="s">
        <v>42</v>
      </c>
      <c r="P576" s="1" t="s">
        <v>44</v>
      </c>
      <c r="Q576" s="1" t="s">
        <v>1309</v>
      </c>
      <c r="R576" s="1" t="s">
        <v>60</v>
      </c>
      <c r="S576" s="1" t="s">
        <v>47</v>
      </c>
      <c r="T576" s="1" t="s">
        <v>42</v>
      </c>
      <c r="U576" s="2">
        <v>45181</v>
      </c>
      <c r="V576" s="2" t="s">
        <v>42</v>
      </c>
      <c r="W576" s="2" t="s">
        <v>42</v>
      </c>
      <c r="X576" s="1" t="s">
        <v>42</v>
      </c>
      <c r="Y576" s="2" t="s">
        <v>42</v>
      </c>
      <c r="Z576" s="1" t="s">
        <v>2670</v>
      </c>
      <c r="AA576" s="1" t="s">
        <v>2671</v>
      </c>
      <c r="AB576" s="1" t="s">
        <v>2672</v>
      </c>
      <c r="AC576" s="1" t="s">
        <v>42</v>
      </c>
      <c r="AD576" s="1" t="s">
        <v>42</v>
      </c>
      <c r="AE576" s="1" t="s">
        <v>788</v>
      </c>
      <c r="AF576" s="1" t="s">
        <v>436</v>
      </c>
      <c r="AG576" s="2" t="s">
        <v>42</v>
      </c>
      <c r="AH576" s="1"/>
      <c r="AI576" s="1" t="s">
        <v>42</v>
      </c>
      <c r="AJ576" s="1"/>
      <c r="AK576" s="2" t="s">
        <v>42</v>
      </c>
      <c r="AL576" s="1" t="s">
        <v>42</v>
      </c>
    </row>
    <row r="577" spans="1:38" ht="20.100000000000001" customHeight="1" x14ac:dyDescent="0.2">
      <c r="A577" s="3">
        <f t="shared" si="16"/>
        <v>574</v>
      </c>
      <c r="B577" s="1" t="s">
        <v>2673</v>
      </c>
      <c r="C577" s="1" t="s">
        <v>2674</v>
      </c>
      <c r="D577" s="1" t="s">
        <v>38</v>
      </c>
      <c r="E577" s="1" t="s">
        <v>39</v>
      </c>
      <c r="F577" s="1" t="s">
        <v>40</v>
      </c>
      <c r="G577" s="1" t="s">
        <v>2675</v>
      </c>
      <c r="H577" s="2">
        <v>45990</v>
      </c>
      <c r="I577" s="2">
        <v>38561</v>
      </c>
      <c r="J577" s="7">
        <f t="shared" ca="1" si="17"/>
        <v>18.265753424657536</v>
      </c>
      <c r="K577" s="1" t="s">
        <v>42</v>
      </c>
      <c r="L577" s="1" t="s">
        <v>211</v>
      </c>
      <c r="M577" s="2">
        <v>45207</v>
      </c>
      <c r="N577" s="1">
        <v>2</v>
      </c>
      <c r="O577" s="2">
        <v>45207</v>
      </c>
      <c r="P577" s="1" t="s">
        <v>44</v>
      </c>
      <c r="Q577" s="1" t="s">
        <v>2143</v>
      </c>
      <c r="R577" s="1" t="s">
        <v>60</v>
      </c>
      <c r="S577" s="1" t="s">
        <v>47</v>
      </c>
      <c r="T577" s="1">
        <v>8</v>
      </c>
      <c r="U577" s="2">
        <v>45207</v>
      </c>
      <c r="V577" s="2">
        <v>45572</v>
      </c>
      <c r="W577" s="2" t="s">
        <v>42</v>
      </c>
      <c r="X577" s="1" t="s">
        <v>42</v>
      </c>
      <c r="Y577" s="2" t="s">
        <v>42</v>
      </c>
      <c r="Z577" s="1" t="s">
        <v>2676</v>
      </c>
      <c r="AA577" s="1" t="s">
        <v>2677</v>
      </c>
      <c r="AB577" s="1" t="s">
        <v>2678</v>
      </c>
      <c r="AC577" s="1" t="s">
        <v>42</v>
      </c>
      <c r="AD577" s="1">
        <v>7034664628</v>
      </c>
      <c r="AE577" s="1" t="s">
        <v>443</v>
      </c>
      <c r="AF577" s="1" t="s">
        <v>66</v>
      </c>
      <c r="AG577" s="2" t="s">
        <v>42</v>
      </c>
      <c r="AH577" s="1"/>
      <c r="AI577" s="1" t="s">
        <v>42</v>
      </c>
      <c r="AJ577" s="1"/>
      <c r="AK577" s="2" t="s">
        <v>42</v>
      </c>
      <c r="AL577" s="1" t="s">
        <v>3507</v>
      </c>
    </row>
    <row r="578" spans="1:38" ht="20.100000000000001" customHeight="1" x14ac:dyDescent="0.2">
      <c r="A578" s="3">
        <f t="shared" si="16"/>
        <v>575</v>
      </c>
      <c r="B578" s="1" t="s">
        <v>2679</v>
      </c>
      <c r="C578" s="1" t="s">
        <v>2680</v>
      </c>
      <c r="D578" s="1" t="s">
        <v>38</v>
      </c>
      <c r="E578" s="1" t="s">
        <v>39</v>
      </c>
      <c r="F578" s="1" t="s">
        <v>40</v>
      </c>
      <c r="G578" s="1" t="s">
        <v>2681</v>
      </c>
      <c r="H578" s="2">
        <v>46772</v>
      </c>
      <c r="I578" s="2">
        <v>37894</v>
      </c>
      <c r="J578" s="7">
        <f t="shared" ca="1" si="17"/>
        <v>20.093150684931508</v>
      </c>
      <c r="K578" s="1" t="s">
        <v>42</v>
      </c>
      <c r="L578" s="1" t="s">
        <v>211</v>
      </c>
      <c r="M578" s="2">
        <v>45207</v>
      </c>
      <c r="N578" s="1">
        <v>2</v>
      </c>
      <c r="O578" s="2">
        <v>45207</v>
      </c>
      <c r="P578" s="1" t="s">
        <v>44</v>
      </c>
      <c r="Q578" s="1" t="s">
        <v>2143</v>
      </c>
      <c r="R578" s="1" t="s">
        <v>60</v>
      </c>
      <c r="S578" s="1" t="s">
        <v>47</v>
      </c>
      <c r="T578" s="1">
        <v>8</v>
      </c>
      <c r="U578" s="2">
        <v>45207</v>
      </c>
      <c r="V578" s="2">
        <v>45572</v>
      </c>
      <c r="W578" s="2" t="s">
        <v>42</v>
      </c>
      <c r="X578" s="1" t="s">
        <v>42</v>
      </c>
      <c r="Y578" s="2" t="s">
        <v>42</v>
      </c>
      <c r="Z578" s="1" t="s">
        <v>2682</v>
      </c>
      <c r="AA578" s="1" t="s">
        <v>42</v>
      </c>
      <c r="AB578" s="1" t="s">
        <v>2683</v>
      </c>
      <c r="AC578" s="1" t="s">
        <v>129</v>
      </c>
      <c r="AD578" s="1">
        <v>7034664628</v>
      </c>
      <c r="AE578" s="1" t="s">
        <v>443</v>
      </c>
      <c r="AF578" s="1" t="s">
        <v>66</v>
      </c>
      <c r="AG578" s="2" t="s">
        <v>42</v>
      </c>
      <c r="AH578" s="1"/>
      <c r="AI578" s="1" t="s">
        <v>42</v>
      </c>
      <c r="AJ578" s="1"/>
      <c r="AK578" s="2" t="s">
        <v>42</v>
      </c>
      <c r="AL578" s="1" t="s">
        <v>3507</v>
      </c>
    </row>
    <row r="579" spans="1:38" ht="20.100000000000001" customHeight="1" x14ac:dyDescent="0.2">
      <c r="A579" s="3">
        <f t="shared" si="16"/>
        <v>576</v>
      </c>
      <c r="B579" s="1" t="s">
        <v>2684</v>
      </c>
      <c r="C579" s="1" t="s">
        <v>2685</v>
      </c>
      <c r="D579" s="1" t="s">
        <v>38</v>
      </c>
      <c r="E579" s="1" t="s">
        <v>39</v>
      </c>
      <c r="F579" s="1" t="s">
        <v>40</v>
      </c>
      <c r="G579" s="1" t="s">
        <v>2686</v>
      </c>
      <c r="H579" s="2" t="s">
        <v>42</v>
      </c>
      <c r="I579" s="2" t="s">
        <v>42</v>
      </c>
      <c r="J579" s="7"/>
      <c r="K579" s="1" t="s">
        <v>42</v>
      </c>
      <c r="L579" s="1" t="s">
        <v>211</v>
      </c>
      <c r="M579" s="2">
        <v>45207</v>
      </c>
      <c r="N579" s="1">
        <v>2</v>
      </c>
      <c r="O579" s="2">
        <v>45207</v>
      </c>
      <c r="P579" s="1" t="s">
        <v>44</v>
      </c>
      <c r="Q579" s="1" t="s">
        <v>2143</v>
      </c>
      <c r="R579" s="1" t="s">
        <v>60</v>
      </c>
      <c r="S579" s="1" t="s">
        <v>47</v>
      </c>
      <c r="T579" s="1">
        <v>8</v>
      </c>
      <c r="U579" s="2">
        <v>45207</v>
      </c>
      <c r="V579" s="2">
        <v>45572</v>
      </c>
      <c r="W579" s="2" t="s">
        <v>42</v>
      </c>
      <c r="X579" s="1" t="s">
        <v>42</v>
      </c>
      <c r="Y579" s="2" t="s">
        <v>42</v>
      </c>
      <c r="Z579" s="1" t="s">
        <v>2687</v>
      </c>
      <c r="AA579" s="1" t="s">
        <v>42</v>
      </c>
      <c r="AB579" s="1" t="s">
        <v>2688</v>
      </c>
      <c r="AC579" s="1" t="s">
        <v>129</v>
      </c>
      <c r="AD579" s="1">
        <v>7034664628</v>
      </c>
      <c r="AE579" s="1" t="s">
        <v>443</v>
      </c>
      <c r="AF579" s="1" t="s">
        <v>66</v>
      </c>
      <c r="AG579" s="2" t="s">
        <v>42</v>
      </c>
      <c r="AH579" s="1"/>
      <c r="AI579" s="1" t="s">
        <v>42</v>
      </c>
      <c r="AJ579" s="1"/>
      <c r="AK579" s="2" t="s">
        <v>42</v>
      </c>
      <c r="AL579" s="1" t="s">
        <v>3507</v>
      </c>
    </row>
    <row r="580" spans="1:38" ht="20.100000000000001" customHeight="1" x14ac:dyDescent="0.2">
      <c r="A580" s="3">
        <f t="shared" ref="A580:A605" si="18">ROW()-3</f>
        <v>577</v>
      </c>
      <c r="B580" s="1" t="s">
        <v>2689</v>
      </c>
      <c r="C580" s="1" t="s">
        <v>2690</v>
      </c>
      <c r="D580" s="1" t="s">
        <v>38</v>
      </c>
      <c r="E580" s="1" t="s">
        <v>39</v>
      </c>
      <c r="F580" s="1" t="s">
        <v>40</v>
      </c>
      <c r="G580" s="1" t="s">
        <v>2691</v>
      </c>
      <c r="H580" s="2" t="s">
        <v>42</v>
      </c>
      <c r="I580" s="2" t="s">
        <v>42</v>
      </c>
      <c r="J580" s="7"/>
      <c r="K580" s="1" t="s">
        <v>42</v>
      </c>
      <c r="L580" s="1" t="s">
        <v>2090</v>
      </c>
      <c r="M580" s="2">
        <v>45174</v>
      </c>
      <c r="N580" s="1">
        <v>2</v>
      </c>
      <c r="O580" s="2">
        <v>45174</v>
      </c>
      <c r="P580" s="1" t="s">
        <v>44</v>
      </c>
      <c r="Q580" s="1" t="s">
        <v>45</v>
      </c>
      <c r="R580" s="1" t="s">
        <v>179</v>
      </c>
      <c r="S580" s="1" t="s">
        <v>754</v>
      </c>
      <c r="T580" s="1" t="s">
        <v>42</v>
      </c>
      <c r="U580" s="2" t="s">
        <v>42</v>
      </c>
      <c r="V580" s="2" t="s">
        <v>42</v>
      </c>
      <c r="W580" s="2" t="s">
        <v>42</v>
      </c>
      <c r="X580" s="1" t="s">
        <v>42</v>
      </c>
      <c r="Y580" s="2" t="s">
        <v>42</v>
      </c>
      <c r="Z580" s="1" t="s">
        <v>42</v>
      </c>
      <c r="AA580" s="1" t="s">
        <v>42</v>
      </c>
      <c r="AB580" s="1" t="s">
        <v>2692</v>
      </c>
      <c r="AC580" s="1" t="s">
        <v>129</v>
      </c>
      <c r="AD580" s="1" t="s">
        <v>42</v>
      </c>
      <c r="AE580" s="1" t="s">
        <v>788</v>
      </c>
      <c r="AF580" s="1"/>
      <c r="AG580" s="2" t="s">
        <v>42</v>
      </c>
      <c r="AH580" s="1"/>
      <c r="AI580" s="1" t="s">
        <v>42</v>
      </c>
      <c r="AJ580" s="1"/>
      <c r="AK580" s="2" t="s">
        <v>42</v>
      </c>
      <c r="AL580" s="1" t="s">
        <v>3507</v>
      </c>
    </row>
    <row r="581" spans="1:38" ht="20.100000000000001" customHeight="1" x14ac:dyDescent="0.2">
      <c r="A581" s="3">
        <f t="shared" si="18"/>
        <v>578</v>
      </c>
      <c r="B581" s="1" t="s">
        <v>2693</v>
      </c>
      <c r="C581" s="1" t="s">
        <v>2694</v>
      </c>
      <c r="D581" s="1" t="s">
        <v>121</v>
      </c>
      <c r="E581" s="1" t="s">
        <v>39</v>
      </c>
      <c r="F581" s="1" t="s">
        <v>40</v>
      </c>
      <c r="G581" s="1" t="s">
        <v>2695</v>
      </c>
      <c r="H581" s="2" t="s">
        <v>42</v>
      </c>
      <c r="I581" s="2" t="s">
        <v>42</v>
      </c>
      <c r="J581" s="7"/>
      <c r="K581" s="1" t="s">
        <v>42</v>
      </c>
      <c r="L581" s="1" t="s">
        <v>2124</v>
      </c>
      <c r="M581" s="2">
        <v>45208</v>
      </c>
      <c r="N581" s="1">
        <v>2</v>
      </c>
      <c r="O581" s="2">
        <v>45208</v>
      </c>
      <c r="P581" s="1" t="s">
        <v>44</v>
      </c>
      <c r="Q581" s="1" t="s">
        <v>408</v>
      </c>
      <c r="R581" s="1" t="s">
        <v>179</v>
      </c>
      <c r="S581" s="1" t="s">
        <v>125</v>
      </c>
      <c r="T581" s="1" t="s">
        <v>42</v>
      </c>
      <c r="U581" s="2">
        <v>45208</v>
      </c>
      <c r="V581" s="2">
        <v>45573</v>
      </c>
      <c r="W581" s="2" t="s">
        <v>42</v>
      </c>
      <c r="X581" s="1" t="s">
        <v>42</v>
      </c>
      <c r="Y581" s="2" t="s">
        <v>42</v>
      </c>
      <c r="Z581" s="1" t="s">
        <v>2696</v>
      </c>
      <c r="AA581" s="1" t="s">
        <v>2697</v>
      </c>
      <c r="AB581" s="1" t="s">
        <v>2698</v>
      </c>
      <c r="AC581" s="1" t="s">
        <v>129</v>
      </c>
      <c r="AD581" s="1">
        <v>7009073037</v>
      </c>
      <c r="AE581" s="1" t="s">
        <v>103</v>
      </c>
      <c r="AF581" s="1"/>
      <c r="AG581" s="2" t="s">
        <v>42</v>
      </c>
      <c r="AH581" s="1"/>
      <c r="AI581" s="1" t="s">
        <v>42</v>
      </c>
      <c r="AJ581" s="1"/>
      <c r="AK581" s="2" t="s">
        <v>42</v>
      </c>
      <c r="AL581" s="1" t="s">
        <v>42</v>
      </c>
    </row>
    <row r="582" spans="1:38" ht="20.100000000000001" customHeight="1" x14ac:dyDescent="0.2">
      <c r="A582" s="3">
        <f t="shared" si="18"/>
        <v>579</v>
      </c>
      <c r="B582" s="1" t="s">
        <v>2699</v>
      </c>
      <c r="C582" s="1" t="s">
        <v>2700</v>
      </c>
      <c r="D582" s="1" t="s">
        <v>121</v>
      </c>
      <c r="E582" s="1" t="s">
        <v>39</v>
      </c>
      <c r="F582" s="1" t="s">
        <v>40</v>
      </c>
      <c r="G582" s="1" t="s">
        <v>2701</v>
      </c>
      <c r="H582" s="2" t="s">
        <v>42</v>
      </c>
      <c r="I582" s="2" t="s">
        <v>42</v>
      </c>
      <c r="J582" s="7"/>
      <c r="K582" s="1" t="s">
        <v>42</v>
      </c>
      <c r="L582" s="1" t="s">
        <v>2124</v>
      </c>
      <c r="M582" s="2">
        <v>45208</v>
      </c>
      <c r="N582" s="1">
        <v>2</v>
      </c>
      <c r="O582" s="2">
        <v>45208</v>
      </c>
      <c r="P582" s="1" t="s">
        <v>44</v>
      </c>
      <c r="Q582" s="1" t="s">
        <v>408</v>
      </c>
      <c r="R582" s="1" t="s">
        <v>179</v>
      </c>
      <c r="S582" s="1" t="s">
        <v>125</v>
      </c>
      <c r="T582" s="1" t="s">
        <v>42</v>
      </c>
      <c r="U582" s="2">
        <v>45208</v>
      </c>
      <c r="V582" s="2">
        <v>45573</v>
      </c>
      <c r="W582" s="2" t="s">
        <v>42</v>
      </c>
      <c r="X582" s="1" t="s">
        <v>42</v>
      </c>
      <c r="Y582" s="2" t="s">
        <v>42</v>
      </c>
      <c r="Z582" s="1" t="s">
        <v>2702</v>
      </c>
      <c r="AA582" s="1" t="s">
        <v>2703</v>
      </c>
      <c r="AB582" s="1" t="s">
        <v>2704</v>
      </c>
      <c r="AC582" s="1" t="s">
        <v>129</v>
      </c>
      <c r="AD582" s="1">
        <v>7014477116</v>
      </c>
      <c r="AE582" s="1" t="s">
        <v>65</v>
      </c>
      <c r="AF582" s="1"/>
      <c r="AG582" s="2" t="s">
        <v>42</v>
      </c>
      <c r="AH582" s="1"/>
      <c r="AI582" s="1" t="s">
        <v>42</v>
      </c>
      <c r="AJ582" s="1"/>
      <c r="AK582" s="2" t="s">
        <v>42</v>
      </c>
      <c r="AL582" s="1" t="s">
        <v>42</v>
      </c>
    </row>
    <row r="583" spans="1:38" ht="20.100000000000001" customHeight="1" x14ac:dyDescent="0.2">
      <c r="A583" s="3">
        <f t="shared" si="18"/>
        <v>580</v>
      </c>
      <c r="B583" s="1" t="s">
        <v>2705</v>
      </c>
      <c r="C583" s="1" t="s">
        <v>2706</v>
      </c>
      <c r="D583" s="1" t="s">
        <v>121</v>
      </c>
      <c r="E583" s="1" t="s">
        <v>39</v>
      </c>
      <c r="F583" s="1" t="s">
        <v>40</v>
      </c>
      <c r="G583" s="1" t="s">
        <v>2707</v>
      </c>
      <c r="H583" s="2">
        <v>46587</v>
      </c>
      <c r="I583" s="2">
        <v>34726</v>
      </c>
      <c r="J583" s="7">
        <f t="shared" ref="J583:J605" ca="1" si="19">($H$1-I583)/365</f>
        <v>28.772602739726029</v>
      </c>
      <c r="K583" s="1" t="s">
        <v>42</v>
      </c>
      <c r="L583" s="1" t="s">
        <v>2124</v>
      </c>
      <c r="M583" s="2">
        <v>45208</v>
      </c>
      <c r="N583" s="1">
        <v>2</v>
      </c>
      <c r="O583" s="2">
        <v>45208</v>
      </c>
      <c r="P583" s="1" t="s">
        <v>44</v>
      </c>
      <c r="Q583" s="1" t="s">
        <v>408</v>
      </c>
      <c r="R583" s="1" t="s">
        <v>179</v>
      </c>
      <c r="S583" s="1" t="s">
        <v>125</v>
      </c>
      <c r="T583" s="1" t="s">
        <v>42</v>
      </c>
      <c r="U583" s="2">
        <v>45208</v>
      </c>
      <c r="V583" s="2">
        <v>45573</v>
      </c>
      <c r="W583" s="2" t="s">
        <v>42</v>
      </c>
      <c r="X583" s="1" t="s">
        <v>42</v>
      </c>
      <c r="Y583" s="2" t="s">
        <v>42</v>
      </c>
      <c r="Z583" s="1" t="s">
        <v>42</v>
      </c>
      <c r="AA583" s="1" t="s">
        <v>42</v>
      </c>
      <c r="AB583" s="1" t="s">
        <v>2708</v>
      </c>
      <c r="AC583" s="1" t="s">
        <v>617</v>
      </c>
      <c r="AD583" s="1"/>
      <c r="AE583" s="1" t="s">
        <v>1475</v>
      </c>
      <c r="AF583" s="1" t="s">
        <v>436</v>
      </c>
      <c r="AG583" s="2" t="s">
        <v>42</v>
      </c>
      <c r="AH583" s="1"/>
      <c r="AI583" s="1" t="s">
        <v>42</v>
      </c>
      <c r="AJ583" s="1"/>
      <c r="AK583" s="2" t="s">
        <v>42</v>
      </c>
      <c r="AL583" s="1" t="s">
        <v>42</v>
      </c>
    </row>
    <row r="584" spans="1:38" ht="20.100000000000001" customHeight="1" x14ac:dyDescent="0.2">
      <c r="A584" s="3">
        <f t="shared" si="18"/>
        <v>581</v>
      </c>
      <c r="B584" s="1" t="s">
        <v>2709</v>
      </c>
      <c r="C584" s="1" t="s">
        <v>2710</v>
      </c>
      <c r="D584" s="1" t="s">
        <v>38</v>
      </c>
      <c r="E584" s="1" t="s">
        <v>54</v>
      </c>
      <c r="F584" s="1" t="s">
        <v>55</v>
      </c>
      <c r="G584" s="1" t="s">
        <v>598</v>
      </c>
      <c r="H584" s="2" t="s">
        <v>42</v>
      </c>
      <c r="I584" s="2" t="s">
        <v>42</v>
      </c>
      <c r="J584" s="7"/>
      <c r="K584" s="1" t="s">
        <v>134</v>
      </c>
      <c r="L584" s="1" t="s">
        <v>134</v>
      </c>
      <c r="M584" s="2">
        <v>45209</v>
      </c>
      <c r="N584" s="1">
        <v>2</v>
      </c>
      <c r="O584" s="2" t="s">
        <v>42</v>
      </c>
      <c r="P584" s="1" t="s">
        <v>44</v>
      </c>
      <c r="Q584" s="1" t="s">
        <v>142</v>
      </c>
      <c r="R584" s="1" t="s">
        <v>42</v>
      </c>
      <c r="S584" s="1" t="s">
        <v>47</v>
      </c>
      <c r="T584" s="1" t="s">
        <v>42</v>
      </c>
      <c r="U584" s="2">
        <v>45209</v>
      </c>
      <c r="V584" s="2" t="s">
        <v>42</v>
      </c>
      <c r="W584" s="2" t="s">
        <v>42</v>
      </c>
      <c r="X584" s="1" t="s">
        <v>42</v>
      </c>
      <c r="Y584" s="2" t="s">
        <v>42</v>
      </c>
      <c r="Z584" s="1" t="s">
        <v>2711</v>
      </c>
      <c r="AA584" s="1" t="s">
        <v>42</v>
      </c>
      <c r="AB584" s="1" t="s">
        <v>42</v>
      </c>
      <c r="AC584" s="1" t="s">
        <v>42</v>
      </c>
      <c r="AD584" s="1">
        <v>7009073037</v>
      </c>
      <c r="AE584" s="1" t="s">
        <v>42</v>
      </c>
      <c r="AF584" s="1"/>
      <c r="AG584" s="2" t="s">
        <v>42</v>
      </c>
      <c r="AH584" s="1"/>
      <c r="AI584" s="1" t="s">
        <v>42</v>
      </c>
      <c r="AJ584" s="1"/>
      <c r="AK584" s="2" t="s">
        <v>42</v>
      </c>
      <c r="AL584" s="1" t="s">
        <v>42</v>
      </c>
    </row>
    <row r="585" spans="1:38" ht="20.100000000000001" customHeight="1" x14ac:dyDescent="0.2">
      <c r="A585" s="3">
        <f t="shared" si="18"/>
        <v>582</v>
      </c>
      <c r="B585" s="1" t="s">
        <v>2712</v>
      </c>
      <c r="C585" s="1" t="s">
        <v>2713</v>
      </c>
      <c r="D585" s="1" t="s">
        <v>121</v>
      </c>
      <c r="E585" s="1" t="s">
        <v>39</v>
      </c>
      <c r="F585" s="1" t="s">
        <v>40</v>
      </c>
      <c r="G585" s="1" t="s">
        <v>2714</v>
      </c>
      <c r="H585" s="2">
        <v>46153</v>
      </c>
      <c r="I585" s="2">
        <v>33998</v>
      </c>
      <c r="J585" s="7">
        <f t="shared" ca="1" si="19"/>
        <v>30.767123287671232</v>
      </c>
      <c r="K585" s="1" t="s">
        <v>42</v>
      </c>
      <c r="L585" s="1" t="s">
        <v>1415</v>
      </c>
      <c r="M585" s="2">
        <v>45209</v>
      </c>
      <c r="N585" s="1">
        <v>2</v>
      </c>
      <c r="O585" s="2">
        <v>45209</v>
      </c>
      <c r="P585" s="1" t="s">
        <v>44</v>
      </c>
      <c r="Q585" s="1" t="s">
        <v>408</v>
      </c>
      <c r="R585" s="1" t="s">
        <v>124</v>
      </c>
      <c r="S585" s="1" t="s">
        <v>125</v>
      </c>
      <c r="T585" s="1" t="s">
        <v>42</v>
      </c>
      <c r="U585" s="2">
        <v>45209</v>
      </c>
      <c r="V585" s="2">
        <v>45574</v>
      </c>
      <c r="W585" s="2" t="s">
        <v>42</v>
      </c>
      <c r="X585" s="1" t="s">
        <v>42</v>
      </c>
      <c r="Y585" s="2" t="s">
        <v>42</v>
      </c>
      <c r="Z585" s="1" t="s">
        <v>2715</v>
      </c>
      <c r="AA585" s="1" t="s">
        <v>2716</v>
      </c>
      <c r="AB585" s="1" t="s">
        <v>2717</v>
      </c>
      <c r="AC585" s="1" t="s">
        <v>50</v>
      </c>
      <c r="AD585" s="1"/>
      <c r="AE585" s="1" t="s">
        <v>1475</v>
      </c>
      <c r="AF585" s="1"/>
      <c r="AG585" s="2" t="s">
        <v>42</v>
      </c>
      <c r="AH585" s="1"/>
      <c r="AI585" s="1" t="s">
        <v>42</v>
      </c>
      <c r="AJ585" s="1"/>
      <c r="AK585" s="2" t="s">
        <v>42</v>
      </c>
      <c r="AL585" s="1" t="s">
        <v>42</v>
      </c>
    </row>
    <row r="586" spans="1:38" ht="20.100000000000001" customHeight="1" x14ac:dyDescent="0.2">
      <c r="A586" s="3">
        <f t="shared" si="18"/>
        <v>583</v>
      </c>
      <c r="B586" s="1" t="s">
        <v>2718</v>
      </c>
      <c r="C586" s="1" t="s">
        <v>2642</v>
      </c>
      <c r="D586" s="1" t="s">
        <v>38</v>
      </c>
      <c r="E586" s="1" t="s">
        <v>54</v>
      </c>
      <c r="F586" s="1" t="s">
        <v>55</v>
      </c>
      <c r="G586" s="1" t="s">
        <v>2643</v>
      </c>
      <c r="H586" s="2" t="s">
        <v>42</v>
      </c>
      <c r="I586" s="2">
        <v>36824</v>
      </c>
      <c r="J586" s="7">
        <f t="shared" ca="1" si="19"/>
        <v>23.024657534246575</v>
      </c>
      <c r="K586" s="1" t="s">
        <v>133</v>
      </c>
      <c r="L586" s="1" t="s">
        <v>134</v>
      </c>
      <c r="M586" s="2">
        <v>45195</v>
      </c>
      <c r="N586" s="1">
        <v>2</v>
      </c>
      <c r="O586" s="2">
        <v>45195</v>
      </c>
      <c r="P586" s="1" t="s">
        <v>44</v>
      </c>
      <c r="Q586" s="1" t="s">
        <v>2608</v>
      </c>
      <c r="R586" s="1" t="s">
        <v>42</v>
      </c>
      <c r="S586" s="1"/>
      <c r="T586" s="1" t="s">
        <v>42</v>
      </c>
      <c r="U586" s="2" t="s">
        <v>42</v>
      </c>
      <c r="V586" s="2" t="s">
        <v>42</v>
      </c>
      <c r="W586" s="2" t="s">
        <v>42</v>
      </c>
      <c r="X586" s="1" t="s">
        <v>42</v>
      </c>
      <c r="Y586" s="2" t="s">
        <v>42</v>
      </c>
      <c r="Z586" s="1" t="s">
        <v>2644</v>
      </c>
      <c r="AA586" s="1" t="s">
        <v>42</v>
      </c>
      <c r="AB586" s="1" t="s">
        <v>2719</v>
      </c>
      <c r="AC586" s="1" t="s">
        <v>42</v>
      </c>
      <c r="AD586" s="1"/>
      <c r="AE586" s="1" t="s">
        <v>42</v>
      </c>
      <c r="AF586" s="1"/>
      <c r="AG586" s="2" t="s">
        <v>42</v>
      </c>
      <c r="AH586" s="1"/>
      <c r="AI586" s="1" t="s">
        <v>42</v>
      </c>
      <c r="AJ586" s="1"/>
      <c r="AK586" s="2" t="s">
        <v>42</v>
      </c>
      <c r="AL586" s="1" t="s">
        <v>42</v>
      </c>
    </row>
    <row r="587" spans="1:38" ht="20.100000000000001" customHeight="1" x14ac:dyDescent="0.2">
      <c r="A587" s="3">
        <f t="shared" si="18"/>
        <v>584</v>
      </c>
      <c r="B587" s="1" t="s">
        <v>2720</v>
      </c>
      <c r="C587" s="1" t="s">
        <v>2721</v>
      </c>
      <c r="D587" s="1" t="s">
        <v>38</v>
      </c>
      <c r="E587" s="1" t="s">
        <v>69</v>
      </c>
      <c r="F587" s="1" t="s">
        <v>70</v>
      </c>
      <c r="G587" s="1" t="s">
        <v>2722</v>
      </c>
      <c r="H587" s="2" t="s">
        <v>42</v>
      </c>
      <c r="I587" s="2">
        <v>35499</v>
      </c>
      <c r="J587" s="7">
        <f t="shared" ca="1" si="19"/>
        <v>26.654794520547945</v>
      </c>
      <c r="K587" s="1" t="s">
        <v>133</v>
      </c>
      <c r="L587" s="1" t="s">
        <v>134</v>
      </c>
      <c r="M587" s="2">
        <v>45197</v>
      </c>
      <c r="N587" s="1">
        <v>2</v>
      </c>
      <c r="O587" s="2" t="s">
        <v>42</v>
      </c>
      <c r="P587" s="1" t="s">
        <v>44</v>
      </c>
      <c r="Q587" s="1" t="s">
        <v>336</v>
      </c>
      <c r="R587" s="1" t="s">
        <v>42</v>
      </c>
      <c r="S587" s="1"/>
      <c r="T587" s="1" t="s">
        <v>42</v>
      </c>
      <c r="U587" s="2" t="s">
        <v>42</v>
      </c>
      <c r="V587" s="2" t="s">
        <v>42</v>
      </c>
      <c r="W587" s="2" t="s">
        <v>42</v>
      </c>
      <c r="X587" s="1" t="s">
        <v>42</v>
      </c>
      <c r="Y587" s="2" t="s">
        <v>42</v>
      </c>
      <c r="Z587" s="1" t="s">
        <v>2723</v>
      </c>
      <c r="AA587" s="1" t="s">
        <v>2724</v>
      </c>
      <c r="AB587" s="1" t="s">
        <v>2725</v>
      </c>
      <c r="AC587" s="1" t="s">
        <v>129</v>
      </c>
      <c r="AD587" s="1" t="s">
        <v>42</v>
      </c>
      <c r="AE587" s="1" t="s">
        <v>788</v>
      </c>
      <c r="AF587" s="1" t="s">
        <v>66</v>
      </c>
      <c r="AG587" s="2" t="s">
        <v>42</v>
      </c>
      <c r="AH587" s="1"/>
      <c r="AI587" s="1" t="s">
        <v>42</v>
      </c>
      <c r="AJ587" s="1"/>
      <c r="AK587" s="2" t="s">
        <v>42</v>
      </c>
      <c r="AL587" s="1" t="s">
        <v>42</v>
      </c>
    </row>
    <row r="588" spans="1:38" ht="20.100000000000001" customHeight="1" x14ac:dyDescent="0.2">
      <c r="A588" s="3">
        <f t="shared" si="18"/>
        <v>585</v>
      </c>
      <c r="B588" s="1" t="s">
        <v>2726</v>
      </c>
      <c r="C588" s="1" t="s">
        <v>2727</v>
      </c>
      <c r="D588" s="1" t="s">
        <v>121</v>
      </c>
      <c r="E588" s="1" t="s">
        <v>39</v>
      </c>
      <c r="F588" s="1" t="s">
        <v>40</v>
      </c>
      <c r="G588" s="1" t="s">
        <v>2728</v>
      </c>
      <c r="H588" s="2" t="s">
        <v>42</v>
      </c>
      <c r="I588" s="2" t="s">
        <v>42</v>
      </c>
      <c r="J588" s="7"/>
      <c r="K588" s="1" t="s">
        <v>42</v>
      </c>
      <c r="L588" s="1" t="s">
        <v>2590</v>
      </c>
      <c r="M588" s="2">
        <v>45211</v>
      </c>
      <c r="N588" s="1">
        <v>2</v>
      </c>
      <c r="O588" s="2">
        <v>45211</v>
      </c>
      <c r="P588" s="1" t="s">
        <v>44</v>
      </c>
      <c r="Q588" s="1" t="s">
        <v>408</v>
      </c>
      <c r="R588" s="1" t="s">
        <v>124</v>
      </c>
      <c r="S588" s="1" t="s">
        <v>125</v>
      </c>
      <c r="T588" s="1">
        <v>8</v>
      </c>
      <c r="U588" s="2">
        <v>45211</v>
      </c>
      <c r="V588" s="2">
        <v>45576</v>
      </c>
      <c r="W588" s="2" t="s">
        <v>42</v>
      </c>
      <c r="X588" s="1" t="s">
        <v>42</v>
      </c>
      <c r="Y588" s="2" t="s">
        <v>42</v>
      </c>
      <c r="Z588" s="1" t="s">
        <v>2729</v>
      </c>
      <c r="AA588" s="1" t="s">
        <v>2730</v>
      </c>
      <c r="AB588" s="1" t="s">
        <v>2731</v>
      </c>
      <c r="AC588" s="1" t="s">
        <v>129</v>
      </c>
      <c r="AD588" s="1"/>
      <c r="AE588" s="1" t="s">
        <v>1475</v>
      </c>
      <c r="AF588" s="1"/>
      <c r="AG588" s="2" t="s">
        <v>42</v>
      </c>
      <c r="AH588" s="1"/>
      <c r="AI588" s="1" t="s">
        <v>42</v>
      </c>
      <c r="AJ588" s="1"/>
      <c r="AK588" s="2" t="s">
        <v>42</v>
      </c>
      <c r="AL588" s="1" t="s">
        <v>42</v>
      </c>
    </row>
    <row r="589" spans="1:38" ht="20.100000000000001" customHeight="1" x14ac:dyDescent="0.2">
      <c r="A589" s="3">
        <f t="shared" si="18"/>
        <v>586</v>
      </c>
      <c r="B589" s="1" t="s">
        <v>2732</v>
      </c>
      <c r="C589" s="1" t="s">
        <v>2733</v>
      </c>
      <c r="D589" s="1" t="s">
        <v>42</v>
      </c>
      <c r="E589" s="1" t="s">
        <v>42</v>
      </c>
      <c r="F589" s="1"/>
      <c r="G589" s="1" t="s">
        <v>2227</v>
      </c>
      <c r="H589" s="2" t="s">
        <v>42</v>
      </c>
      <c r="I589" s="2" t="s">
        <v>42</v>
      </c>
      <c r="J589" s="7"/>
      <c r="K589" s="1" t="s">
        <v>42</v>
      </c>
      <c r="L589" s="1" t="s">
        <v>42</v>
      </c>
      <c r="M589" s="2" t="s">
        <v>42</v>
      </c>
      <c r="N589" s="1">
        <v>2</v>
      </c>
      <c r="O589" s="2" t="s">
        <v>42</v>
      </c>
      <c r="P589" s="1" t="s">
        <v>42</v>
      </c>
      <c r="Q589" s="1" t="s">
        <v>42</v>
      </c>
      <c r="R589" s="1" t="s">
        <v>42</v>
      </c>
      <c r="S589" s="1"/>
      <c r="T589" s="1" t="s">
        <v>42</v>
      </c>
      <c r="U589" s="2" t="s">
        <v>42</v>
      </c>
      <c r="V589" s="2" t="s">
        <v>42</v>
      </c>
      <c r="W589" s="2" t="s">
        <v>42</v>
      </c>
      <c r="X589" s="1" t="s">
        <v>42</v>
      </c>
      <c r="Y589" s="2" t="s">
        <v>42</v>
      </c>
      <c r="Z589" s="1" t="s">
        <v>42</v>
      </c>
      <c r="AA589" s="1" t="s">
        <v>42</v>
      </c>
      <c r="AB589" s="1" t="s">
        <v>42</v>
      </c>
      <c r="AC589" s="1" t="s">
        <v>42</v>
      </c>
      <c r="AD589" s="1"/>
      <c r="AE589" s="1" t="s">
        <v>42</v>
      </c>
      <c r="AF589" s="1"/>
      <c r="AG589" s="2" t="s">
        <v>42</v>
      </c>
      <c r="AH589" s="1"/>
      <c r="AI589" s="1" t="s">
        <v>42</v>
      </c>
      <c r="AJ589" s="1"/>
      <c r="AK589" s="2" t="s">
        <v>42</v>
      </c>
      <c r="AL589" s="1" t="s">
        <v>42</v>
      </c>
    </row>
    <row r="590" spans="1:38" ht="20.100000000000001" customHeight="1" x14ac:dyDescent="0.2">
      <c r="A590" s="3">
        <f t="shared" si="18"/>
        <v>587</v>
      </c>
      <c r="B590" s="1" t="s">
        <v>2734</v>
      </c>
      <c r="C590" s="1" t="s">
        <v>2735</v>
      </c>
      <c r="D590" s="1" t="s">
        <v>38</v>
      </c>
      <c r="E590" s="1" t="s">
        <v>54</v>
      </c>
      <c r="F590" s="1" t="s">
        <v>55</v>
      </c>
      <c r="G590" s="1" t="s">
        <v>2736</v>
      </c>
      <c r="H590" s="2">
        <v>45564</v>
      </c>
      <c r="I590" s="2" t="s">
        <v>42</v>
      </c>
      <c r="J590" s="7"/>
      <c r="K590" s="1" t="s">
        <v>42</v>
      </c>
      <c r="L590" s="1" t="s">
        <v>42</v>
      </c>
      <c r="M590" s="2" t="s">
        <v>42</v>
      </c>
      <c r="N590" s="1">
        <v>2</v>
      </c>
      <c r="O590" s="2" t="s">
        <v>42</v>
      </c>
      <c r="P590" s="1" t="s">
        <v>44</v>
      </c>
      <c r="Q590" s="1" t="s">
        <v>42</v>
      </c>
      <c r="R590" s="1" t="s">
        <v>42</v>
      </c>
      <c r="S590" s="1"/>
      <c r="T590" s="1" t="s">
        <v>42</v>
      </c>
      <c r="U590" s="2" t="s">
        <v>42</v>
      </c>
      <c r="V590" s="2" t="s">
        <v>42</v>
      </c>
      <c r="W590" s="2" t="s">
        <v>42</v>
      </c>
      <c r="X590" s="1" t="s">
        <v>42</v>
      </c>
      <c r="Y590" s="2" t="s">
        <v>42</v>
      </c>
      <c r="Z590" s="1" t="s">
        <v>42</v>
      </c>
      <c r="AA590" s="1" t="s">
        <v>42</v>
      </c>
      <c r="AB590" s="1" t="s">
        <v>42</v>
      </c>
      <c r="AC590" s="1" t="s">
        <v>42</v>
      </c>
      <c r="AD590" s="1"/>
      <c r="AE590" s="1" t="s">
        <v>42</v>
      </c>
      <c r="AF590" s="1"/>
      <c r="AG590" s="2" t="s">
        <v>42</v>
      </c>
      <c r="AH590" s="1"/>
      <c r="AI590" s="1" t="s">
        <v>42</v>
      </c>
      <c r="AJ590" s="1"/>
      <c r="AK590" s="2" t="s">
        <v>42</v>
      </c>
      <c r="AL590" s="1" t="s">
        <v>42</v>
      </c>
    </row>
    <row r="591" spans="1:38" ht="20.100000000000001" customHeight="1" x14ac:dyDescent="0.2">
      <c r="A591" s="3">
        <f t="shared" si="18"/>
        <v>588</v>
      </c>
      <c r="B591" s="1" t="s">
        <v>2737</v>
      </c>
      <c r="C591" s="1" t="s">
        <v>2738</v>
      </c>
      <c r="D591" s="1" t="s">
        <v>121</v>
      </c>
      <c r="E591" s="1" t="s">
        <v>39</v>
      </c>
      <c r="F591" s="1" t="s">
        <v>40</v>
      </c>
      <c r="G591" s="1" t="s">
        <v>2739</v>
      </c>
      <c r="H591" s="2">
        <v>46246</v>
      </c>
      <c r="I591" s="2">
        <v>36954</v>
      </c>
      <c r="J591" s="7">
        <f t="shared" ca="1" si="19"/>
        <v>22.668493150684931</v>
      </c>
      <c r="K591" s="1" t="s">
        <v>42</v>
      </c>
      <c r="L591" s="1" t="s">
        <v>211</v>
      </c>
      <c r="M591" s="2">
        <v>45214</v>
      </c>
      <c r="N591" s="1">
        <v>2</v>
      </c>
      <c r="O591" s="2">
        <v>45214</v>
      </c>
      <c r="P591" s="1" t="s">
        <v>44</v>
      </c>
      <c r="Q591" s="1" t="s">
        <v>107</v>
      </c>
      <c r="R591" s="1" t="s">
        <v>60</v>
      </c>
      <c r="S591" s="1" t="s">
        <v>47</v>
      </c>
      <c r="T591" s="1">
        <v>8</v>
      </c>
      <c r="U591" s="2">
        <v>45214</v>
      </c>
      <c r="V591" s="2">
        <v>45579</v>
      </c>
      <c r="W591" s="2" t="s">
        <v>42</v>
      </c>
      <c r="X591" s="1" t="s">
        <v>42</v>
      </c>
      <c r="Y591" s="2" t="s">
        <v>42</v>
      </c>
      <c r="Z591" s="1" t="s">
        <v>2740</v>
      </c>
      <c r="AA591" s="1" t="s">
        <v>2741</v>
      </c>
      <c r="AB591" s="1" t="s">
        <v>2742</v>
      </c>
      <c r="AC591" s="1" t="s">
        <v>50</v>
      </c>
      <c r="AD591" s="1">
        <v>7015572543</v>
      </c>
      <c r="AE591" s="1" t="s">
        <v>3506</v>
      </c>
      <c r="AF591" s="1" t="s">
        <v>66</v>
      </c>
      <c r="AG591" s="2" t="s">
        <v>42</v>
      </c>
      <c r="AH591" s="1"/>
      <c r="AI591" s="1" t="s">
        <v>42</v>
      </c>
      <c r="AJ591" s="1"/>
      <c r="AK591" s="2" t="s">
        <v>42</v>
      </c>
      <c r="AL591" s="1" t="s">
        <v>3507</v>
      </c>
    </row>
    <row r="592" spans="1:38" ht="20.100000000000001" customHeight="1" x14ac:dyDescent="0.2">
      <c r="A592" s="3">
        <f t="shared" si="18"/>
        <v>589</v>
      </c>
      <c r="B592" s="1" t="s">
        <v>2743</v>
      </c>
      <c r="C592" s="1" t="s">
        <v>2744</v>
      </c>
      <c r="D592" s="1" t="s">
        <v>38</v>
      </c>
      <c r="E592" s="1" t="s">
        <v>150</v>
      </c>
      <c r="F592" s="1" t="s">
        <v>55</v>
      </c>
      <c r="G592" s="1" t="s">
        <v>2745</v>
      </c>
      <c r="H592" s="2" t="s">
        <v>42</v>
      </c>
      <c r="I592" s="2" t="s">
        <v>42</v>
      </c>
      <c r="J592" s="7"/>
      <c r="K592" s="1" t="s">
        <v>42</v>
      </c>
      <c r="L592" s="1" t="s">
        <v>42</v>
      </c>
      <c r="M592" s="2" t="s">
        <v>42</v>
      </c>
      <c r="N592" s="1">
        <v>2</v>
      </c>
      <c r="O592" s="2" t="s">
        <v>42</v>
      </c>
      <c r="P592" s="1" t="s">
        <v>44</v>
      </c>
      <c r="Q592" s="1" t="s">
        <v>899</v>
      </c>
      <c r="R592" s="1" t="s">
        <v>900</v>
      </c>
      <c r="S592" s="1" t="s">
        <v>47</v>
      </c>
      <c r="T592" s="1">
        <v>0</v>
      </c>
      <c r="U592" s="2" t="s">
        <v>42</v>
      </c>
      <c r="V592" s="2" t="s">
        <v>42</v>
      </c>
      <c r="W592" s="2" t="s">
        <v>42</v>
      </c>
      <c r="X592" s="1" t="s">
        <v>42</v>
      </c>
      <c r="Y592" s="2" t="s">
        <v>42</v>
      </c>
      <c r="Z592" s="1" t="s">
        <v>42</v>
      </c>
      <c r="AA592" s="1" t="s">
        <v>42</v>
      </c>
      <c r="AB592" s="1" t="s">
        <v>42</v>
      </c>
      <c r="AC592" s="1" t="s">
        <v>42</v>
      </c>
      <c r="AD592" s="1">
        <v>7026482336</v>
      </c>
      <c r="AE592" s="1" t="s">
        <v>903</v>
      </c>
      <c r="AF592" s="1" t="s">
        <v>904</v>
      </c>
      <c r="AG592" s="2" t="s">
        <v>42</v>
      </c>
      <c r="AH592" s="1"/>
      <c r="AI592" s="1" t="s">
        <v>42</v>
      </c>
      <c r="AJ592" s="1"/>
      <c r="AK592" s="2" t="s">
        <v>42</v>
      </c>
      <c r="AL592" s="1" t="s">
        <v>42</v>
      </c>
    </row>
    <row r="593" spans="1:38" ht="20.100000000000001" customHeight="1" x14ac:dyDescent="0.2">
      <c r="A593" s="3">
        <f t="shared" si="18"/>
        <v>590</v>
      </c>
      <c r="B593" s="1" t="s">
        <v>2746</v>
      </c>
      <c r="C593" s="1" t="s">
        <v>2747</v>
      </c>
      <c r="D593" s="1" t="s">
        <v>38</v>
      </c>
      <c r="E593" s="1" t="s">
        <v>54</v>
      </c>
      <c r="F593" s="1" t="s">
        <v>55</v>
      </c>
      <c r="G593" s="1" t="s">
        <v>2748</v>
      </c>
      <c r="H593" s="2">
        <v>45272</v>
      </c>
      <c r="I593" s="2">
        <v>34335</v>
      </c>
      <c r="J593" s="7">
        <f t="shared" ca="1" si="19"/>
        <v>29.843835616438355</v>
      </c>
      <c r="K593" s="1" t="s">
        <v>1652</v>
      </c>
      <c r="L593" s="1" t="s">
        <v>134</v>
      </c>
      <c r="M593" s="2">
        <v>45211</v>
      </c>
      <c r="N593" s="1">
        <v>2</v>
      </c>
      <c r="O593" s="2" t="s">
        <v>42</v>
      </c>
      <c r="P593" s="1" t="s">
        <v>44</v>
      </c>
      <c r="Q593" s="1" t="s">
        <v>203</v>
      </c>
      <c r="R593" s="1" t="s">
        <v>60</v>
      </c>
      <c r="S593" s="1" t="s">
        <v>156</v>
      </c>
      <c r="T593" s="1">
        <v>0</v>
      </c>
      <c r="U593" s="2">
        <v>45211</v>
      </c>
      <c r="V593" s="2" t="s">
        <v>42</v>
      </c>
      <c r="W593" s="2" t="s">
        <v>42</v>
      </c>
      <c r="X593" s="1" t="s">
        <v>42</v>
      </c>
      <c r="Y593" s="2" t="s">
        <v>42</v>
      </c>
      <c r="Z593" s="1" t="s">
        <v>42</v>
      </c>
      <c r="AA593" s="1" t="s">
        <v>42</v>
      </c>
      <c r="AB593" s="1" t="s">
        <v>42</v>
      </c>
      <c r="AC593" s="1" t="s">
        <v>42</v>
      </c>
      <c r="AD593" s="1" t="s">
        <v>42</v>
      </c>
      <c r="AE593" s="1" t="s">
        <v>788</v>
      </c>
      <c r="AF593" s="1" t="s">
        <v>66</v>
      </c>
      <c r="AG593" s="2" t="s">
        <v>42</v>
      </c>
      <c r="AH593" s="1"/>
      <c r="AI593" s="1" t="s">
        <v>42</v>
      </c>
      <c r="AJ593" s="1"/>
      <c r="AK593" s="2" t="s">
        <v>42</v>
      </c>
      <c r="AL593" s="1" t="s">
        <v>42</v>
      </c>
    </row>
    <row r="594" spans="1:38" ht="20.100000000000001" customHeight="1" x14ac:dyDescent="0.2">
      <c r="A594" s="3">
        <f t="shared" si="18"/>
        <v>591</v>
      </c>
      <c r="B594" s="1" t="s">
        <v>2749</v>
      </c>
      <c r="C594" s="1" t="s">
        <v>2750</v>
      </c>
      <c r="D594" s="1" t="s">
        <v>38</v>
      </c>
      <c r="E594" s="1" t="s">
        <v>54</v>
      </c>
      <c r="F594" s="1" t="s">
        <v>55</v>
      </c>
      <c r="G594" s="1" t="s">
        <v>42</v>
      </c>
      <c r="H594" s="2" t="s">
        <v>42</v>
      </c>
      <c r="I594" s="2" t="s">
        <v>42</v>
      </c>
      <c r="J594" s="7"/>
      <c r="K594" s="1" t="s">
        <v>133</v>
      </c>
      <c r="L594" s="1" t="s">
        <v>134</v>
      </c>
      <c r="M594" s="2">
        <v>45195</v>
      </c>
      <c r="N594" s="1">
        <v>2</v>
      </c>
      <c r="O594" s="2" t="s">
        <v>42</v>
      </c>
      <c r="P594" s="1" t="s">
        <v>335</v>
      </c>
      <c r="Q594" s="1" t="s">
        <v>394</v>
      </c>
      <c r="R594" s="1" t="s">
        <v>60</v>
      </c>
      <c r="S594" s="1" t="s">
        <v>156</v>
      </c>
      <c r="T594" s="1" t="s">
        <v>42</v>
      </c>
      <c r="U594" s="2" t="s">
        <v>42</v>
      </c>
      <c r="V594" s="2" t="s">
        <v>42</v>
      </c>
      <c r="W594" s="2" t="s">
        <v>42</v>
      </c>
      <c r="X594" s="1" t="s">
        <v>42</v>
      </c>
      <c r="Y594" s="2" t="s">
        <v>42</v>
      </c>
      <c r="Z594" s="1" t="s">
        <v>42</v>
      </c>
      <c r="AA594" s="1" t="s">
        <v>42</v>
      </c>
      <c r="AB594" s="1" t="s">
        <v>42</v>
      </c>
      <c r="AC594" s="1" t="s">
        <v>42</v>
      </c>
      <c r="AD594" s="1"/>
      <c r="AE594" s="1" t="s">
        <v>42</v>
      </c>
      <c r="AF594" s="1"/>
      <c r="AG594" s="2" t="s">
        <v>42</v>
      </c>
      <c r="AH594" s="1"/>
      <c r="AI594" s="1" t="s">
        <v>42</v>
      </c>
      <c r="AJ594" s="1"/>
      <c r="AK594" s="2" t="s">
        <v>42</v>
      </c>
      <c r="AL594" s="1" t="s">
        <v>42</v>
      </c>
    </row>
    <row r="595" spans="1:38" ht="20.100000000000001" customHeight="1" x14ac:dyDescent="0.2">
      <c r="A595" s="3">
        <f t="shared" si="18"/>
        <v>592</v>
      </c>
      <c r="B595" s="1" t="s">
        <v>2751</v>
      </c>
      <c r="C595" s="1" t="s">
        <v>2752</v>
      </c>
      <c r="D595" s="1" t="s">
        <v>38</v>
      </c>
      <c r="E595" s="1" t="s">
        <v>54</v>
      </c>
      <c r="F595" s="1" t="s">
        <v>55</v>
      </c>
      <c r="G595" s="1" t="s">
        <v>2753</v>
      </c>
      <c r="H595" s="2" t="s">
        <v>42</v>
      </c>
      <c r="I595" s="2">
        <v>35196</v>
      </c>
      <c r="J595" s="7">
        <f t="shared" ca="1" si="19"/>
        <v>27.484931506849314</v>
      </c>
      <c r="K595" s="1" t="s">
        <v>1496</v>
      </c>
      <c r="L595" s="1" t="s">
        <v>134</v>
      </c>
      <c r="M595" s="2">
        <v>45195</v>
      </c>
      <c r="N595" s="1">
        <v>2</v>
      </c>
      <c r="O595" s="2">
        <v>45225</v>
      </c>
      <c r="P595" s="1" t="s">
        <v>44</v>
      </c>
      <c r="Q595" s="1" t="s">
        <v>66</v>
      </c>
      <c r="R595" s="1" t="s">
        <v>60</v>
      </c>
      <c r="S595" s="1" t="s">
        <v>156</v>
      </c>
      <c r="T595" s="1" t="s">
        <v>42</v>
      </c>
      <c r="U595" s="2" t="s">
        <v>42</v>
      </c>
      <c r="V595" s="2" t="s">
        <v>42</v>
      </c>
      <c r="W595" s="2" t="s">
        <v>42</v>
      </c>
      <c r="X595" s="1" t="s">
        <v>42</v>
      </c>
      <c r="Y595" s="2" t="s">
        <v>42</v>
      </c>
      <c r="Z595" s="1" t="s">
        <v>42</v>
      </c>
      <c r="AA595" s="1" t="s">
        <v>42</v>
      </c>
      <c r="AB595" s="1" t="s">
        <v>42</v>
      </c>
      <c r="AC595" s="1" t="s">
        <v>42</v>
      </c>
      <c r="AD595" s="1" t="s">
        <v>42</v>
      </c>
      <c r="AE595" s="1" t="s">
        <v>788</v>
      </c>
      <c r="AF595" s="1" t="s">
        <v>66</v>
      </c>
      <c r="AG595" s="2" t="s">
        <v>42</v>
      </c>
      <c r="AH595" s="1"/>
      <c r="AI595" s="1" t="s">
        <v>42</v>
      </c>
      <c r="AJ595" s="1"/>
      <c r="AK595" s="2" t="s">
        <v>42</v>
      </c>
      <c r="AL595" s="1" t="s">
        <v>42</v>
      </c>
    </row>
    <row r="596" spans="1:38" ht="20.100000000000001" customHeight="1" x14ac:dyDescent="0.2">
      <c r="A596" s="3">
        <f t="shared" si="18"/>
        <v>593</v>
      </c>
      <c r="B596" s="1" t="s">
        <v>2754</v>
      </c>
      <c r="C596" s="1" t="s">
        <v>2755</v>
      </c>
      <c r="D596" s="1" t="s">
        <v>38</v>
      </c>
      <c r="E596" s="1" t="s">
        <v>54</v>
      </c>
      <c r="F596" s="1" t="s">
        <v>55</v>
      </c>
      <c r="G596" s="1" t="s">
        <v>2756</v>
      </c>
      <c r="H596" s="2" t="s">
        <v>42</v>
      </c>
      <c r="I596" s="2">
        <v>33424</v>
      </c>
      <c r="J596" s="7">
        <f t="shared" ca="1" si="19"/>
        <v>32.339726027397262</v>
      </c>
      <c r="K596" s="1" t="s">
        <v>482</v>
      </c>
      <c r="L596" s="1" t="s">
        <v>1089</v>
      </c>
      <c r="M596" s="2">
        <v>45207</v>
      </c>
      <c r="N596" s="1">
        <v>2</v>
      </c>
      <c r="O596" s="2" t="s">
        <v>42</v>
      </c>
      <c r="P596" s="1" t="s">
        <v>44</v>
      </c>
      <c r="Q596" s="1" t="s">
        <v>431</v>
      </c>
      <c r="R596" s="1" t="s">
        <v>606</v>
      </c>
      <c r="S596" s="1" t="s">
        <v>156</v>
      </c>
      <c r="T596" s="1" t="s">
        <v>42</v>
      </c>
      <c r="U596" s="2" t="s">
        <v>42</v>
      </c>
      <c r="V596" s="2" t="s">
        <v>42</v>
      </c>
      <c r="W596" s="2" t="s">
        <v>42</v>
      </c>
      <c r="X596" s="1" t="s">
        <v>42</v>
      </c>
      <c r="Y596" s="2" t="s">
        <v>42</v>
      </c>
      <c r="Z596" s="1" t="s">
        <v>42</v>
      </c>
      <c r="AA596" s="1" t="s">
        <v>42</v>
      </c>
      <c r="AB596" s="1" t="s">
        <v>42</v>
      </c>
      <c r="AC596" s="1" t="s">
        <v>42</v>
      </c>
      <c r="AD596" s="1" t="s">
        <v>42</v>
      </c>
      <c r="AE596" s="1" t="s">
        <v>788</v>
      </c>
      <c r="AF596" s="1" t="s">
        <v>436</v>
      </c>
      <c r="AG596" s="2" t="s">
        <v>42</v>
      </c>
      <c r="AH596" s="1"/>
      <c r="AI596" s="1" t="s">
        <v>42</v>
      </c>
      <c r="AJ596" s="1"/>
      <c r="AK596" s="2" t="s">
        <v>42</v>
      </c>
      <c r="AL596" s="1" t="s">
        <v>42</v>
      </c>
    </row>
    <row r="597" spans="1:38" ht="20.100000000000001" customHeight="1" x14ac:dyDescent="0.2">
      <c r="A597" s="3">
        <f t="shared" si="18"/>
        <v>594</v>
      </c>
      <c r="B597" s="1" t="s">
        <v>2757</v>
      </c>
      <c r="C597" s="1" t="s">
        <v>2758</v>
      </c>
      <c r="D597" s="1" t="s">
        <v>38</v>
      </c>
      <c r="E597" s="1" t="s">
        <v>54</v>
      </c>
      <c r="F597" s="1" t="s">
        <v>55</v>
      </c>
      <c r="G597" s="1" t="s">
        <v>2759</v>
      </c>
      <c r="H597" s="2" t="s">
        <v>42</v>
      </c>
      <c r="I597" s="2">
        <v>35560</v>
      </c>
      <c r="J597" s="7">
        <f t="shared" ca="1" si="19"/>
        <v>26.487671232876714</v>
      </c>
      <c r="K597" s="1" t="s">
        <v>2760</v>
      </c>
      <c r="L597" s="1" t="s">
        <v>1083</v>
      </c>
      <c r="M597" s="2">
        <v>45210</v>
      </c>
      <c r="N597" s="1">
        <v>2</v>
      </c>
      <c r="O597" s="2" t="s">
        <v>42</v>
      </c>
      <c r="P597" s="1" t="s">
        <v>44</v>
      </c>
      <c r="Q597" s="1" t="s">
        <v>431</v>
      </c>
      <c r="R597" s="1" t="s">
        <v>1122</v>
      </c>
      <c r="S597" s="1" t="s">
        <v>156</v>
      </c>
      <c r="T597" s="1" t="s">
        <v>42</v>
      </c>
      <c r="U597" s="2">
        <v>45210</v>
      </c>
      <c r="V597" s="2" t="s">
        <v>42</v>
      </c>
      <c r="W597" s="2" t="s">
        <v>42</v>
      </c>
      <c r="X597" s="1" t="s">
        <v>42</v>
      </c>
      <c r="Y597" s="2" t="s">
        <v>42</v>
      </c>
      <c r="Z597" s="1" t="s">
        <v>42</v>
      </c>
      <c r="AA597" s="1" t="s">
        <v>42</v>
      </c>
      <c r="AB597" s="1" t="s">
        <v>42</v>
      </c>
      <c r="AC597" s="1" t="s">
        <v>42</v>
      </c>
      <c r="AD597" s="1" t="s">
        <v>42</v>
      </c>
      <c r="AE597" s="1" t="s">
        <v>788</v>
      </c>
      <c r="AF597" s="1" t="s">
        <v>436</v>
      </c>
      <c r="AG597" s="2" t="s">
        <v>42</v>
      </c>
      <c r="AH597" s="1"/>
      <c r="AI597" s="1" t="s">
        <v>42</v>
      </c>
      <c r="AJ597" s="1"/>
      <c r="AK597" s="2" t="s">
        <v>42</v>
      </c>
      <c r="AL597" s="1" t="s">
        <v>42</v>
      </c>
    </row>
    <row r="598" spans="1:38" ht="20.100000000000001" customHeight="1" x14ac:dyDescent="0.2">
      <c r="A598" s="3">
        <f t="shared" si="18"/>
        <v>595</v>
      </c>
      <c r="B598" s="1" t="s">
        <v>2761</v>
      </c>
      <c r="C598" s="1" t="s">
        <v>2762</v>
      </c>
      <c r="D598" s="1" t="s">
        <v>38</v>
      </c>
      <c r="E598" s="1" t="s">
        <v>54</v>
      </c>
      <c r="F598" s="1" t="s">
        <v>70</v>
      </c>
      <c r="G598" s="1" t="s">
        <v>2763</v>
      </c>
      <c r="H598" s="2" t="s">
        <v>42</v>
      </c>
      <c r="I598" s="2">
        <v>36162</v>
      </c>
      <c r="J598" s="7">
        <f t="shared" ca="1" si="19"/>
        <v>24.838356164383562</v>
      </c>
      <c r="K598" s="1" t="s">
        <v>2318</v>
      </c>
      <c r="L598" s="1" t="s">
        <v>134</v>
      </c>
      <c r="M598" s="2">
        <v>45195</v>
      </c>
      <c r="N598" s="1">
        <v>2</v>
      </c>
      <c r="O598" s="2" t="s">
        <v>42</v>
      </c>
      <c r="P598" s="1" t="s">
        <v>2608</v>
      </c>
      <c r="Q598" s="1" t="s">
        <v>2608</v>
      </c>
      <c r="R598" s="1" t="s">
        <v>60</v>
      </c>
      <c r="S598" s="1" t="s">
        <v>156</v>
      </c>
      <c r="T598" s="1" t="s">
        <v>42</v>
      </c>
      <c r="U598" s="2" t="s">
        <v>42</v>
      </c>
      <c r="V598" s="2" t="s">
        <v>42</v>
      </c>
      <c r="W598" s="2" t="s">
        <v>42</v>
      </c>
      <c r="X598" s="1" t="s">
        <v>42</v>
      </c>
      <c r="Y598" s="2" t="s">
        <v>42</v>
      </c>
      <c r="Z598" s="1" t="s">
        <v>2764</v>
      </c>
      <c r="AA598" s="1" t="s">
        <v>2765</v>
      </c>
      <c r="AB598" s="1" t="s">
        <v>2766</v>
      </c>
      <c r="AC598" s="1" t="s">
        <v>50</v>
      </c>
      <c r="AD598" s="1" t="s">
        <v>42</v>
      </c>
      <c r="AE598" s="1" t="s">
        <v>788</v>
      </c>
      <c r="AF598" s="1" t="s">
        <v>66</v>
      </c>
      <c r="AG598" s="2" t="s">
        <v>42</v>
      </c>
      <c r="AH598" s="1"/>
      <c r="AI598" s="1" t="s">
        <v>42</v>
      </c>
      <c r="AJ598" s="1"/>
      <c r="AK598" s="2" t="s">
        <v>42</v>
      </c>
      <c r="AL598" s="1" t="s">
        <v>42</v>
      </c>
    </row>
    <row r="599" spans="1:38" ht="20.100000000000001" customHeight="1" x14ac:dyDescent="0.2">
      <c r="A599" s="3">
        <f t="shared" si="18"/>
        <v>596</v>
      </c>
      <c r="B599" s="1" t="s">
        <v>2767</v>
      </c>
      <c r="C599" s="1" t="s">
        <v>2768</v>
      </c>
      <c r="D599" s="1" t="s">
        <v>38</v>
      </c>
      <c r="E599" s="1" t="s">
        <v>414</v>
      </c>
      <c r="F599" s="1" t="s">
        <v>70</v>
      </c>
      <c r="G599" s="1" t="s">
        <v>2769</v>
      </c>
      <c r="H599" s="2" t="s">
        <v>42</v>
      </c>
      <c r="I599" s="2" t="s">
        <v>42</v>
      </c>
      <c r="J599" s="7"/>
      <c r="K599" s="1" t="s">
        <v>133</v>
      </c>
      <c r="L599" s="1" t="s">
        <v>134</v>
      </c>
      <c r="M599" s="2">
        <v>45222</v>
      </c>
      <c r="N599" s="1">
        <v>2</v>
      </c>
      <c r="O599" s="2" t="s">
        <v>42</v>
      </c>
      <c r="P599" s="1" t="s">
        <v>221</v>
      </c>
      <c r="Q599" s="1" t="s">
        <v>222</v>
      </c>
      <c r="R599" s="1" t="s">
        <v>1314</v>
      </c>
      <c r="S599" s="1" t="s">
        <v>156</v>
      </c>
      <c r="T599" s="1">
        <v>8</v>
      </c>
      <c r="U599" s="2" t="s">
        <v>42</v>
      </c>
      <c r="V599" s="2" t="s">
        <v>42</v>
      </c>
      <c r="W599" s="2" t="s">
        <v>42</v>
      </c>
      <c r="X599" s="1" t="s">
        <v>42</v>
      </c>
      <c r="Y599" s="2" t="s">
        <v>42</v>
      </c>
      <c r="Z599" s="1" t="s">
        <v>42</v>
      </c>
      <c r="AA599" s="1" t="s">
        <v>42</v>
      </c>
      <c r="AB599" s="1" t="s">
        <v>42</v>
      </c>
      <c r="AC599" s="1" t="s">
        <v>42</v>
      </c>
      <c r="AD599" s="1"/>
      <c r="AE599" s="1" t="s">
        <v>788</v>
      </c>
      <c r="AF599" s="1" t="s">
        <v>227</v>
      </c>
      <c r="AG599" s="2" t="s">
        <v>42</v>
      </c>
      <c r="AH599" s="1"/>
      <c r="AI599" s="1" t="s">
        <v>42</v>
      </c>
      <c r="AJ599" s="1"/>
      <c r="AK599" s="2" t="s">
        <v>42</v>
      </c>
      <c r="AL599" s="1" t="s">
        <v>42</v>
      </c>
    </row>
    <row r="600" spans="1:38" ht="20.100000000000001" customHeight="1" x14ac:dyDescent="0.2">
      <c r="A600" s="3">
        <f t="shared" si="18"/>
        <v>597</v>
      </c>
      <c r="B600" s="1" t="s">
        <v>2770</v>
      </c>
      <c r="C600" s="1" t="s">
        <v>2771</v>
      </c>
      <c r="D600" s="1" t="s">
        <v>38</v>
      </c>
      <c r="E600" s="1" t="s">
        <v>2355</v>
      </c>
      <c r="F600" s="1" t="s">
        <v>55</v>
      </c>
      <c r="G600" s="1" t="s">
        <v>2772</v>
      </c>
      <c r="H600" s="2">
        <v>45288</v>
      </c>
      <c r="I600" s="2">
        <v>30647</v>
      </c>
      <c r="J600" s="7">
        <f t="shared" ca="1" si="19"/>
        <v>39.947945205479449</v>
      </c>
      <c r="K600" s="1" t="s">
        <v>57</v>
      </c>
      <c r="L600" s="1" t="s">
        <v>1214</v>
      </c>
      <c r="M600" s="2">
        <v>45227</v>
      </c>
      <c r="N600" s="1">
        <v>2</v>
      </c>
      <c r="O600" s="2">
        <v>45227</v>
      </c>
      <c r="P600" s="1" t="s">
        <v>44</v>
      </c>
      <c r="Q600" s="1" t="s">
        <v>1309</v>
      </c>
      <c r="R600" s="1" t="s">
        <v>60</v>
      </c>
      <c r="S600" s="1" t="s">
        <v>47</v>
      </c>
      <c r="T600" s="1">
        <v>8</v>
      </c>
      <c r="U600" s="2">
        <v>45227</v>
      </c>
      <c r="V600" s="2">
        <v>45957</v>
      </c>
      <c r="W600" s="2" t="s">
        <v>42</v>
      </c>
      <c r="X600" s="1" t="s">
        <v>42</v>
      </c>
      <c r="Y600" s="2" t="s">
        <v>42</v>
      </c>
      <c r="Z600" s="1" t="s">
        <v>2773</v>
      </c>
      <c r="AA600" s="1" t="s">
        <v>2774</v>
      </c>
      <c r="AB600" s="1" t="s">
        <v>42</v>
      </c>
      <c r="AC600" s="1" t="s">
        <v>42</v>
      </c>
      <c r="AD600" s="1"/>
      <c r="AE600" s="1" t="s">
        <v>1475</v>
      </c>
      <c r="AF600" s="1" t="s">
        <v>436</v>
      </c>
      <c r="AG600" s="2" t="s">
        <v>42</v>
      </c>
      <c r="AH600" s="1"/>
      <c r="AI600" s="1" t="s">
        <v>42</v>
      </c>
      <c r="AJ600" s="1"/>
      <c r="AK600" s="2" t="s">
        <v>42</v>
      </c>
      <c r="AL600" s="1" t="s">
        <v>42</v>
      </c>
    </row>
    <row r="601" spans="1:38" ht="20.100000000000001" customHeight="1" x14ac:dyDescent="0.2">
      <c r="A601" s="3">
        <f t="shared" si="18"/>
        <v>598</v>
      </c>
      <c r="B601" s="1" t="s">
        <v>2775</v>
      </c>
      <c r="C601" s="1" t="s">
        <v>2776</v>
      </c>
      <c r="D601" s="1" t="s">
        <v>38</v>
      </c>
      <c r="E601" s="1" t="s">
        <v>69</v>
      </c>
      <c r="F601" s="1" t="s">
        <v>70</v>
      </c>
      <c r="G601" s="1" t="s">
        <v>2777</v>
      </c>
      <c r="H601" s="2" t="s">
        <v>42</v>
      </c>
      <c r="I601" s="2">
        <v>31778</v>
      </c>
      <c r="J601" s="7">
        <f t="shared" ca="1" si="19"/>
        <v>36.849315068493148</v>
      </c>
      <c r="K601" s="1" t="s">
        <v>195</v>
      </c>
      <c r="L601" s="1" t="s">
        <v>2778</v>
      </c>
      <c r="M601" s="2">
        <v>45227</v>
      </c>
      <c r="N601" s="1">
        <v>2</v>
      </c>
      <c r="O601" s="2">
        <v>45227</v>
      </c>
      <c r="P601" s="1" t="s">
        <v>44</v>
      </c>
      <c r="Q601" s="1" t="s">
        <v>45</v>
      </c>
      <c r="R601" s="1" t="s">
        <v>708</v>
      </c>
      <c r="S601" s="1" t="s">
        <v>156</v>
      </c>
      <c r="T601" s="1">
        <v>8</v>
      </c>
      <c r="U601" s="2">
        <v>45227</v>
      </c>
      <c r="V601" s="2">
        <v>45592</v>
      </c>
      <c r="W601" s="2" t="s">
        <v>42</v>
      </c>
      <c r="X601" s="1" t="s">
        <v>42</v>
      </c>
      <c r="Y601" s="2" t="s">
        <v>42</v>
      </c>
      <c r="Z601" s="1" t="s">
        <v>2779</v>
      </c>
      <c r="AA601" s="1" t="s">
        <v>42</v>
      </c>
      <c r="AB601" s="1" t="s">
        <v>42</v>
      </c>
      <c r="AC601" s="1" t="s">
        <v>50</v>
      </c>
      <c r="AD601" s="1"/>
      <c r="AE601" s="1" t="s">
        <v>788</v>
      </c>
      <c r="AF601" s="1" t="s">
        <v>66</v>
      </c>
      <c r="AG601" s="2" t="s">
        <v>42</v>
      </c>
      <c r="AH601" s="1"/>
      <c r="AI601" s="1" t="s">
        <v>42</v>
      </c>
      <c r="AJ601" s="1"/>
      <c r="AK601" s="2" t="s">
        <v>42</v>
      </c>
      <c r="AL601" s="1" t="s">
        <v>42</v>
      </c>
    </row>
    <row r="602" spans="1:38" ht="20.100000000000001" customHeight="1" x14ac:dyDescent="0.2">
      <c r="A602" s="3">
        <f t="shared" si="18"/>
        <v>599</v>
      </c>
      <c r="B602" s="1" t="s">
        <v>2780</v>
      </c>
      <c r="C602" s="1" t="s">
        <v>2781</v>
      </c>
      <c r="D602" s="1" t="s">
        <v>38</v>
      </c>
      <c r="E602" s="1" t="s">
        <v>39</v>
      </c>
      <c r="F602" s="1" t="s">
        <v>40</v>
      </c>
      <c r="G602" s="1" t="s">
        <v>2782</v>
      </c>
      <c r="H602" s="2">
        <v>46934</v>
      </c>
      <c r="I602" s="2">
        <v>38260</v>
      </c>
      <c r="J602" s="7">
        <f t="shared" ca="1" si="19"/>
        <v>19.090410958904108</v>
      </c>
      <c r="K602" s="1" t="s">
        <v>42</v>
      </c>
      <c r="L602" s="1" t="s">
        <v>211</v>
      </c>
      <c r="M602" s="2">
        <v>45209</v>
      </c>
      <c r="N602" s="1">
        <v>2</v>
      </c>
      <c r="O602" s="2">
        <v>45209</v>
      </c>
      <c r="P602" s="1" t="s">
        <v>335</v>
      </c>
      <c r="Q602" s="1" t="s">
        <v>394</v>
      </c>
      <c r="R602" s="1" t="s">
        <v>60</v>
      </c>
      <c r="S602" s="1" t="s">
        <v>47</v>
      </c>
      <c r="T602" s="1">
        <v>8</v>
      </c>
      <c r="U602" s="2">
        <v>45209</v>
      </c>
      <c r="V602" s="2">
        <v>45574</v>
      </c>
      <c r="W602" s="2" t="s">
        <v>42</v>
      </c>
      <c r="X602" s="1" t="s">
        <v>42</v>
      </c>
      <c r="Y602" s="2" t="s">
        <v>42</v>
      </c>
      <c r="Z602" s="1" t="s">
        <v>2783</v>
      </c>
      <c r="AA602" s="1" t="s">
        <v>42</v>
      </c>
      <c r="AB602" s="1" t="s">
        <v>2784</v>
      </c>
      <c r="AC602" s="1" t="s">
        <v>50</v>
      </c>
      <c r="AD602" s="1">
        <v>7034664628</v>
      </c>
      <c r="AE602" s="1" t="s">
        <v>443</v>
      </c>
      <c r="AF602" s="1" t="s">
        <v>66</v>
      </c>
      <c r="AG602" s="2" t="s">
        <v>42</v>
      </c>
      <c r="AH602" s="1"/>
      <c r="AI602" s="1" t="s">
        <v>42</v>
      </c>
      <c r="AJ602" s="1"/>
      <c r="AK602" s="2" t="s">
        <v>42</v>
      </c>
      <c r="AL602" s="1" t="s">
        <v>3507</v>
      </c>
    </row>
    <row r="603" spans="1:38" ht="20.100000000000001" customHeight="1" x14ac:dyDescent="0.2">
      <c r="A603" s="3">
        <f t="shared" si="18"/>
        <v>600</v>
      </c>
      <c r="B603" s="1" t="s">
        <v>2785</v>
      </c>
      <c r="C603" s="1" t="s">
        <v>2786</v>
      </c>
      <c r="D603" s="1" t="s">
        <v>38</v>
      </c>
      <c r="E603" s="1" t="s">
        <v>39</v>
      </c>
      <c r="F603" s="1" t="s">
        <v>40</v>
      </c>
      <c r="G603" s="1" t="s">
        <v>2787</v>
      </c>
      <c r="H603" s="2">
        <v>45515</v>
      </c>
      <c r="I603" s="2">
        <v>37655</v>
      </c>
      <c r="J603" s="7">
        <f t="shared" ca="1" si="19"/>
        <v>20.747945205479454</v>
      </c>
      <c r="K603" s="1" t="s">
        <v>42</v>
      </c>
      <c r="L603" s="1" t="s">
        <v>211</v>
      </c>
      <c r="M603" s="2">
        <v>45215</v>
      </c>
      <c r="N603" s="1">
        <v>2</v>
      </c>
      <c r="O603" s="2">
        <v>45215</v>
      </c>
      <c r="P603" s="1" t="s">
        <v>44</v>
      </c>
      <c r="Q603" s="1" t="s">
        <v>59</v>
      </c>
      <c r="R603" s="1" t="s">
        <v>60</v>
      </c>
      <c r="S603" s="1" t="s">
        <v>47</v>
      </c>
      <c r="T603" s="1">
        <v>8</v>
      </c>
      <c r="U603" s="2">
        <v>45215</v>
      </c>
      <c r="V603" s="2">
        <v>45580</v>
      </c>
      <c r="W603" s="2" t="s">
        <v>42</v>
      </c>
      <c r="X603" s="1" t="s">
        <v>42</v>
      </c>
      <c r="Y603" s="2" t="s">
        <v>42</v>
      </c>
      <c r="Z603" s="1" t="s">
        <v>2788</v>
      </c>
      <c r="AA603" s="1" t="s">
        <v>2789</v>
      </c>
      <c r="AB603" s="1" t="s">
        <v>2790</v>
      </c>
      <c r="AC603" s="1" t="s">
        <v>129</v>
      </c>
      <c r="AD603" s="1">
        <v>7014477116</v>
      </c>
      <c r="AE603" s="1" t="s">
        <v>65</v>
      </c>
      <c r="AF603" s="1" t="s">
        <v>66</v>
      </c>
      <c r="AG603" s="2" t="s">
        <v>42</v>
      </c>
      <c r="AH603" s="1"/>
      <c r="AI603" s="1" t="s">
        <v>42</v>
      </c>
      <c r="AJ603" s="1"/>
      <c r="AK603" s="2" t="s">
        <v>42</v>
      </c>
      <c r="AL603" s="1" t="s">
        <v>3507</v>
      </c>
    </row>
    <row r="604" spans="1:38" ht="20.100000000000001" customHeight="1" x14ac:dyDescent="0.2">
      <c r="A604" s="3">
        <f t="shared" si="18"/>
        <v>601</v>
      </c>
      <c r="B604" s="1" t="s">
        <v>2791</v>
      </c>
      <c r="C604" s="1" t="s">
        <v>2792</v>
      </c>
      <c r="D604" s="1" t="s">
        <v>38</v>
      </c>
      <c r="E604" s="1" t="s">
        <v>69</v>
      </c>
      <c r="F604" s="1" t="s">
        <v>70</v>
      </c>
      <c r="G604" s="1" t="s">
        <v>2793</v>
      </c>
      <c r="H604" s="2" t="s">
        <v>42</v>
      </c>
      <c r="I604" s="2" t="s">
        <v>42</v>
      </c>
      <c r="J604" s="7"/>
      <c r="K604" s="1" t="s">
        <v>482</v>
      </c>
      <c r="L604" s="1" t="s">
        <v>134</v>
      </c>
      <c r="M604" s="2">
        <v>45222</v>
      </c>
      <c r="N604" s="1">
        <v>2</v>
      </c>
      <c r="O604" s="2">
        <v>45222</v>
      </c>
      <c r="P604" s="1" t="s">
        <v>2608</v>
      </c>
      <c r="Q604" s="1" t="s">
        <v>2608</v>
      </c>
      <c r="R604" s="1" t="s">
        <v>60</v>
      </c>
      <c r="S604" s="1" t="s">
        <v>156</v>
      </c>
      <c r="T604" s="1">
        <v>8</v>
      </c>
      <c r="U604" s="2" t="s">
        <v>42</v>
      </c>
      <c r="V604" s="2" t="s">
        <v>42</v>
      </c>
      <c r="W604" s="2" t="s">
        <v>42</v>
      </c>
      <c r="X604" s="1" t="s">
        <v>42</v>
      </c>
      <c r="Y604" s="2" t="s">
        <v>42</v>
      </c>
      <c r="Z604" s="1" t="s">
        <v>42</v>
      </c>
      <c r="AA604" s="1" t="s">
        <v>42</v>
      </c>
      <c r="AB604" s="1" t="s">
        <v>42</v>
      </c>
      <c r="AC604" s="1" t="s">
        <v>42</v>
      </c>
      <c r="AD604" s="1"/>
      <c r="AE604" s="1" t="s">
        <v>42</v>
      </c>
      <c r="AF604" s="1"/>
      <c r="AG604" s="2" t="s">
        <v>42</v>
      </c>
      <c r="AH604" s="1"/>
      <c r="AI604" s="1" t="s">
        <v>42</v>
      </c>
      <c r="AJ604" s="1"/>
      <c r="AK604" s="2" t="s">
        <v>42</v>
      </c>
      <c r="AL604" s="1" t="s">
        <v>42</v>
      </c>
    </row>
    <row r="605" spans="1:38" ht="20.100000000000001" customHeight="1" x14ac:dyDescent="0.2">
      <c r="A605" s="3">
        <f t="shared" si="18"/>
        <v>602</v>
      </c>
      <c r="B605" s="1" t="s">
        <v>2794</v>
      </c>
      <c r="C605" s="1" t="s">
        <v>2795</v>
      </c>
      <c r="D605" s="1" t="s">
        <v>38</v>
      </c>
      <c r="E605" s="1" t="s">
        <v>69</v>
      </c>
      <c r="F605" s="1" t="s">
        <v>70</v>
      </c>
      <c r="G605" s="1" t="s">
        <v>2796</v>
      </c>
      <c r="H605" s="2">
        <v>45489</v>
      </c>
      <c r="I605" s="2">
        <v>36132</v>
      </c>
      <c r="J605" s="7">
        <f t="shared" ca="1" si="19"/>
        <v>24.920547945205481</v>
      </c>
      <c r="K605" s="1" t="s">
        <v>897</v>
      </c>
      <c r="L605" s="1" t="s">
        <v>186</v>
      </c>
      <c r="M605" s="2">
        <v>45208</v>
      </c>
      <c r="N605" s="1">
        <v>2</v>
      </c>
      <c r="O605" s="2">
        <v>45208</v>
      </c>
      <c r="P605" s="1" t="s">
        <v>44</v>
      </c>
      <c r="Q605" s="1" t="s">
        <v>66</v>
      </c>
      <c r="R605" s="1" t="s">
        <v>60</v>
      </c>
      <c r="S605" s="1" t="s">
        <v>156</v>
      </c>
      <c r="T605" s="1" t="s">
        <v>42</v>
      </c>
      <c r="U605" s="2" t="s">
        <v>42</v>
      </c>
      <c r="V605" s="2" t="s">
        <v>42</v>
      </c>
      <c r="W605" s="2" t="s">
        <v>42</v>
      </c>
      <c r="X605" s="1" t="s">
        <v>42</v>
      </c>
      <c r="Y605" s="2" t="s">
        <v>42</v>
      </c>
      <c r="Z605" s="1" t="s">
        <v>2797</v>
      </c>
      <c r="AA605" s="1" t="s">
        <v>2798</v>
      </c>
      <c r="AB605" s="1" t="s">
        <v>2799</v>
      </c>
      <c r="AC605" s="1" t="s">
        <v>129</v>
      </c>
      <c r="AD605" s="1">
        <v>7014477116</v>
      </c>
      <c r="AE605" s="1" t="s">
        <v>65</v>
      </c>
      <c r="AF605" s="1" t="s">
        <v>66</v>
      </c>
      <c r="AG605" s="2" t="s">
        <v>42</v>
      </c>
      <c r="AH605" s="1"/>
      <c r="AI605" s="1" t="s">
        <v>42</v>
      </c>
      <c r="AJ605" s="1"/>
      <c r="AK605" s="2" t="s">
        <v>42</v>
      </c>
      <c r="AL605" s="1" t="s">
        <v>42</v>
      </c>
    </row>
  </sheetData>
  <autoFilter ref="A3:AL605" xr:uid="{00000000-0001-0000-0000-000000000000}">
    <sortState xmlns:xlrd2="http://schemas.microsoft.com/office/spreadsheetml/2017/richdata2" ref="A4:AL605">
      <sortCondition ref="B3:B605"/>
    </sortState>
  </autoFilter>
  <conditionalFormatting sqref="A3:AL606">
    <cfRule type="expression" dxfId="12" priority="1">
      <formula>$AL3="استبعاد نهائي"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4F18-E70A-4C7B-A5CD-F5179731106F}">
  <dimension ref="A1:M606"/>
  <sheetViews>
    <sheetView rightToLeft="1" showOutlineSymbols="0" showWhiteSpace="0" workbookViewId="0">
      <pane ySplit="3" topLeftCell="A4" activePane="bottomLeft" state="frozen"/>
      <selection pane="bottomLeft" activeCell="M16" sqref="M16"/>
    </sheetView>
  </sheetViews>
  <sheetFormatPr defaultRowHeight="14.25" x14ac:dyDescent="0.2"/>
  <cols>
    <col min="1" max="1" width="4.875" style="8" bestFit="1" customWidth="1"/>
    <col min="2" max="2" width="9.875" style="8" bestFit="1" customWidth="1"/>
    <col min="3" max="3" width="12.25" style="8" bestFit="1" customWidth="1"/>
    <col min="4" max="4" width="9.125" style="8" bestFit="1" customWidth="1"/>
    <col min="5" max="5" width="27.875" style="8" bestFit="1" customWidth="1"/>
    <col min="6" max="6" width="18.75" style="8" bestFit="1" customWidth="1"/>
    <col min="7" max="7" width="11.375" style="10" bestFit="1" customWidth="1"/>
    <col min="8" max="8" width="8.875" style="10" bestFit="1" customWidth="1"/>
    <col min="9" max="9" width="7.875" style="10" bestFit="1" customWidth="1"/>
    <col min="10" max="10" width="7.25" style="10" bestFit="1" customWidth="1"/>
    <col min="11" max="11" width="8.875" style="10" bestFit="1" customWidth="1"/>
    <col min="12" max="12" width="9.875" style="10" bestFit="1" customWidth="1"/>
    <col min="13" max="13" width="36.125" style="8" bestFit="1" customWidth="1"/>
    <col min="14" max="16384" width="9" style="8"/>
  </cols>
  <sheetData>
    <row r="1" spans="1:13" ht="39.950000000000003" customHeight="1" x14ac:dyDescent="0.2">
      <c r="A1" s="4"/>
    </row>
    <row r="2" spans="1:13" ht="20.100000000000001" customHeight="1" x14ac:dyDescent="0.2">
      <c r="A2" s="5"/>
    </row>
    <row r="3" spans="1:13" ht="20.100000000000001" customHeight="1" x14ac:dyDescent="0.2">
      <c r="A3" s="12" t="s">
        <v>3505</v>
      </c>
      <c r="B3" s="12" t="s">
        <v>3504</v>
      </c>
      <c r="C3" s="12" t="s">
        <v>3509</v>
      </c>
      <c r="D3" s="12" t="s">
        <v>3510</v>
      </c>
      <c r="E3" s="12" t="s">
        <v>3511</v>
      </c>
      <c r="F3" s="12" t="s">
        <v>14</v>
      </c>
      <c r="G3" s="13" t="s">
        <v>3512</v>
      </c>
      <c r="H3" s="13" t="s">
        <v>3513</v>
      </c>
      <c r="I3" s="13" t="s">
        <v>3514</v>
      </c>
      <c r="J3" s="13" t="s">
        <v>3515</v>
      </c>
      <c r="K3" s="13" t="s">
        <v>3516</v>
      </c>
      <c r="L3" s="13" t="s">
        <v>3517</v>
      </c>
      <c r="M3" s="12" t="s">
        <v>3518</v>
      </c>
    </row>
    <row r="4" spans="1:13" ht="20.100000000000001" customHeight="1" x14ac:dyDescent="0.2">
      <c r="A4" s="9">
        <f t="shared" ref="A4:A35" si="0">ROW()-3</f>
        <v>1</v>
      </c>
      <c r="B4" s="9">
        <v>1000</v>
      </c>
      <c r="C4" s="9">
        <v>1023619636</v>
      </c>
      <c r="D4" s="9" t="s">
        <v>3105</v>
      </c>
      <c r="E4" s="9" t="s">
        <v>37</v>
      </c>
      <c r="F4" s="9" t="s">
        <v>45</v>
      </c>
      <c r="G4" s="11">
        <v>35000</v>
      </c>
      <c r="H4" s="11">
        <v>16250</v>
      </c>
      <c r="I4" s="11">
        <v>0</v>
      </c>
      <c r="J4" s="11">
        <v>0</v>
      </c>
      <c r="K4" s="11">
        <v>38750</v>
      </c>
      <c r="L4" s="11">
        <v>90000</v>
      </c>
      <c r="M4" s="9" t="s">
        <v>37</v>
      </c>
    </row>
    <row r="5" spans="1:13" ht="20.100000000000001" customHeight="1" x14ac:dyDescent="0.2">
      <c r="A5" s="9">
        <f t="shared" si="0"/>
        <v>2</v>
      </c>
      <c r="B5" s="9">
        <v>1001</v>
      </c>
      <c r="C5" s="9">
        <v>2183771753</v>
      </c>
      <c r="D5" s="9" t="s">
        <v>3519</v>
      </c>
      <c r="E5" s="9" t="s">
        <v>53</v>
      </c>
      <c r="F5" s="9" t="s">
        <v>59</v>
      </c>
      <c r="G5" s="11">
        <v>1800</v>
      </c>
      <c r="H5" s="11">
        <v>0</v>
      </c>
      <c r="I5" s="11">
        <v>0</v>
      </c>
      <c r="J5" s="11">
        <v>0</v>
      </c>
      <c r="K5" s="11">
        <v>1200</v>
      </c>
      <c r="L5" s="11">
        <v>3000</v>
      </c>
      <c r="M5" s="9" t="s">
        <v>65</v>
      </c>
    </row>
    <row r="6" spans="1:13" ht="20.100000000000001" customHeight="1" x14ac:dyDescent="0.2">
      <c r="A6" s="9">
        <f t="shared" si="0"/>
        <v>3</v>
      </c>
      <c r="B6" s="9">
        <v>1002</v>
      </c>
      <c r="C6" s="9">
        <v>2278047721</v>
      </c>
      <c r="D6" s="9" t="s">
        <v>3519</v>
      </c>
      <c r="E6" s="9" t="s">
        <v>68</v>
      </c>
      <c r="F6" s="9" t="s">
        <v>66</v>
      </c>
      <c r="G6" s="11">
        <v>3600</v>
      </c>
      <c r="H6" s="11">
        <v>0</v>
      </c>
      <c r="I6" s="11" t="s">
        <v>42</v>
      </c>
      <c r="J6" s="11">
        <v>0</v>
      </c>
      <c r="K6" s="11">
        <v>6400</v>
      </c>
      <c r="L6" s="11">
        <v>10000</v>
      </c>
      <c r="M6" s="9" t="s">
        <v>65</v>
      </c>
    </row>
    <row r="7" spans="1:13" ht="20.100000000000001" customHeight="1" x14ac:dyDescent="0.2">
      <c r="A7" s="9">
        <f t="shared" si="0"/>
        <v>4</v>
      </c>
      <c r="B7" s="9">
        <v>1003</v>
      </c>
      <c r="C7" s="9">
        <v>2258083357</v>
      </c>
      <c r="D7" s="9" t="s">
        <v>3519</v>
      </c>
      <c r="E7" s="9" t="s">
        <v>78</v>
      </c>
      <c r="F7" s="9" t="s">
        <v>45</v>
      </c>
      <c r="G7" s="11">
        <v>3600</v>
      </c>
      <c r="H7" s="11">
        <v>0</v>
      </c>
      <c r="I7" s="11">
        <v>0</v>
      </c>
      <c r="J7" s="11">
        <v>0</v>
      </c>
      <c r="K7" s="11">
        <v>6400</v>
      </c>
      <c r="L7" s="11">
        <v>10000</v>
      </c>
      <c r="M7" s="9" t="s">
        <v>65</v>
      </c>
    </row>
    <row r="8" spans="1:13" ht="20.100000000000001" customHeight="1" x14ac:dyDescent="0.2">
      <c r="A8" s="9">
        <f t="shared" si="0"/>
        <v>5</v>
      </c>
      <c r="B8" s="9">
        <v>1004</v>
      </c>
      <c r="C8" s="9">
        <v>2294076340</v>
      </c>
      <c r="D8" s="9" t="s">
        <v>3519</v>
      </c>
      <c r="E8" s="9" t="s">
        <v>87</v>
      </c>
      <c r="F8" s="9" t="s">
        <v>66</v>
      </c>
      <c r="G8" s="11">
        <v>3600</v>
      </c>
      <c r="H8" s="11">
        <v>0</v>
      </c>
      <c r="I8" s="11" t="s">
        <v>42</v>
      </c>
      <c r="J8" s="11">
        <v>0</v>
      </c>
      <c r="K8" s="11">
        <v>6400</v>
      </c>
      <c r="L8" s="11">
        <v>10000</v>
      </c>
      <c r="M8" s="9" t="s">
        <v>65</v>
      </c>
    </row>
    <row r="9" spans="1:13" ht="20.100000000000001" customHeight="1" x14ac:dyDescent="0.2">
      <c r="A9" s="9">
        <f t="shared" si="0"/>
        <v>6</v>
      </c>
      <c r="B9" s="9">
        <v>1005</v>
      </c>
      <c r="C9" s="9">
        <v>2265219804</v>
      </c>
      <c r="D9" s="9" t="s">
        <v>3519</v>
      </c>
      <c r="E9" s="9" t="s">
        <v>96</v>
      </c>
      <c r="F9" s="9" t="s">
        <v>98</v>
      </c>
      <c r="G9" s="11">
        <v>2500</v>
      </c>
      <c r="H9" s="11">
        <v>0</v>
      </c>
      <c r="I9" s="11" t="s">
        <v>42</v>
      </c>
      <c r="J9" s="11">
        <v>0</v>
      </c>
      <c r="K9" s="11">
        <v>3500</v>
      </c>
      <c r="L9" s="11">
        <v>6000</v>
      </c>
      <c r="M9" s="9" t="s">
        <v>103</v>
      </c>
    </row>
    <row r="10" spans="1:13" ht="20.100000000000001" customHeight="1" x14ac:dyDescent="0.2">
      <c r="A10" s="9">
        <f t="shared" si="0"/>
        <v>7</v>
      </c>
      <c r="B10" s="9">
        <v>1006</v>
      </c>
      <c r="C10" s="9">
        <v>2259512115</v>
      </c>
      <c r="D10" s="9" t="s">
        <v>3519</v>
      </c>
      <c r="E10" s="9" t="s">
        <v>105</v>
      </c>
      <c r="F10" s="9" t="s">
        <v>107</v>
      </c>
      <c r="G10" s="11">
        <v>2000</v>
      </c>
      <c r="H10" s="11">
        <v>0</v>
      </c>
      <c r="I10" s="11" t="s">
        <v>42</v>
      </c>
      <c r="J10" s="11">
        <v>0</v>
      </c>
      <c r="K10" s="11">
        <v>800</v>
      </c>
      <c r="L10" s="11">
        <v>2800</v>
      </c>
      <c r="M10" s="9" t="s">
        <v>65</v>
      </c>
    </row>
    <row r="11" spans="1:13" ht="20.100000000000001" customHeight="1" x14ac:dyDescent="0.2">
      <c r="A11" s="9">
        <f t="shared" si="0"/>
        <v>8</v>
      </c>
      <c r="B11" s="9">
        <v>1007</v>
      </c>
      <c r="C11" s="9">
        <v>2278571605</v>
      </c>
      <c r="D11" s="9" t="s">
        <v>3519</v>
      </c>
      <c r="E11" s="9" t="s">
        <v>113</v>
      </c>
      <c r="F11" s="9" t="s">
        <v>115</v>
      </c>
      <c r="G11" s="11">
        <v>1000</v>
      </c>
      <c r="H11" s="11">
        <v>0</v>
      </c>
      <c r="I11" s="11" t="s">
        <v>42</v>
      </c>
      <c r="J11" s="11" t="s">
        <v>42</v>
      </c>
      <c r="K11" s="11">
        <v>0</v>
      </c>
      <c r="L11" s="11">
        <v>1000</v>
      </c>
      <c r="M11" s="9" t="s">
        <v>65</v>
      </c>
    </row>
    <row r="12" spans="1:13" ht="20.100000000000001" customHeight="1" x14ac:dyDescent="0.2">
      <c r="A12" s="9">
        <f t="shared" si="0"/>
        <v>9</v>
      </c>
      <c r="B12" s="9">
        <v>1008</v>
      </c>
      <c r="C12" s="9">
        <v>1031868324</v>
      </c>
      <c r="D12" s="9" t="s">
        <v>3519</v>
      </c>
      <c r="E12" s="9" t="s">
        <v>120</v>
      </c>
      <c r="F12" s="9" t="s">
        <v>45</v>
      </c>
      <c r="G12" s="11">
        <v>4000</v>
      </c>
      <c r="H12" s="11">
        <v>0</v>
      </c>
      <c r="I12" s="11">
        <v>0</v>
      </c>
      <c r="J12" s="11">
        <v>0</v>
      </c>
      <c r="K12" s="11">
        <v>0</v>
      </c>
      <c r="L12" s="11">
        <v>4000</v>
      </c>
      <c r="M12" s="9" t="s">
        <v>65</v>
      </c>
    </row>
    <row r="13" spans="1:13" ht="20.100000000000001" customHeight="1" x14ac:dyDescent="0.2">
      <c r="A13" s="9">
        <f t="shared" si="0"/>
        <v>10</v>
      </c>
      <c r="B13" s="9">
        <v>1009</v>
      </c>
      <c r="C13" s="9">
        <v>2217477385</v>
      </c>
      <c r="D13" s="9" t="s">
        <v>3519</v>
      </c>
      <c r="E13" s="9" t="s">
        <v>131</v>
      </c>
      <c r="F13" s="9" t="s">
        <v>135</v>
      </c>
      <c r="G13" s="11">
        <v>1600</v>
      </c>
      <c r="H13" s="11">
        <v>0</v>
      </c>
      <c r="I13" s="11" t="s">
        <v>42</v>
      </c>
      <c r="J13" s="11">
        <v>0</v>
      </c>
      <c r="K13" s="11">
        <v>900</v>
      </c>
      <c r="L13" s="11">
        <v>2500</v>
      </c>
      <c r="M13" s="9" t="s">
        <v>65</v>
      </c>
    </row>
    <row r="14" spans="1:13" ht="20.100000000000001" customHeight="1" x14ac:dyDescent="0.2">
      <c r="A14" s="9">
        <f t="shared" si="0"/>
        <v>11</v>
      </c>
      <c r="B14" s="9">
        <v>1010</v>
      </c>
      <c r="C14" s="9">
        <v>2201478860</v>
      </c>
      <c r="D14" s="9" t="s">
        <v>3519</v>
      </c>
      <c r="E14" s="9" t="s">
        <v>140</v>
      </c>
      <c r="F14" s="9" t="s">
        <v>142</v>
      </c>
      <c r="G14" s="11">
        <v>1600</v>
      </c>
      <c r="H14" s="11">
        <v>0</v>
      </c>
      <c r="I14" s="11" t="s">
        <v>42</v>
      </c>
      <c r="J14" s="11">
        <v>0</v>
      </c>
      <c r="K14" s="11">
        <v>900</v>
      </c>
      <c r="L14" s="11">
        <v>2500</v>
      </c>
      <c r="M14" s="9" t="s">
        <v>103</v>
      </c>
    </row>
    <row r="15" spans="1:13" ht="20.100000000000001" customHeight="1" x14ac:dyDescent="0.2">
      <c r="A15" s="9">
        <f t="shared" si="0"/>
        <v>12</v>
      </c>
      <c r="B15" s="9">
        <v>1011</v>
      </c>
      <c r="C15" s="9">
        <v>2368855538</v>
      </c>
      <c r="D15" s="9" t="s">
        <v>3519</v>
      </c>
      <c r="E15" s="9" t="s">
        <v>149</v>
      </c>
      <c r="F15" s="9" t="s">
        <v>154</v>
      </c>
      <c r="G15" s="11">
        <v>4000</v>
      </c>
      <c r="H15" s="11">
        <v>0</v>
      </c>
      <c r="I15" s="11">
        <v>0</v>
      </c>
      <c r="J15" s="11">
        <v>0</v>
      </c>
      <c r="K15" s="11">
        <v>4000</v>
      </c>
      <c r="L15" s="11">
        <v>8000</v>
      </c>
      <c r="M15" s="9" t="s">
        <v>103</v>
      </c>
    </row>
    <row r="16" spans="1:13" ht="20.100000000000001" customHeight="1" x14ac:dyDescent="0.2">
      <c r="A16" s="9">
        <f t="shared" si="0"/>
        <v>13</v>
      </c>
      <c r="B16" s="9">
        <v>1012</v>
      </c>
      <c r="C16" s="9">
        <v>2280543253</v>
      </c>
      <c r="D16" s="9" t="s">
        <v>3519</v>
      </c>
      <c r="E16" s="9" t="s">
        <v>162</v>
      </c>
      <c r="F16" s="9" t="s">
        <v>166</v>
      </c>
      <c r="G16" s="11">
        <v>1400</v>
      </c>
      <c r="H16" s="11">
        <v>0</v>
      </c>
      <c r="I16" s="11">
        <v>0</v>
      </c>
      <c r="J16" s="11">
        <v>0</v>
      </c>
      <c r="K16" s="11">
        <v>600</v>
      </c>
      <c r="L16" s="11">
        <v>2000</v>
      </c>
      <c r="M16" s="9" t="s">
        <v>65</v>
      </c>
    </row>
    <row r="17" spans="1:13" ht="20.100000000000001" customHeight="1" x14ac:dyDescent="0.2">
      <c r="A17" s="9">
        <f t="shared" si="0"/>
        <v>14</v>
      </c>
      <c r="B17" s="9">
        <v>1013</v>
      </c>
      <c r="C17" s="9">
        <v>1092729258</v>
      </c>
      <c r="D17" s="9" t="s">
        <v>3519</v>
      </c>
      <c r="E17" s="9" t="s">
        <v>171</v>
      </c>
      <c r="F17" s="9" t="s">
        <v>45</v>
      </c>
      <c r="G17" s="11">
        <v>4000</v>
      </c>
      <c r="H17" s="11">
        <v>0</v>
      </c>
      <c r="I17" s="11">
        <v>0</v>
      </c>
      <c r="J17" s="11">
        <v>0</v>
      </c>
      <c r="K17" s="11">
        <v>0</v>
      </c>
      <c r="L17" s="11">
        <v>4000</v>
      </c>
      <c r="M17" s="9" t="s">
        <v>65</v>
      </c>
    </row>
    <row r="18" spans="1:13" ht="20.100000000000001" customHeight="1" x14ac:dyDescent="0.2">
      <c r="A18" s="9">
        <f t="shared" si="0"/>
        <v>15</v>
      </c>
      <c r="B18" s="9">
        <v>1014</v>
      </c>
      <c r="C18" s="9">
        <v>1092729241</v>
      </c>
      <c r="D18" s="9" t="s">
        <v>3519</v>
      </c>
      <c r="E18" s="9" t="s">
        <v>176</v>
      </c>
      <c r="F18" s="9" t="s">
        <v>178</v>
      </c>
      <c r="G18" s="11">
        <v>4000</v>
      </c>
      <c r="H18" s="11">
        <v>0</v>
      </c>
      <c r="I18" s="11">
        <v>0</v>
      </c>
      <c r="J18" s="11">
        <v>0</v>
      </c>
      <c r="K18" s="11">
        <v>500</v>
      </c>
      <c r="L18" s="11">
        <v>4500</v>
      </c>
      <c r="M18" s="9" t="s">
        <v>65</v>
      </c>
    </row>
    <row r="19" spans="1:13" ht="20.100000000000001" customHeight="1" x14ac:dyDescent="0.2">
      <c r="A19" s="9">
        <f t="shared" si="0"/>
        <v>16</v>
      </c>
      <c r="B19" s="9">
        <v>1015</v>
      </c>
      <c r="C19" s="9">
        <v>2489500492</v>
      </c>
      <c r="D19" s="9" t="s">
        <v>3519</v>
      </c>
      <c r="E19" s="9" t="s">
        <v>184</v>
      </c>
      <c r="F19" s="9" t="s">
        <v>66</v>
      </c>
      <c r="G19" s="11">
        <v>1600</v>
      </c>
      <c r="H19" s="11">
        <v>0</v>
      </c>
      <c r="I19" s="11" t="s">
        <v>42</v>
      </c>
      <c r="J19" s="11">
        <v>0</v>
      </c>
      <c r="K19" s="11">
        <v>1200</v>
      </c>
      <c r="L19" s="11">
        <v>2800</v>
      </c>
      <c r="M19" s="9" t="s">
        <v>65</v>
      </c>
    </row>
    <row r="20" spans="1:13" ht="20.100000000000001" customHeight="1" x14ac:dyDescent="0.2">
      <c r="A20" s="9">
        <f t="shared" si="0"/>
        <v>17</v>
      </c>
      <c r="B20" s="9">
        <v>1016</v>
      </c>
      <c r="C20" s="9">
        <v>2393348749</v>
      </c>
      <c r="D20" s="9" t="s">
        <v>3105</v>
      </c>
      <c r="E20" s="9" t="s">
        <v>192</v>
      </c>
      <c r="F20" s="9" t="s">
        <v>66</v>
      </c>
      <c r="G20" s="11">
        <v>1500</v>
      </c>
      <c r="H20" s="11">
        <v>0</v>
      </c>
      <c r="I20" s="11" t="s">
        <v>42</v>
      </c>
      <c r="J20" s="11">
        <v>0</v>
      </c>
      <c r="K20" s="11">
        <v>300</v>
      </c>
      <c r="L20" s="11">
        <v>1800</v>
      </c>
      <c r="M20" s="9" t="s">
        <v>199</v>
      </c>
    </row>
    <row r="21" spans="1:13" ht="20.100000000000001" customHeight="1" x14ac:dyDescent="0.2">
      <c r="A21" s="9">
        <f t="shared" si="0"/>
        <v>18</v>
      </c>
      <c r="B21" s="9">
        <v>1017</v>
      </c>
      <c r="C21" s="9">
        <v>2249559515</v>
      </c>
      <c r="D21" s="9" t="s">
        <v>3519</v>
      </c>
      <c r="E21" s="9" t="s">
        <v>201</v>
      </c>
      <c r="F21" s="9" t="s">
        <v>203</v>
      </c>
      <c r="G21" s="11">
        <v>1300</v>
      </c>
      <c r="H21" s="11">
        <v>0</v>
      </c>
      <c r="I21" s="11">
        <v>0</v>
      </c>
      <c r="J21" s="11">
        <v>0</v>
      </c>
      <c r="K21" s="11">
        <v>700</v>
      </c>
      <c r="L21" s="11">
        <v>2000</v>
      </c>
      <c r="M21" s="9" t="s">
        <v>65</v>
      </c>
    </row>
    <row r="22" spans="1:13" ht="20.100000000000001" customHeight="1" x14ac:dyDescent="0.2">
      <c r="A22" s="9">
        <f t="shared" si="0"/>
        <v>19</v>
      </c>
      <c r="B22" s="9">
        <v>1018</v>
      </c>
      <c r="C22" s="9">
        <v>2465674733</v>
      </c>
      <c r="D22" s="9" t="s">
        <v>3519</v>
      </c>
      <c r="E22" s="9" t="s">
        <v>209</v>
      </c>
      <c r="F22" s="9" t="s">
        <v>45</v>
      </c>
      <c r="G22" s="11">
        <v>2200</v>
      </c>
      <c r="H22" s="11">
        <v>0</v>
      </c>
      <c r="I22" s="11">
        <v>0</v>
      </c>
      <c r="J22" s="11">
        <v>0</v>
      </c>
      <c r="K22" s="11">
        <v>3300</v>
      </c>
      <c r="L22" s="11">
        <v>5500</v>
      </c>
      <c r="M22" s="9" t="s">
        <v>65</v>
      </c>
    </row>
    <row r="23" spans="1:13" ht="20.100000000000001" customHeight="1" x14ac:dyDescent="0.2">
      <c r="A23" s="9">
        <f t="shared" si="0"/>
        <v>20</v>
      </c>
      <c r="B23" s="9">
        <v>1019</v>
      </c>
      <c r="C23" s="9">
        <v>2341519797</v>
      </c>
      <c r="D23" s="9" t="s">
        <v>3519</v>
      </c>
      <c r="E23" s="9" t="s">
        <v>217</v>
      </c>
      <c r="F23" s="9" t="s">
        <v>222</v>
      </c>
      <c r="G23" s="11">
        <v>1400</v>
      </c>
      <c r="H23" s="11">
        <v>0</v>
      </c>
      <c r="I23" s="11" t="s">
        <v>42</v>
      </c>
      <c r="J23" s="11">
        <v>0</v>
      </c>
      <c r="K23" s="11">
        <v>800</v>
      </c>
      <c r="L23" s="11">
        <v>2200</v>
      </c>
      <c r="M23" s="9" t="s">
        <v>65</v>
      </c>
    </row>
    <row r="24" spans="1:13" ht="20.100000000000001" customHeight="1" x14ac:dyDescent="0.2">
      <c r="A24" s="9">
        <f t="shared" si="0"/>
        <v>21</v>
      </c>
      <c r="B24" s="9">
        <v>1020</v>
      </c>
      <c r="C24" s="9">
        <v>2419016353</v>
      </c>
      <c r="D24" s="9" t="s">
        <v>3105</v>
      </c>
      <c r="E24" s="9" t="s">
        <v>2801</v>
      </c>
      <c r="F24" s="9" t="s">
        <v>222</v>
      </c>
      <c r="G24" s="11">
        <v>1400</v>
      </c>
      <c r="H24" s="11">
        <v>0</v>
      </c>
      <c r="I24" s="11" t="s">
        <v>42</v>
      </c>
      <c r="J24" s="11">
        <v>0</v>
      </c>
      <c r="K24" s="11">
        <v>300</v>
      </c>
      <c r="L24" s="11">
        <v>1700</v>
      </c>
      <c r="M24" s="9" t="s">
        <v>247</v>
      </c>
    </row>
    <row r="25" spans="1:13" ht="20.100000000000001" customHeight="1" x14ac:dyDescent="0.2">
      <c r="A25" s="9">
        <f t="shared" si="0"/>
        <v>22</v>
      </c>
      <c r="B25" s="9">
        <v>1021</v>
      </c>
      <c r="C25" s="9">
        <v>2466030422</v>
      </c>
      <c r="D25" s="9" t="s">
        <v>3519</v>
      </c>
      <c r="E25" s="9" t="s">
        <v>229</v>
      </c>
      <c r="F25" s="9" t="s">
        <v>178</v>
      </c>
      <c r="G25" s="11">
        <v>3600</v>
      </c>
      <c r="H25" s="11">
        <v>0</v>
      </c>
      <c r="I25" s="11" t="s">
        <v>42</v>
      </c>
      <c r="J25" s="11">
        <v>0</v>
      </c>
      <c r="K25" s="11">
        <v>4400</v>
      </c>
      <c r="L25" s="11">
        <v>8000</v>
      </c>
      <c r="M25" s="9" t="s">
        <v>65</v>
      </c>
    </row>
    <row r="26" spans="1:13" ht="20.100000000000001" customHeight="1" x14ac:dyDescent="0.2">
      <c r="A26" s="9">
        <f t="shared" si="0"/>
        <v>23</v>
      </c>
      <c r="B26" s="9">
        <v>1022</v>
      </c>
      <c r="C26" s="9">
        <v>2214431989</v>
      </c>
      <c r="D26" s="9" t="s">
        <v>3519</v>
      </c>
      <c r="E26" s="9" t="s">
        <v>238</v>
      </c>
      <c r="F26" s="9" t="s">
        <v>66</v>
      </c>
      <c r="G26" s="11">
        <v>2200</v>
      </c>
      <c r="H26" s="11">
        <v>0</v>
      </c>
      <c r="I26" s="11" t="s">
        <v>42</v>
      </c>
      <c r="J26" s="11">
        <v>0</v>
      </c>
      <c r="K26" s="11">
        <v>2800</v>
      </c>
      <c r="L26" s="11">
        <v>5000</v>
      </c>
      <c r="M26" s="9" t="s">
        <v>65</v>
      </c>
    </row>
    <row r="27" spans="1:13" ht="20.100000000000001" customHeight="1" x14ac:dyDescent="0.2">
      <c r="A27" s="9">
        <f t="shared" si="0"/>
        <v>24</v>
      </c>
      <c r="B27" s="9">
        <v>1023</v>
      </c>
      <c r="C27" s="9">
        <v>1061419220</v>
      </c>
      <c r="D27" s="9" t="s">
        <v>3519</v>
      </c>
      <c r="E27" s="9" t="s">
        <v>247</v>
      </c>
      <c r="F27" s="9" t="s">
        <v>45</v>
      </c>
      <c r="G27" s="11">
        <v>9600</v>
      </c>
      <c r="H27" s="11">
        <v>2400</v>
      </c>
      <c r="I27" s="11">
        <v>0</v>
      </c>
      <c r="J27" s="11">
        <v>0</v>
      </c>
      <c r="K27" s="11">
        <v>13000</v>
      </c>
      <c r="L27" s="11">
        <v>25000</v>
      </c>
      <c r="M27" s="9" t="s">
        <v>65</v>
      </c>
    </row>
    <row r="28" spans="1:13" ht="20.100000000000001" customHeight="1" x14ac:dyDescent="0.2">
      <c r="A28" s="9">
        <f t="shared" si="0"/>
        <v>25</v>
      </c>
      <c r="B28" s="9">
        <v>1024</v>
      </c>
      <c r="C28" s="9">
        <v>2184651574</v>
      </c>
      <c r="D28" s="9" t="s">
        <v>3519</v>
      </c>
      <c r="E28" s="9" t="s">
        <v>254</v>
      </c>
      <c r="F28" s="9" t="s">
        <v>66</v>
      </c>
      <c r="G28" s="11">
        <v>1300</v>
      </c>
      <c r="H28" s="11">
        <v>0</v>
      </c>
      <c r="I28" s="11" t="s">
        <v>42</v>
      </c>
      <c r="J28" s="11">
        <v>0</v>
      </c>
      <c r="K28" s="11">
        <v>700</v>
      </c>
      <c r="L28" s="11">
        <v>2000</v>
      </c>
      <c r="M28" s="9" t="s">
        <v>65</v>
      </c>
    </row>
    <row r="29" spans="1:13" ht="20.100000000000001" customHeight="1" x14ac:dyDescent="0.2">
      <c r="A29" s="9">
        <f t="shared" si="0"/>
        <v>26</v>
      </c>
      <c r="B29" s="9">
        <v>1025</v>
      </c>
      <c r="C29" s="9">
        <v>2426108722</v>
      </c>
      <c r="D29" s="9" t="s">
        <v>3519</v>
      </c>
      <c r="E29" s="9" t="s">
        <v>260</v>
      </c>
      <c r="F29" s="9" t="s">
        <v>203</v>
      </c>
      <c r="G29" s="11">
        <v>1800</v>
      </c>
      <c r="H29" s="11">
        <v>0</v>
      </c>
      <c r="I29" s="11">
        <v>0</v>
      </c>
      <c r="J29" s="11">
        <v>0</v>
      </c>
      <c r="K29" s="11">
        <v>1200</v>
      </c>
      <c r="L29" s="11">
        <v>3000</v>
      </c>
      <c r="M29" s="9" t="s">
        <v>65</v>
      </c>
    </row>
    <row r="30" spans="1:13" ht="20.100000000000001" customHeight="1" x14ac:dyDescent="0.2">
      <c r="A30" s="9">
        <f t="shared" si="0"/>
        <v>27</v>
      </c>
      <c r="B30" s="9">
        <v>1026</v>
      </c>
      <c r="C30" s="9">
        <v>2425771561</v>
      </c>
      <c r="D30" s="9" t="s">
        <v>3519</v>
      </c>
      <c r="E30" s="9" t="s">
        <v>268</v>
      </c>
      <c r="F30" s="9" t="s">
        <v>270</v>
      </c>
      <c r="G30" s="11">
        <v>1300</v>
      </c>
      <c r="H30" s="11">
        <v>0</v>
      </c>
      <c r="I30" s="11" t="s">
        <v>42</v>
      </c>
      <c r="J30" s="11">
        <v>0</v>
      </c>
      <c r="K30" s="11">
        <v>1000</v>
      </c>
      <c r="L30" s="11">
        <v>2300</v>
      </c>
      <c r="M30" s="9" t="s">
        <v>65</v>
      </c>
    </row>
    <row r="31" spans="1:13" ht="20.100000000000001" customHeight="1" x14ac:dyDescent="0.2">
      <c r="A31" s="9">
        <f t="shared" si="0"/>
        <v>28</v>
      </c>
      <c r="B31" s="9">
        <v>1027</v>
      </c>
      <c r="C31" s="9">
        <v>2426599862</v>
      </c>
      <c r="D31" s="9" t="s">
        <v>3519</v>
      </c>
      <c r="E31" s="9" t="s">
        <v>276</v>
      </c>
      <c r="F31" s="9" t="s">
        <v>203</v>
      </c>
      <c r="G31" s="11">
        <v>1400</v>
      </c>
      <c r="H31" s="11">
        <v>0</v>
      </c>
      <c r="I31" s="11">
        <v>0</v>
      </c>
      <c r="J31" s="11">
        <v>0</v>
      </c>
      <c r="K31" s="11">
        <v>900</v>
      </c>
      <c r="L31" s="11">
        <v>2300</v>
      </c>
      <c r="M31" s="9" t="s">
        <v>65</v>
      </c>
    </row>
    <row r="32" spans="1:13" ht="20.100000000000001" customHeight="1" x14ac:dyDescent="0.2">
      <c r="A32" s="9">
        <f t="shared" si="0"/>
        <v>29</v>
      </c>
      <c r="B32" s="9">
        <v>1028</v>
      </c>
      <c r="C32" s="9">
        <v>2379964170</v>
      </c>
      <c r="D32" s="9" t="s">
        <v>3519</v>
      </c>
      <c r="E32" s="9" t="s">
        <v>283</v>
      </c>
      <c r="F32" s="9" t="s">
        <v>203</v>
      </c>
      <c r="G32" s="11">
        <v>1500</v>
      </c>
      <c r="H32" s="11">
        <v>0</v>
      </c>
      <c r="I32" s="11">
        <v>0</v>
      </c>
      <c r="J32" s="11">
        <v>0</v>
      </c>
      <c r="K32" s="11">
        <v>700</v>
      </c>
      <c r="L32" s="11">
        <v>2200</v>
      </c>
      <c r="M32" s="9" t="s">
        <v>65</v>
      </c>
    </row>
    <row r="33" spans="1:13" ht="20.100000000000001" customHeight="1" x14ac:dyDescent="0.2">
      <c r="A33" s="9">
        <f t="shared" si="0"/>
        <v>30</v>
      </c>
      <c r="B33" s="9">
        <v>1029</v>
      </c>
      <c r="C33" s="9">
        <v>2427581463</v>
      </c>
      <c r="D33" s="9" t="s">
        <v>3519</v>
      </c>
      <c r="E33" s="9" t="s">
        <v>290</v>
      </c>
      <c r="F33" s="9" t="s">
        <v>292</v>
      </c>
      <c r="G33" s="11">
        <v>1300</v>
      </c>
      <c r="H33" s="11">
        <v>0</v>
      </c>
      <c r="I33" s="11" t="s">
        <v>42</v>
      </c>
      <c r="J33" s="11">
        <v>0</v>
      </c>
      <c r="K33" s="11">
        <v>1200</v>
      </c>
      <c r="L33" s="11">
        <v>2500</v>
      </c>
      <c r="M33" s="9" t="s">
        <v>65</v>
      </c>
    </row>
    <row r="34" spans="1:13" ht="20.100000000000001" customHeight="1" x14ac:dyDescent="0.2">
      <c r="A34" s="9">
        <f t="shared" si="0"/>
        <v>31</v>
      </c>
      <c r="B34" s="9">
        <v>1030</v>
      </c>
      <c r="C34" s="9">
        <v>2429930478</v>
      </c>
      <c r="D34" s="9" t="s">
        <v>3519</v>
      </c>
      <c r="E34" s="9" t="s">
        <v>298</v>
      </c>
      <c r="F34" s="9" t="s">
        <v>66</v>
      </c>
      <c r="G34" s="11">
        <v>1300</v>
      </c>
      <c r="H34" s="11">
        <v>0</v>
      </c>
      <c r="I34" s="11" t="s">
        <v>42</v>
      </c>
      <c r="J34" s="11">
        <v>0</v>
      </c>
      <c r="K34" s="11">
        <v>1000</v>
      </c>
      <c r="L34" s="11">
        <v>2300</v>
      </c>
      <c r="M34" s="9" t="s">
        <v>65</v>
      </c>
    </row>
    <row r="35" spans="1:13" ht="20.100000000000001" customHeight="1" x14ac:dyDescent="0.2">
      <c r="A35" s="9">
        <f t="shared" si="0"/>
        <v>32</v>
      </c>
      <c r="B35" s="9">
        <v>1031</v>
      </c>
      <c r="C35" s="9">
        <v>2434409518</v>
      </c>
      <c r="D35" s="9" t="s">
        <v>3519</v>
      </c>
      <c r="E35" s="9" t="s">
        <v>304</v>
      </c>
      <c r="F35" s="9" t="s">
        <v>306</v>
      </c>
      <c r="G35" s="11">
        <v>1300</v>
      </c>
      <c r="H35" s="11">
        <v>0</v>
      </c>
      <c r="I35" s="11" t="s">
        <v>42</v>
      </c>
      <c r="J35" s="11" t="s">
        <v>42</v>
      </c>
      <c r="K35" s="11">
        <v>1000</v>
      </c>
      <c r="L35" s="11">
        <v>2300</v>
      </c>
      <c r="M35" s="9" t="s">
        <v>3506</v>
      </c>
    </row>
    <row r="36" spans="1:13" ht="20.100000000000001" customHeight="1" x14ac:dyDescent="0.2">
      <c r="A36" s="9">
        <f t="shared" ref="A36:A53" si="1">ROW()-3</f>
        <v>33</v>
      </c>
      <c r="B36" s="9">
        <v>1032</v>
      </c>
      <c r="C36" s="9">
        <v>2088386467</v>
      </c>
      <c r="D36" s="9" t="s">
        <v>3519</v>
      </c>
      <c r="E36" s="9" t="s">
        <v>311</v>
      </c>
      <c r="F36" s="9" t="s">
        <v>142</v>
      </c>
      <c r="G36" s="11">
        <v>4000</v>
      </c>
      <c r="H36" s="11">
        <v>0</v>
      </c>
      <c r="I36" s="11" t="s">
        <v>42</v>
      </c>
      <c r="J36" s="11">
        <v>0</v>
      </c>
      <c r="K36" s="11">
        <v>6000</v>
      </c>
      <c r="L36" s="11">
        <v>10000</v>
      </c>
      <c r="M36" s="9" t="s">
        <v>65</v>
      </c>
    </row>
    <row r="37" spans="1:13" ht="20.100000000000001" customHeight="1" x14ac:dyDescent="0.2">
      <c r="A37" s="9">
        <f t="shared" si="1"/>
        <v>34</v>
      </c>
      <c r="B37" s="9">
        <v>1033</v>
      </c>
      <c r="C37" s="9">
        <v>2442201907</v>
      </c>
      <c r="D37" s="9" t="s">
        <v>3519</v>
      </c>
      <c r="E37" s="9" t="s">
        <v>318</v>
      </c>
      <c r="F37" s="9" t="s">
        <v>66</v>
      </c>
      <c r="G37" s="11">
        <v>1300</v>
      </c>
      <c r="H37" s="11">
        <v>0</v>
      </c>
      <c r="I37" s="11" t="s">
        <v>42</v>
      </c>
      <c r="J37" s="11">
        <v>0</v>
      </c>
      <c r="K37" s="11">
        <v>900</v>
      </c>
      <c r="L37" s="11">
        <v>2200</v>
      </c>
      <c r="M37" s="9" t="s">
        <v>247</v>
      </c>
    </row>
    <row r="38" spans="1:13" ht="20.100000000000001" customHeight="1" x14ac:dyDescent="0.2">
      <c r="A38" s="9">
        <f t="shared" si="1"/>
        <v>35</v>
      </c>
      <c r="B38" s="9">
        <v>1034</v>
      </c>
      <c r="C38" s="9">
        <v>2439079886</v>
      </c>
      <c r="D38" s="9" t="s">
        <v>3519</v>
      </c>
      <c r="E38" s="9" t="s">
        <v>325</v>
      </c>
      <c r="F38" s="9" t="s">
        <v>135</v>
      </c>
      <c r="G38" s="11">
        <v>1500</v>
      </c>
      <c r="H38" s="11">
        <v>0</v>
      </c>
      <c r="I38" s="11" t="s">
        <v>42</v>
      </c>
      <c r="J38" s="11">
        <v>0</v>
      </c>
      <c r="K38" s="11">
        <v>1000</v>
      </c>
      <c r="L38" s="11">
        <v>2500</v>
      </c>
      <c r="M38" s="9" t="s">
        <v>65</v>
      </c>
    </row>
    <row r="39" spans="1:13" ht="20.100000000000001" customHeight="1" x14ac:dyDescent="0.2">
      <c r="A39" s="9">
        <f t="shared" si="1"/>
        <v>36</v>
      </c>
      <c r="B39" s="9">
        <v>1035</v>
      </c>
      <c r="C39" s="9">
        <v>2348234200</v>
      </c>
      <c r="D39" s="9" t="s">
        <v>3519</v>
      </c>
      <c r="E39" s="9" t="s">
        <v>333</v>
      </c>
      <c r="F39" s="9" t="s">
        <v>336</v>
      </c>
      <c r="G39" s="11">
        <v>1400</v>
      </c>
      <c r="H39" s="11">
        <v>0</v>
      </c>
      <c r="I39" s="11" t="s">
        <v>42</v>
      </c>
      <c r="J39" s="11">
        <v>0</v>
      </c>
      <c r="K39" s="11">
        <v>1100</v>
      </c>
      <c r="L39" s="11">
        <v>2500</v>
      </c>
      <c r="M39" s="9" t="s">
        <v>65</v>
      </c>
    </row>
    <row r="40" spans="1:13" ht="20.100000000000001" customHeight="1" x14ac:dyDescent="0.2">
      <c r="A40" s="9">
        <f t="shared" si="1"/>
        <v>37</v>
      </c>
      <c r="B40" s="9">
        <v>1036</v>
      </c>
      <c r="C40" s="9">
        <v>2436104687</v>
      </c>
      <c r="D40" s="9" t="s">
        <v>3519</v>
      </c>
      <c r="E40" s="9" t="s">
        <v>343</v>
      </c>
      <c r="F40" s="9" t="s">
        <v>166</v>
      </c>
      <c r="G40" s="11">
        <v>1200</v>
      </c>
      <c r="H40" s="11">
        <v>0</v>
      </c>
      <c r="I40" s="11">
        <v>0</v>
      </c>
      <c r="J40" s="11">
        <v>0</v>
      </c>
      <c r="K40" s="11">
        <v>800</v>
      </c>
      <c r="L40" s="11">
        <v>2000</v>
      </c>
      <c r="M40" s="9" t="s">
        <v>65</v>
      </c>
    </row>
    <row r="41" spans="1:13" ht="20.100000000000001" customHeight="1" x14ac:dyDescent="0.2">
      <c r="A41" s="9">
        <f t="shared" si="1"/>
        <v>38</v>
      </c>
      <c r="B41" s="9">
        <v>1037</v>
      </c>
      <c r="C41" s="9">
        <v>1060845557</v>
      </c>
      <c r="D41" s="9" t="s">
        <v>3519</v>
      </c>
      <c r="E41" s="9" t="s">
        <v>349</v>
      </c>
      <c r="F41" s="9" t="s">
        <v>45</v>
      </c>
      <c r="G41" s="11">
        <v>4000</v>
      </c>
      <c r="H41" s="11">
        <v>0</v>
      </c>
      <c r="I41" s="11" t="s">
        <v>42</v>
      </c>
      <c r="J41" s="11">
        <v>0</v>
      </c>
      <c r="K41" s="11">
        <v>0</v>
      </c>
      <c r="L41" s="11">
        <v>4000</v>
      </c>
      <c r="M41" s="9" t="s">
        <v>65</v>
      </c>
    </row>
    <row r="42" spans="1:13" ht="20.100000000000001" customHeight="1" x14ac:dyDescent="0.2">
      <c r="A42" s="9">
        <f t="shared" si="1"/>
        <v>39</v>
      </c>
      <c r="B42" s="9">
        <v>1038</v>
      </c>
      <c r="C42" s="9">
        <v>2439069309</v>
      </c>
      <c r="D42" s="9" t="s">
        <v>3519</v>
      </c>
      <c r="E42" s="9" t="s">
        <v>354</v>
      </c>
      <c r="F42" s="9" t="s">
        <v>292</v>
      </c>
      <c r="G42" s="11">
        <v>1300</v>
      </c>
      <c r="H42" s="11">
        <v>0</v>
      </c>
      <c r="I42" s="11" t="s">
        <v>42</v>
      </c>
      <c r="J42" s="11">
        <v>0</v>
      </c>
      <c r="K42" s="11">
        <v>900</v>
      </c>
      <c r="L42" s="11">
        <v>2200</v>
      </c>
      <c r="M42" s="9" t="s">
        <v>65</v>
      </c>
    </row>
    <row r="43" spans="1:13" ht="20.100000000000001" customHeight="1" x14ac:dyDescent="0.2">
      <c r="A43" s="9">
        <f t="shared" si="1"/>
        <v>40</v>
      </c>
      <c r="B43" s="9">
        <v>1039</v>
      </c>
      <c r="C43" s="9">
        <v>2178279747</v>
      </c>
      <c r="D43" s="9" t="s">
        <v>3519</v>
      </c>
      <c r="E43" s="9" t="s">
        <v>361</v>
      </c>
      <c r="F43" s="9" t="s">
        <v>66</v>
      </c>
      <c r="G43" s="11">
        <v>2000</v>
      </c>
      <c r="H43" s="11">
        <v>0</v>
      </c>
      <c r="I43" s="11" t="s">
        <v>42</v>
      </c>
      <c r="J43" s="11">
        <v>0</v>
      </c>
      <c r="K43" s="11">
        <v>1200</v>
      </c>
      <c r="L43" s="11">
        <v>3200</v>
      </c>
      <c r="M43" s="9" t="s">
        <v>65</v>
      </c>
    </row>
    <row r="44" spans="1:13" ht="20.100000000000001" customHeight="1" x14ac:dyDescent="0.2">
      <c r="A44" s="9">
        <f t="shared" si="1"/>
        <v>41</v>
      </c>
      <c r="B44" s="9">
        <v>1040</v>
      </c>
      <c r="C44" s="9">
        <v>1085931283</v>
      </c>
      <c r="D44" s="9" t="s">
        <v>3519</v>
      </c>
      <c r="E44" s="9" t="s">
        <v>367</v>
      </c>
      <c r="F44" s="9" t="s">
        <v>45</v>
      </c>
      <c r="G44" s="11">
        <v>4000</v>
      </c>
      <c r="H44" s="11">
        <v>0</v>
      </c>
      <c r="I44" s="11" t="s">
        <v>42</v>
      </c>
      <c r="J44" s="11">
        <v>0</v>
      </c>
      <c r="K44" s="11">
        <v>0</v>
      </c>
      <c r="L44" s="11">
        <v>4000</v>
      </c>
      <c r="M44" s="9" t="s">
        <v>65</v>
      </c>
    </row>
    <row r="45" spans="1:13" ht="20.100000000000001" customHeight="1" x14ac:dyDescent="0.2">
      <c r="A45" s="9">
        <f t="shared" si="1"/>
        <v>42</v>
      </c>
      <c r="B45" s="9">
        <v>1041</v>
      </c>
      <c r="C45" s="9">
        <v>2415090105</v>
      </c>
      <c r="D45" s="9" t="s">
        <v>3519</v>
      </c>
      <c r="E45" s="9" t="s">
        <v>374</v>
      </c>
      <c r="F45" s="9" t="s">
        <v>98</v>
      </c>
      <c r="G45" s="11">
        <v>1600</v>
      </c>
      <c r="H45" s="11">
        <v>0</v>
      </c>
      <c r="I45" s="11" t="s">
        <v>42</v>
      </c>
      <c r="J45" s="11">
        <v>0</v>
      </c>
      <c r="K45" s="11">
        <v>1200</v>
      </c>
      <c r="L45" s="11">
        <v>2800</v>
      </c>
      <c r="M45" s="9" t="s">
        <v>65</v>
      </c>
    </row>
    <row r="46" spans="1:13" ht="20.100000000000001" customHeight="1" x14ac:dyDescent="0.2">
      <c r="A46" s="9">
        <f t="shared" si="1"/>
        <v>43</v>
      </c>
      <c r="B46" s="9">
        <v>1042</v>
      </c>
      <c r="C46" s="9">
        <v>1072033960</v>
      </c>
      <c r="D46" s="9" t="s">
        <v>3519</v>
      </c>
      <c r="E46" s="9" t="s">
        <v>380</v>
      </c>
      <c r="F46" s="9" t="s">
        <v>45</v>
      </c>
      <c r="G46" s="11">
        <v>4000</v>
      </c>
      <c r="H46" s="11">
        <v>0</v>
      </c>
      <c r="I46" s="11" t="s">
        <v>42</v>
      </c>
      <c r="J46" s="11">
        <v>0</v>
      </c>
      <c r="K46" s="11">
        <v>0</v>
      </c>
      <c r="L46" s="11">
        <v>4000</v>
      </c>
      <c r="M46" s="9" t="s">
        <v>65</v>
      </c>
    </row>
    <row r="47" spans="1:13" ht="20.100000000000001" customHeight="1" x14ac:dyDescent="0.2">
      <c r="A47" s="9">
        <f t="shared" si="1"/>
        <v>44</v>
      </c>
      <c r="B47" s="9">
        <v>1043</v>
      </c>
      <c r="C47" s="9">
        <v>1043624756</v>
      </c>
      <c r="D47" s="9" t="s">
        <v>3519</v>
      </c>
      <c r="E47" s="9" t="s">
        <v>386</v>
      </c>
      <c r="F47" s="9" t="s">
        <v>178</v>
      </c>
      <c r="G47" s="11">
        <v>4000</v>
      </c>
      <c r="H47" s="11">
        <v>0</v>
      </c>
      <c r="I47" s="11" t="s">
        <v>42</v>
      </c>
      <c r="J47" s="11">
        <v>0</v>
      </c>
      <c r="K47" s="11">
        <v>0</v>
      </c>
      <c r="L47" s="11">
        <v>4000</v>
      </c>
      <c r="M47" s="9" t="s">
        <v>65</v>
      </c>
    </row>
    <row r="48" spans="1:13" ht="20.100000000000001" customHeight="1" x14ac:dyDescent="0.2">
      <c r="A48" s="9">
        <f t="shared" si="1"/>
        <v>45</v>
      </c>
      <c r="B48" s="9">
        <v>1044</v>
      </c>
      <c r="C48" s="9">
        <v>2429704196</v>
      </c>
      <c r="D48" s="9" t="s">
        <v>3519</v>
      </c>
      <c r="E48" s="9" t="s">
        <v>392</v>
      </c>
      <c r="F48" s="9" t="s">
        <v>394</v>
      </c>
      <c r="G48" s="11">
        <v>1300</v>
      </c>
      <c r="H48" s="11">
        <v>0</v>
      </c>
      <c r="I48" s="11" t="s">
        <v>42</v>
      </c>
      <c r="J48" s="11">
        <v>0</v>
      </c>
      <c r="K48" s="11">
        <v>900</v>
      </c>
      <c r="L48" s="11">
        <v>2200</v>
      </c>
      <c r="M48" s="9" t="s">
        <v>65</v>
      </c>
    </row>
    <row r="49" spans="1:13" ht="20.100000000000001" customHeight="1" x14ac:dyDescent="0.2">
      <c r="A49" s="9">
        <f t="shared" si="1"/>
        <v>46</v>
      </c>
      <c r="B49" s="9">
        <v>1045</v>
      </c>
      <c r="C49" s="9">
        <v>1088719834</v>
      </c>
      <c r="D49" s="9" t="s">
        <v>3519</v>
      </c>
      <c r="E49" s="9" t="s">
        <v>400</v>
      </c>
      <c r="F49" s="9" t="s">
        <v>178</v>
      </c>
      <c r="G49" s="11">
        <v>4000</v>
      </c>
      <c r="H49" s="11">
        <v>0</v>
      </c>
      <c r="I49" s="11" t="s">
        <v>42</v>
      </c>
      <c r="J49" s="11">
        <v>0</v>
      </c>
      <c r="K49" s="11" t="s">
        <v>42</v>
      </c>
      <c r="L49" s="11">
        <v>4000</v>
      </c>
      <c r="M49" s="9" t="s">
        <v>103</v>
      </c>
    </row>
    <row r="50" spans="1:13" ht="20.100000000000001" customHeight="1" x14ac:dyDescent="0.2">
      <c r="A50" s="9">
        <f t="shared" si="1"/>
        <v>47</v>
      </c>
      <c r="B50" s="9">
        <v>1046</v>
      </c>
      <c r="C50" s="9">
        <v>1005114796</v>
      </c>
      <c r="D50" s="9" t="s">
        <v>3519</v>
      </c>
      <c r="E50" s="9" t="s">
        <v>405</v>
      </c>
      <c r="F50" s="9" t="s">
        <v>408</v>
      </c>
      <c r="G50" s="11">
        <v>4000</v>
      </c>
      <c r="H50" s="11">
        <v>0</v>
      </c>
      <c r="I50" s="11">
        <v>0</v>
      </c>
      <c r="J50" s="11">
        <v>0</v>
      </c>
      <c r="K50" s="11">
        <v>0</v>
      </c>
      <c r="L50" s="11">
        <v>4000</v>
      </c>
      <c r="M50" s="9" t="s">
        <v>65</v>
      </c>
    </row>
    <row r="51" spans="1:13" ht="20.100000000000001" customHeight="1" x14ac:dyDescent="0.2">
      <c r="A51" s="9">
        <f t="shared" si="1"/>
        <v>48</v>
      </c>
      <c r="B51" s="9">
        <v>1047</v>
      </c>
      <c r="C51" s="9">
        <v>2435149386</v>
      </c>
      <c r="D51" s="9" t="s">
        <v>3519</v>
      </c>
      <c r="E51" s="9" t="s">
        <v>413</v>
      </c>
      <c r="F51" s="9" t="s">
        <v>66</v>
      </c>
      <c r="G51" s="11">
        <v>1800</v>
      </c>
      <c r="H51" s="11">
        <v>0</v>
      </c>
      <c r="I51" s="11" t="s">
        <v>42</v>
      </c>
      <c r="J51" s="11">
        <v>0</v>
      </c>
      <c r="K51" s="11">
        <v>1200</v>
      </c>
      <c r="L51" s="11">
        <v>3000</v>
      </c>
      <c r="M51" s="9" t="s">
        <v>65</v>
      </c>
    </row>
    <row r="52" spans="1:13" ht="20.100000000000001" customHeight="1" x14ac:dyDescent="0.2">
      <c r="A52" s="9">
        <f t="shared" si="1"/>
        <v>49</v>
      </c>
      <c r="B52" s="9">
        <v>1048</v>
      </c>
      <c r="C52" s="9">
        <v>2440102875</v>
      </c>
      <c r="D52" s="9" t="s">
        <v>3519</v>
      </c>
      <c r="E52" s="9" t="s">
        <v>421</v>
      </c>
      <c r="F52" s="9" t="s">
        <v>166</v>
      </c>
      <c r="G52" s="11">
        <v>1300</v>
      </c>
      <c r="H52" s="11">
        <v>0</v>
      </c>
      <c r="I52" s="11">
        <v>0</v>
      </c>
      <c r="J52" s="11">
        <v>0</v>
      </c>
      <c r="K52" s="11">
        <v>900</v>
      </c>
      <c r="L52" s="11">
        <v>2200</v>
      </c>
      <c r="M52" s="9" t="s">
        <v>65</v>
      </c>
    </row>
    <row r="53" spans="1:13" ht="20.100000000000001" customHeight="1" x14ac:dyDescent="0.2">
      <c r="A53" s="9">
        <f t="shared" si="1"/>
        <v>50</v>
      </c>
      <c r="B53" s="9">
        <v>1049</v>
      </c>
      <c r="C53" s="9">
        <v>2443897380</v>
      </c>
      <c r="D53" s="9" t="s">
        <v>3519</v>
      </c>
      <c r="E53" s="9" t="s">
        <v>427</v>
      </c>
      <c r="F53" s="9" t="s">
        <v>431</v>
      </c>
      <c r="G53" s="11">
        <v>1300</v>
      </c>
      <c r="H53" s="11">
        <v>0</v>
      </c>
      <c r="I53" s="11">
        <v>0</v>
      </c>
      <c r="J53" s="11">
        <v>0</v>
      </c>
      <c r="K53" s="11">
        <v>1200</v>
      </c>
      <c r="L53" s="11">
        <v>2500</v>
      </c>
      <c r="M53" s="9" t="s">
        <v>65</v>
      </c>
    </row>
    <row r="54" spans="1:13" ht="20.100000000000001" customHeight="1" x14ac:dyDescent="0.2">
      <c r="A54" s="9" t="s">
        <v>2807</v>
      </c>
      <c r="B54" s="9">
        <v>1050</v>
      </c>
      <c r="C54" s="9">
        <v>2227227549</v>
      </c>
      <c r="D54" s="9"/>
      <c r="E54" s="9" t="s">
        <v>2808</v>
      </c>
      <c r="F54" s="9" t="s">
        <v>45</v>
      </c>
      <c r="G54" s="11">
        <v>3000</v>
      </c>
      <c r="H54" s="11">
        <v>0</v>
      </c>
      <c r="I54" s="11" t="s">
        <v>42</v>
      </c>
      <c r="J54" s="11" t="s">
        <v>42</v>
      </c>
      <c r="K54" s="11">
        <v>0</v>
      </c>
      <c r="L54" s="11">
        <v>3000</v>
      </c>
      <c r="M54" s="9"/>
    </row>
    <row r="55" spans="1:13" ht="20.100000000000001" customHeight="1" x14ac:dyDescent="0.2">
      <c r="A55" s="9" t="s">
        <v>2813</v>
      </c>
      <c r="B55" s="9">
        <v>1051</v>
      </c>
      <c r="C55" s="9">
        <v>1123517557</v>
      </c>
      <c r="D55" s="9" t="s">
        <v>3105</v>
      </c>
      <c r="E55" s="9" t="s">
        <v>2814</v>
      </c>
      <c r="F55" s="9" t="s">
        <v>466</v>
      </c>
      <c r="G55" s="11">
        <v>4000</v>
      </c>
      <c r="H55" s="11">
        <v>0</v>
      </c>
      <c r="I55" s="11" t="s">
        <v>42</v>
      </c>
      <c r="J55" s="11" t="s">
        <v>42</v>
      </c>
      <c r="K55" s="11">
        <v>0</v>
      </c>
      <c r="L55" s="11">
        <v>4000</v>
      </c>
      <c r="M55" s="9" t="s">
        <v>440</v>
      </c>
    </row>
    <row r="56" spans="1:13" ht="20.100000000000001" customHeight="1" x14ac:dyDescent="0.2">
      <c r="A56" s="9">
        <f>ROW()-3</f>
        <v>53</v>
      </c>
      <c r="B56" s="9">
        <v>1052</v>
      </c>
      <c r="C56" s="9">
        <v>2213474048</v>
      </c>
      <c r="D56" s="9" t="s">
        <v>3105</v>
      </c>
      <c r="E56" s="9" t="s">
        <v>438</v>
      </c>
      <c r="F56" s="9" t="s">
        <v>45</v>
      </c>
      <c r="G56" s="11">
        <v>8000</v>
      </c>
      <c r="H56" s="11">
        <v>0</v>
      </c>
      <c r="I56" s="11" t="s">
        <v>42</v>
      </c>
      <c r="J56" s="11" t="s">
        <v>42</v>
      </c>
      <c r="K56" s="11">
        <v>7000</v>
      </c>
      <c r="L56" s="11">
        <v>15000</v>
      </c>
      <c r="M56" s="9" t="s">
        <v>443</v>
      </c>
    </row>
    <row r="57" spans="1:13" ht="20.100000000000001" customHeight="1" x14ac:dyDescent="0.2">
      <c r="A57" s="9" t="s">
        <v>2817</v>
      </c>
      <c r="B57" s="9">
        <v>1053</v>
      </c>
      <c r="C57" s="9">
        <v>1086719836</v>
      </c>
      <c r="D57" s="9" t="s">
        <v>3519</v>
      </c>
      <c r="E57" s="9" t="s">
        <v>2818</v>
      </c>
      <c r="F57" s="9" t="s">
        <v>203</v>
      </c>
      <c r="G57" s="11">
        <v>4000</v>
      </c>
      <c r="H57" s="11">
        <v>0</v>
      </c>
      <c r="I57" s="11">
        <v>0</v>
      </c>
      <c r="J57" s="11">
        <v>0</v>
      </c>
      <c r="K57" s="11">
        <v>800</v>
      </c>
      <c r="L57" s="11">
        <v>4800</v>
      </c>
      <c r="M57" s="9" t="s">
        <v>65</v>
      </c>
    </row>
    <row r="58" spans="1:13" ht="20.100000000000001" customHeight="1" x14ac:dyDescent="0.2">
      <c r="A58" s="9">
        <f t="shared" ref="A58:A78" si="2">ROW()-3</f>
        <v>55</v>
      </c>
      <c r="B58" s="9">
        <v>1054</v>
      </c>
      <c r="C58" s="9">
        <v>2381616388</v>
      </c>
      <c r="D58" s="9" t="s">
        <v>3519</v>
      </c>
      <c r="E58" s="9" t="s">
        <v>445</v>
      </c>
      <c r="F58" s="9" t="s">
        <v>166</v>
      </c>
      <c r="G58" s="11">
        <v>2000</v>
      </c>
      <c r="H58" s="11">
        <v>0</v>
      </c>
      <c r="I58" s="11">
        <v>0</v>
      </c>
      <c r="J58" s="11">
        <v>0</v>
      </c>
      <c r="K58" s="11">
        <v>2000</v>
      </c>
      <c r="L58" s="11">
        <v>4000</v>
      </c>
      <c r="M58" s="9" t="s">
        <v>65</v>
      </c>
    </row>
    <row r="59" spans="1:13" ht="20.100000000000001" customHeight="1" x14ac:dyDescent="0.2">
      <c r="A59" s="9">
        <f t="shared" si="2"/>
        <v>56</v>
      </c>
      <c r="B59" s="9">
        <v>1055</v>
      </c>
      <c r="C59" s="9">
        <v>2271066652</v>
      </c>
      <c r="D59" s="9" t="s">
        <v>3519</v>
      </c>
      <c r="E59" s="9" t="s">
        <v>451</v>
      </c>
      <c r="F59" s="9" t="s">
        <v>66</v>
      </c>
      <c r="G59" s="11">
        <v>2800</v>
      </c>
      <c r="H59" s="11">
        <v>0</v>
      </c>
      <c r="I59" s="11">
        <v>0</v>
      </c>
      <c r="J59" s="11">
        <v>0</v>
      </c>
      <c r="K59" s="11">
        <v>3200</v>
      </c>
      <c r="L59" s="11">
        <v>6000</v>
      </c>
      <c r="M59" s="9" t="s">
        <v>65</v>
      </c>
    </row>
    <row r="60" spans="1:13" ht="20.100000000000001" customHeight="1" x14ac:dyDescent="0.2">
      <c r="A60" s="9">
        <f t="shared" si="2"/>
        <v>57</v>
      </c>
      <c r="B60" s="9">
        <v>1056</v>
      </c>
      <c r="C60" s="9">
        <v>2233369574</v>
      </c>
      <c r="D60" s="9" t="s">
        <v>3519</v>
      </c>
      <c r="E60" s="9" t="s">
        <v>458</v>
      </c>
      <c r="F60" s="9" t="s">
        <v>66</v>
      </c>
      <c r="G60" s="11">
        <v>2200</v>
      </c>
      <c r="H60" s="11">
        <v>0</v>
      </c>
      <c r="I60" s="11">
        <v>0</v>
      </c>
      <c r="J60" s="11">
        <v>0</v>
      </c>
      <c r="K60" s="11">
        <v>1300</v>
      </c>
      <c r="L60" s="11">
        <v>3500</v>
      </c>
      <c r="M60" s="9" t="s">
        <v>65</v>
      </c>
    </row>
    <row r="61" spans="1:13" ht="20.100000000000001" customHeight="1" x14ac:dyDescent="0.2">
      <c r="A61" s="9">
        <f t="shared" si="2"/>
        <v>58</v>
      </c>
      <c r="B61" s="9">
        <v>1057</v>
      </c>
      <c r="C61" s="9">
        <v>2415874664</v>
      </c>
      <c r="D61" s="9" t="s">
        <v>3519</v>
      </c>
      <c r="E61" s="9" t="s">
        <v>464</v>
      </c>
      <c r="F61" s="9" t="s">
        <v>466</v>
      </c>
      <c r="G61" s="11">
        <v>1600</v>
      </c>
      <c r="H61" s="11">
        <v>0</v>
      </c>
      <c r="I61" s="11">
        <v>0</v>
      </c>
      <c r="J61" s="11">
        <v>0</v>
      </c>
      <c r="K61" s="11">
        <v>500</v>
      </c>
      <c r="L61" s="11">
        <v>2100</v>
      </c>
      <c r="M61" s="9" t="s">
        <v>471</v>
      </c>
    </row>
    <row r="62" spans="1:13" ht="20.100000000000001" customHeight="1" x14ac:dyDescent="0.2">
      <c r="A62" s="9">
        <f t="shared" si="2"/>
        <v>59</v>
      </c>
      <c r="B62" s="9">
        <v>1058</v>
      </c>
      <c r="C62" s="9">
        <v>2428739169</v>
      </c>
      <c r="D62" s="9" t="s">
        <v>3519</v>
      </c>
      <c r="E62" s="9" t="s">
        <v>473</v>
      </c>
      <c r="F62" s="9" t="s">
        <v>475</v>
      </c>
      <c r="G62" s="11">
        <v>1600</v>
      </c>
      <c r="H62" s="11">
        <v>0</v>
      </c>
      <c r="I62" s="11">
        <v>0</v>
      </c>
      <c r="J62" s="11">
        <v>0</v>
      </c>
      <c r="K62" s="11">
        <v>400</v>
      </c>
      <c r="L62" s="11">
        <v>2000</v>
      </c>
      <c r="M62" s="9" t="s">
        <v>471</v>
      </c>
    </row>
    <row r="63" spans="1:13" ht="20.100000000000001" customHeight="1" x14ac:dyDescent="0.2">
      <c r="A63" s="9">
        <f t="shared" si="2"/>
        <v>60</v>
      </c>
      <c r="B63" s="9">
        <v>1059</v>
      </c>
      <c r="C63" s="9">
        <v>2431488325</v>
      </c>
      <c r="D63" s="9" t="s">
        <v>3519</v>
      </c>
      <c r="E63" s="9" t="s">
        <v>480</v>
      </c>
      <c r="F63" s="9" t="s">
        <v>466</v>
      </c>
      <c r="G63" s="11">
        <v>1600</v>
      </c>
      <c r="H63" s="11">
        <v>0</v>
      </c>
      <c r="I63" s="11">
        <v>0</v>
      </c>
      <c r="J63" s="11">
        <v>0</v>
      </c>
      <c r="K63" s="11">
        <v>400</v>
      </c>
      <c r="L63" s="11">
        <v>2000</v>
      </c>
      <c r="M63" s="9" t="s">
        <v>471</v>
      </c>
    </row>
    <row r="64" spans="1:13" ht="20.100000000000001" customHeight="1" x14ac:dyDescent="0.2">
      <c r="A64" s="9">
        <f t="shared" si="2"/>
        <v>61</v>
      </c>
      <c r="B64" s="9">
        <v>1060</v>
      </c>
      <c r="C64" s="9">
        <v>2448299566</v>
      </c>
      <c r="D64" s="9" t="s">
        <v>3519</v>
      </c>
      <c r="E64" s="9" t="s">
        <v>488</v>
      </c>
      <c r="F64" s="9" t="s">
        <v>466</v>
      </c>
      <c r="G64" s="11">
        <v>2000</v>
      </c>
      <c r="H64" s="11">
        <v>0</v>
      </c>
      <c r="I64" s="11">
        <v>0</v>
      </c>
      <c r="J64" s="11">
        <v>0</v>
      </c>
      <c r="K64" s="11">
        <v>400</v>
      </c>
      <c r="L64" s="11">
        <v>2400</v>
      </c>
      <c r="M64" s="9" t="s">
        <v>471</v>
      </c>
    </row>
    <row r="65" spans="1:13" ht="20.100000000000001" customHeight="1" x14ac:dyDescent="0.2">
      <c r="A65" s="9">
        <f t="shared" si="2"/>
        <v>62</v>
      </c>
      <c r="B65" s="9">
        <v>1061</v>
      </c>
      <c r="C65" s="9">
        <v>2351495946</v>
      </c>
      <c r="D65" s="9" t="s">
        <v>3519</v>
      </c>
      <c r="E65" s="9" t="s">
        <v>495</v>
      </c>
      <c r="F65" s="9" t="s">
        <v>475</v>
      </c>
      <c r="G65" s="11">
        <v>2000</v>
      </c>
      <c r="H65" s="11">
        <v>0</v>
      </c>
      <c r="I65" s="11">
        <v>0</v>
      </c>
      <c r="J65" s="11">
        <v>0</v>
      </c>
      <c r="K65" s="11">
        <v>800</v>
      </c>
      <c r="L65" s="11">
        <v>2800</v>
      </c>
      <c r="M65" s="9" t="s">
        <v>471</v>
      </c>
    </row>
    <row r="66" spans="1:13" ht="20.100000000000001" customHeight="1" x14ac:dyDescent="0.2">
      <c r="A66" s="9">
        <f t="shared" si="2"/>
        <v>63</v>
      </c>
      <c r="B66" s="9">
        <v>1062</v>
      </c>
      <c r="C66" s="9">
        <v>2444716852</v>
      </c>
      <c r="D66" s="9" t="s">
        <v>3519</v>
      </c>
      <c r="E66" s="9" t="s">
        <v>502</v>
      </c>
      <c r="F66" s="9" t="s">
        <v>45</v>
      </c>
      <c r="G66" s="11">
        <v>3300</v>
      </c>
      <c r="H66" s="11">
        <v>0</v>
      </c>
      <c r="I66" s="11">
        <v>0</v>
      </c>
      <c r="J66" s="11">
        <v>0</v>
      </c>
      <c r="K66" s="11">
        <v>1200</v>
      </c>
      <c r="L66" s="11">
        <v>4500</v>
      </c>
      <c r="M66" s="9" t="s">
        <v>471</v>
      </c>
    </row>
    <row r="67" spans="1:13" ht="20.100000000000001" customHeight="1" x14ac:dyDescent="0.2">
      <c r="A67" s="9">
        <f t="shared" si="2"/>
        <v>64</v>
      </c>
      <c r="B67" s="9">
        <v>1063</v>
      </c>
      <c r="C67" s="9">
        <v>2177037914</v>
      </c>
      <c r="D67" s="9" t="s">
        <v>3519</v>
      </c>
      <c r="E67" s="9" t="s">
        <v>509</v>
      </c>
      <c r="F67" s="9" t="s">
        <v>66</v>
      </c>
      <c r="G67" s="11">
        <v>2000</v>
      </c>
      <c r="H67" s="11">
        <v>0</v>
      </c>
      <c r="I67" s="11" t="s">
        <v>42</v>
      </c>
      <c r="J67" s="11" t="s">
        <v>42</v>
      </c>
      <c r="K67" s="11">
        <v>1300</v>
      </c>
      <c r="L67" s="11">
        <v>3300</v>
      </c>
      <c r="M67" s="9" t="s">
        <v>65</v>
      </c>
    </row>
    <row r="68" spans="1:13" ht="20.100000000000001" customHeight="1" x14ac:dyDescent="0.2">
      <c r="A68" s="9">
        <f t="shared" si="2"/>
        <v>65</v>
      </c>
      <c r="B68" s="9">
        <v>1064</v>
      </c>
      <c r="C68" s="9">
        <v>2445662816</v>
      </c>
      <c r="D68" s="9" t="s">
        <v>3519</v>
      </c>
      <c r="E68" s="9" t="s">
        <v>516</v>
      </c>
      <c r="F68" s="9" t="s">
        <v>154</v>
      </c>
      <c r="G68" s="11">
        <v>1400</v>
      </c>
      <c r="H68" s="11">
        <v>0</v>
      </c>
      <c r="I68" s="11">
        <v>0</v>
      </c>
      <c r="J68" s="11">
        <v>0</v>
      </c>
      <c r="K68" s="11">
        <v>1400</v>
      </c>
      <c r="L68" s="11">
        <v>2800</v>
      </c>
      <c r="M68" s="9" t="s">
        <v>103</v>
      </c>
    </row>
    <row r="69" spans="1:13" ht="20.100000000000001" customHeight="1" x14ac:dyDescent="0.2">
      <c r="A69" s="9">
        <f t="shared" si="2"/>
        <v>66</v>
      </c>
      <c r="B69" s="9">
        <v>1065</v>
      </c>
      <c r="C69" s="9">
        <v>2464009899</v>
      </c>
      <c r="D69" s="9" t="s">
        <v>3519</v>
      </c>
      <c r="E69" s="9" t="s">
        <v>524</v>
      </c>
      <c r="F69" s="9" t="s">
        <v>306</v>
      </c>
      <c r="G69" s="11">
        <v>2000</v>
      </c>
      <c r="H69" s="11">
        <v>0</v>
      </c>
      <c r="I69" s="11" t="s">
        <v>42</v>
      </c>
      <c r="J69" s="11" t="s">
        <v>42</v>
      </c>
      <c r="K69" s="11">
        <v>2000</v>
      </c>
      <c r="L69" s="11">
        <v>4000</v>
      </c>
      <c r="M69" s="9" t="s">
        <v>3506</v>
      </c>
    </row>
    <row r="70" spans="1:13" ht="20.100000000000001" customHeight="1" x14ac:dyDescent="0.2">
      <c r="A70" s="9">
        <f t="shared" si="2"/>
        <v>67</v>
      </c>
      <c r="B70" s="9">
        <v>1066</v>
      </c>
      <c r="C70" s="9">
        <v>2469385732</v>
      </c>
      <c r="D70" s="9" t="s">
        <v>3519</v>
      </c>
      <c r="E70" s="9" t="s">
        <v>531</v>
      </c>
      <c r="F70" s="9" t="s">
        <v>66</v>
      </c>
      <c r="G70" s="11">
        <v>1300</v>
      </c>
      <c r="H70" s="11">
        <v>0</v>
      </c>
      <c r="I70" s="11" t="s">
        <v>42</v>
      </c>
      <c r="J70" s="11" t="s">
        <v>42</v>
      </c>
      <c r="K70" s="11">
        <v>900</v>
      </c>
      <c r="L70" s="11">
        <v>2200</v>
      </c>
      <c r="M70" s="9" t="s">
        <v>3506</v>
      </c>
    </row>
    <row r="71" spans="1:13" ht="20.100000000000001" customHeight="1" x14ac:dyDescent="0.2">
      <c r="A71" s="9">
        <f t="shared" si="2"/>
        <v>68</v>
      </c>
      <c r="B71" s="9">
        <v>1067</v>
      </c>
      <c r="C71" s="9">
        <v>2463326849</v>
      </c>
      <c r="D71" s="9" t="s">
        <v>3519</v>
      </c>
      <c r="E71" s="9" t="s">
        <v>538</v>
      </c>
      <c r="F71" s="9" t="s">
        <v>142</v>
      </c>
      <c r="G71" s="11">
        <v>2000</v>
      </c>
      <c r="H71" s="11">
        <v>0</v>
      </c>
      <c r="I71" s="11">
        <v>0</v>
      </c>
      <c r="J71" s="11">
        <v>0</v>
      </c>
      <c r="K71" s="11">
        <v>300</v>
      </c>
      <c r="L71" s="11">
        <v>2300</v>
      </c>
      <c r="M71" s="9" t="s">
        <v>103</v>
      </c>
    </row>
    <row r="72" spans="1:13" ht="20.100000000000001" customHeight="1" x14ac:dyDescent="0.2">
      <c r="A72" s="9">
        <f t="shared" si="2"/>
        <v>69</v>
      </c>
      <c r="B72" s="9">
        <v>1068</v>
      </c>
      <c r="C72" s="9">
        <v>1068412897</v>
      </c>
      <c r="D72" s="9" t="s">
        <v>3519</v>
      </c>
      <c r="E72" s="9" t="s">
        <v>545</v>
      </c>
      <c r="F72" s="9" t="s">
        <v>203</v>
      </c>
      <c r="G72" s="11">
        <v>4000</v>
      </c>
      <c r="H72" s="11">
        <v>0</v>
      </c>
      <c r="I72" s="11">
        <v>0</v>
      </c>
      <c r="J72" s="11">
        <v>0</v>
      </c>
      <c r="K72" s="11">
        <v>1000</v>
      </c>
      <c r="L72" s="11">
        <v>5000</v>
      </c>
      <c r="M72" s="9" t="s">
        <v>65</v>
      </c>
    </row>
    <row r="73" spans="1:13" ht="20.100000000000001" customHeight="1" x14ac:dyDescent="0.2">
      <c r="A73" s="9">
        <f t="shared" si="2"/>
        <v>70</v>
      </c>
      <c r="B73" s="9">
        <v>1069</v>
      </c>
      <c r="C73" s="9">
        <v>2315332334</v>
      </c>
      <c r="D73" s="9" t="s">
        <v>3519</v>
      </c>
      <c r="E73" s="9" t="s">
        <v>553</v>
      </c>
      <c r="F73" s="9" t="s">
        <v>45</v>
      </c>
      <c r="G73" s="11">
        <v>2000</v>
      </c>
      <c r="H73" s="11">
        <v>0</v>
      </c>
      <c r="I73" s="11" t="s">
        <v>42</v>
      </c>
      <c r="J73" s="11" t="s">
        <v>42</v>
      </c>
      <c r="K73" s="11">
        <v>2000</v>
      </c>
      <c r="L73" s="11">
        <v>4000</v>
      </c>
      <c r="M73" s="9" t="s">
        <v>3506</v>
      </c>
    </row>
    <row r="74" spans="1:13" ht="20.100000000000001" customHeight="1" x14ac:dyDescent="0.2">
      <c r="A74" s="9">
        <f t="shared" si="2"/>
        <v>71</v>
      </c>
      <c r="B74" s="9">
        <v>1070</v>
      </c>
      <c r="C74" s="9">
        <v>2297145332</v>
      </c>
      <c r="D74" s="9" t="s">
        <v>3519</v>
      </c>
      <c r="E74" s="9" t="s">
        <v>561</v>
      </c>
      <c r="F74" s="9" t="s">
        <v>222</v>
      </c>
      <c r="G74" s="11">
        <v>1400</v>
      </c>
      <c r="H74" s="11">
        <v>0</v>
      </c>
      <c r="I74" s="11" t="s">
        <v>42</v>
      </c>
      <c r="J74" s="11" t="s">
        <v>42</v>
      </c>
      <c r="K74" s="11">
        <v>600</v>
      </c>
      <c r="L74" s="11">
        <v>2000</v>
      </c>
      <c r="M74" s="9" t="s">
        <v>567</v>
      </c>
    </row>
    <row r="75" spans="1:13" ht="20.100000000000001" customHeight="1" x14ac:dyDescent="0.2">
      <c r="A75" s="9">
        <f t="shared" si="2"/>
        <v>72</v>
      </c>
      <c r="B75" s="9">
        <v>1071</v>
      </c>
      <c r="C75" s="9">
        <v>2444717033</v>
      </c>
      <c r="D75" s="9" t="s">
        <v>3519</v>
      </c>
      <c r="E75" s="9" t="s">
        <v>569</v>
      </c>
      <c r="F75" s="9" t="s">
        <v>475</v>
      </c>
      <c r="G75" s="11">
        <v>2000</v>
      </c>
      <c r="H75" s="11">
        <v>0</v>
      </c>
      <c r="I75" s="11">
        <v>0</v>
      </c>
      <c r="J75" s="11">
        <v>0</v>
      </c>
      <c r="K75" s="11">
        <v>400</v>
      </c>
      <c r="L75" s="11">
        <v>2400</v>
      </c>
      <c r="M75" s="9" t="s">
        <v>471</v>
      </c>
    </row>
    <row r="76" spans="1:13" ht="20.100000000000001" customHeight="1" x14ac:dyDescent="0.2">
      <c r="A76" s="9">
        <f t="shared" si="2"/>
        <v>73</v>
      </c>
      <c r="B76" s="9">
        <v>1072</v>
      </c>
      <c r="C76" s="9">
        <v>2294959602</v>
      </c>
      <c r="D76" s="9" t="s">
        <v>3519</v>
      </c>
      <c r="E76" s="9" t="s">
        <v>576</v>
      </c>
      <c r="F76" s="9" t="s">
        <v>578</v>
      </c>
      <c r="G76" s="11">
        <v>2000</v>
      </c>
      <c r="H76" s="11">
        <v>0</v>
      </c>
      <c r="I76" s="11" t="s">
        <v>42</v>
      </c>
      <c r="J76" s="11" t="s">
        <v>42</v>
      </c>
      <c r="K76" s="11">
        <v>1000</v>
      </c>
      <c r="L76" s="11">
        <v>3000</v>
      </c>
      <c r="M76" s="9" t="s">
        <v>471</v>
      </c>
    </row>
    <row r="77" spans="1:13" ht="20.100000000000001" customHeight="1" x14ac:dyDescent="0.2">
      <c r="A77" s="9">
        <f t="shared" si="2"/>
        <v>74</v>
      </c>
      <c r="B77" s="9">
        <v>1073</v>
      </c>
      <c r="C77" s="9">
        <v>2434158859</v>
      </c>
      <c r="D77" s="9" t="s">
        <v>3519</v>
      </c>
      <c r="E77" s="9" t="s">
        <v>583</v>
      </c>
      <c r="F77" s="9" t="s">
        <v>107</v>
      </c>
      <c r="G77" s="11">
        <v>1300</v>
      </c>
      <c r="H77" s="11">
        <v>0</v>
      </c>
      <c r="I77" s="11">
        <v>0</v>
      </c>
      <c r="J77" s="11">
        <v>0</v>
      </c>
      <c r="K77" s="11">
        <v>800</v>
      </c>
      <c r="L77" s="11">
        <v>2100</v>
      </c>
      <c r="M77" s="9" t="s">
        <v>65</v>
      </c>
    </row>
    <row r="78" spans="1:13" ht="20.100000000000001" customHeight="1" x14ac:dyDescent="0.2">
      <c r="A78" s="9">
        <f t="shared" si="2"/>
        <v>75</v>
      </c>
      <c r="B78" s="9">
        <v>1074</v>
      </c>
      <c r="C78" s="9">
        <v>2287699033</v>
      </c>
      <c r="D78" s="9" t="s">
        <v>3519</v>
      </c>
      <c r="E78" s="9" t="s">
        <v>589</v>
      </c>
      <c r="F78" s="9" t="s">
        <v>45</v>
      </c>
      <c r="G78" s="11">
        <v>2500</v>
      </c>
      <c r="H78" s="11">
        <v>0</v>
      </c>
      <c r="I78" s="11">
        <v>0</v>
      </c>
      <c r="J78" s="11">
        <v>0</v>
      </c>
      <c r="K78" s="11">
        <v>2500</v>
      </c>
      <c r="L78" s="11">
        <v>5000</v>
      </c>
      <c r="M78" s="9" t="s">
        <v>65</v>
      </c>
    </row>
    <row r="79" spans="1:13" ht="20.100000000000001" customHeight="1" x14ac:dyDescent="0.2">
      <c r="A79" s="9" t="s">
        <v>2823</v>
      </c>
      <c r="B79" s="9">
        <v>1075</v>
      </c>
      <c r="C79" s="9">
        <v>1081089128</v>
      </c>
      <c r="D79" s="9"/>
      <c r="E79" s="9" t="s">
        <v>2824</v>
      </c>
      <c r="F79" s="9" t="s">
        <v>203</v>
      </c>
      <c r="G79" s="11">
        <v>4000</v>
      </c>
      <c r="H79" s="11">
        <v>0</v>
      </c>
      <c r="I79" s="11" t="s">
        <v>42</v>
      </c>
      <c r="J79" s="11" t="s">
        <v>42</v>
      </c>
      <c r="K79" s="11">
        <v>0</v>
      </c>
      <c r="L79" s="11">
        <v>4000</v>
      </c>
      <c r="M79" s="9" t="s">
        <v>65</v>
      </c>
    </row>
    <row r="80" spans="1:13" ht="20.100000000000001" customHeight="1" x14ac:dyDescent="0.2">
      <c r="A80" s="9">
        <f t="shared" ref="A80:A100" si="3">ROW()-3</f>
        <v>77</v>
      </c>
      <c r="B80" s="9">
        <v>1076</v>
      </c>
      <c r="C80" s="9">
        <v>2477303503</v>
      </c>
      <c r="D80" s="9" t="s">
        <v>3519</v>
      </c>
      <c r="E80" s="9" t="s">
        <v>597</v>
      </c>
      <c r="F80" s="9" t="s">
        <v>142</v>
      </c>
      <c r="G80" s="11">
        <v>1200</v>
      </c>
      <c r="H80" s="11">
        <v>0</v>
      </c>
      <c r="I80" s="11" t="s">
        <v>42</v>
      </c>
      <c r="J80" s="11" t="s">
        <v>42</v>
      </c>
      <c r="K80" s="11">
        <v>800</v>
      </c>
      <c r="L80" s="11">
        <v>2000</v>
      </c>
      <c r="M80" s="9" t="s">
        <v>65</v>
      </c>
    </row>
    <row r="81" spans="1:13" ht="20.100000000000001" customHeight="1" x14ac:dyDescent="0.2">
      <c r="A81" s="9">
        <f t="shared" si="3"/>
        <v>78</v>
      </c>
      <c r="B81" s="9">
        <v>1077</v>
      </c>
      <c r="C81" s="9">
        <v>2475243123</v>
      </c>
      <c r="D81" s="9" t="s">
        <v>3519</v>
      </c>
      <c r="E81" s="9" t="s">
        <v>604</v>
      </c>
      <c r="F81" s="9" t="s">
        <v>154</v>
      </c>
      <c r="G81" s="11">
        <v>1200</v>
      </c>
      <c r="H81" s="11">
        <v>0</v>
      </c>
      <c r="I81" s="11">
        <v>0</v>
      </c>
      <c r="J81" s="11">
        <v>0</v>
      </c>
      <c r="K81" s="11">
        <v>1000</v>
      </c>
      <c r="L81" s="11">
        <v>2200</v>
      </c>
      <c r="M81" s="9" t="s">
        <v>103</v>
      </c>
    </row>
    <row r="82" spans="1:13" ht="20.100000000000001" customHeight="1" x14ac:dyDescent="0.2">
      <c r="A82" s="9">
        <f t="shared" si="3"/>
        <v>79</v>
      </c>
      <c r="B82" s="9">
        <v>1078</v>
      </c>
      <c r="C82" s="9">
        <v>2302314501</v>
      </c>
      <c r="D82" s="9" t="s">
        <v>3519</v>
      </c>
      <c r="E82" s="9" t="s">
        <v>612</v>
      </c>
      <c r="F82" s="9" t="s">
        <v>115</v>
      </c>
      <c r="G82" s="11">
        <v>800</v>
      </c>
      <c r="H82" s="11">
        <v>0</v>
      </c>
      <c r="I82" s="11" t="s">
        <v>42</v>
      </c>
      <c r="J82" s="11" t="s">
        <v>42</v>
      </c>
      <c r="K82" s="11">
        <v>0</v>
      </c>
      <c r="L82" s="11">
        <v>800</v>
      </c>
      <c r="M82" s="9" t="s">
        <v>65</v>
      </c>
    </row>
    <row r="83" spans="1:13" ht="20.100000000000001" customHeight="1" x14ac:dyDescent="0.2">
      <c r="A83" s="9">
        <f t="shared" si="3"/>
        <v>80</v>
      </c>
      <c r="B83" s="9">
        <v>1079</v>
      </c>
      <c r="C83" s="9">
        <v>2477303669</v>
      </c>
      <c r="D83" s="9" t="s">
        <v>3519</v>
      </c>
      <c r="E83" s="9" t="s">
        <v>619</v>
      </c>
      <c r="F83" s="9" t="s">
        <v>306</v>
      </c>
      <c r="G83" s="11">
        <v>1200</v>
      </c>
      <c r="H83" s="11">
        <v>0</v>
      </c>
      <c r="I83" s="11" t="s">
        <v>42</v>
      </c>
      <c r="J83" s="11" t="s">
        <v>42</v>
      </c>
      <c r="K83" s="11">
        <v>800</v>
      </c>
      <c r="L83" s="11">
        <v>2000</v>
      </c>
      <c r="M83" s="9" t="s">
        <v>3506</v>
      </c>
    </row>
    <row r="84" spans="1:13" ht="20.100000000000001" customHeight="1" x14ac:dyDescent="0.2">
      <c r="A84" s="9">
        <f t="shared" si="3"/>
        <v>81</v>
      </c>
      <c r="B84" s="9">
        <v>1080</v>
      </c>
      <c r="C84" s="9">
        <v>2469710228</v>
      </c>
      <c r="D84" s="9" t="s">
        <v>3519</v>
      </c>
      <c r="E84" s="9" t="s">
        <v>625</v>
      </c>
      <c r="F84" s="9" t="s">
        <v>222</v>
      </c>
      <c r="G84" s="11">
        <v>1300</v>
      </c>
      <c r="H84" s="11">
        <v>0</v>
      </c>
      <c r="I84" s="11" t="s">
        <v>42</v>
      </c>
      <c r="J84" s="11" t="s">
        <v>42</v>
      </c>
      <c r="K84" s="11">
        <v>700</v>
      </c>
      <c r="L84" s="11">
        <v>2000</v>
      </c>
      <c r="M84" s="9" t="s">
        <v>3506</v>
      </c>
    </row>
    <row r="85" spans="1:13" ht="20.100000000000001" customHeight="1" x14ac:dyDescent="0.2">
      <c r="A85" s="9">
        <f t="shared" si="3"/>
        <v>82</v>
      </c>
      <c r="B85" s="9">
        <v>1081</v>
      </c>
      <c r="C85" s="9">
        <v>2484398744</v>
      </c>
      <c r="D85" s="9" t="s">
        <v>3519</v>
      </c>
      <c r="E85" s="9" t="s">
        <v>633</v>
      </c>
      <c r="F85" s="9" t="s">
        <v>45</v>
      </c>
      <c r="G85" s="11">
        <v>1800</v>
      </c>
      <c r="H85" s="11">
        <v>0</v>
      </c>
      <c r="I85" s="11" t="s">
        <v>42</v>
      </c>
      <c r="J85" s="11" t="s">
        <v>42</v>
      </c>
      <c r="K85" s="11">
        <v>1700</v>
      </c>
      <c r="L85" s="11">
        <v>3500</v>
      </c>
      <c r="M85" s="9" t="s">
        <v>3506</v>
      </c>
    </row>
    <row r="86" spans="1:13" ht="20.100000000000001" customHeight="1" x14ac:dyDescent="0.2">
      <c r="A86" s="9">
        <f t="shared" si="3"/>
        <v>83</v>
      </c>
      <c r="B86" s="9">
        <v>1082</v>
      </c>
      <c r="C86" s="9">
        <v>2489500203</v>
      </c>
      <c r="D86" s="9" t="s">
        <v>3519</v>
      </c>
      <c r="E86" s="9" t="s">
        <v>639</v>
      </c>
      <c r="F86" s="9" t="s">
        <v>98</v>
      </c>
      <c r="G86" s="11">
        <v>1000</v>
      </c>
      <c r="H86" s="11">
        <v>0</v>
      </c>
      <c r="I86" s="11">
        <v>0</v>
      </c>
      <c r="J86" s="11">
        <v>0</v>
      </c>
      <c r="K86" s="11">
        <v>1000</v>
      </c>
      <c r="L86" s="11">
        <v>2000</v>
      </c>
      <c r="M86" s="9" t="s">
        <v>65</v>
      </c>
    </row>
    <row r="87" spans="1:13" ht="20.100000000000001" customHeight="1" x14ac:dyDescent="0.2">
      <c r="A87" s="9">
        <f t="shared" si="3"/>
        <v>84</v>
      </c>
      <c r="B87" s="9">
        <v>1083</v>
      </c>
      <c r="C87" s="9">
        <v>2489563854</v>
      </c>
      <c r="D87" s="9" t="s">
        <v>3519</v>
      </c>
      <c r="E87" s="9" t="s">
        <v>646</v>
      </c>
      <c r="F87" s="9" t="s">
        <v>66</v>
      </c>
      <c r="G87" s="11">
        <v>1200</v>
      </c>
      <c r="H87" s="11">
        <v>0</v>
      </c>
      <c r="I87" s="11">
        <v>0</v>
      </c>
      <c r="J87" s="11">
        <v>0</v>
      </c>
      <c r="K87" s="11">
        <v>800</v>
      </c>
      <c r="L87" s="11">
        <v>2000</v>
      </c>
      <c r="M87" s="9" t="s">
        <v>65</v>
      </c>
    </row>
    <row r="88" spans="1:13" ht="20.100000000000001" customHeight="1" x14ac:dyDescent="0.2">
      <c r="A88" s="9">
        <f t="shared" si="3"/>
        <v>85</v>
      </c>
      <c r="B88" s="9">
        <v>1084</v>
      </c>
      <c r="C88" s="9">
        <v>2489484002</v>
      </c>
      <c r="D88" s="9" t="s">
        <v>3519</v>
      </c>
      <c r="E88" s="9" t="s">
        <v>652</v>
      </c>
      <c r="F88" s="9" t="s">
        <v>222</v>
      </c>
      <c r="G88" s="11">
        <v>1200</v>
      </c>
      <c r="H88" s="11">
        <v>0</v>
      </c>
      <c r="I88" s="11">
        <v>0</v>
      </c>
      <c r="J88" s="11">
        <v>0</v>
      </c>
      <c r="K88" s="11">
        <v>800</v>
      </c>
      <c r="L88" s="11">
        <v>2000</v>
      </c>
      <c r="M88" s="9" t="s">
        <v>567</v>
      </c>
    </row>
    <row r="89" spans="1:13" ht="20.100000000000001" customHeight="1" x14ac:dyDescent="0.2">
      <c r="A89" s="9">
        <f t="shared" si="3"/>
        <v>86</v>
      </c>
      <c r="B89" s="9">
        <v>1085</v>
      </c>
      <c r="C89" s="9">
        <v>2489500641</v>
      </c>
      <c r="D89" s="9" t="s">
        <v>3519</v>
      </c>
      <c r="E89" s="9" t="s">
        <v>658</v>
      </c>
      <c r="F89" s="9" t="s">
        <v>142</v>
      </c>
      <c r="G89" s="11">
        <v>1200</v>
      </c>
      <c r="H89" s="11">
        <v>0</v>
      </c>
      <c r="I89" s="11">
        <v>0</v>
      </c>
      <c r="J89" s="11">
        <v>0</v>
      </c>
      <c r="K89" s="11">
        <v>800</v>
      </c>
      <c r="L89" s="11">
        <v>2000</v>
      </c>
      <c r="M89" s="9" t="s">
        <v>65</v>
      </c>
    </row>
    <row r="90" spans="1:13" ht="20.100000000000001" customHeight="1" x14ac:dyDescent="0.2">
      <c r="A90" s="9">
        <f t="shared" si="3"/>
        <v>87</v>
      </c>
      <c r="B90" s="9">
        <v>1086</v>
      </c>
      <c r="C90" s="9">
        <v>2489500682</v>
      </c>
      <c r="D90" s="9" t="s">
        <v>3519</v>
      </c>
      <c r="E90" s="9" t="s">
        <v>665</v>
      </c>
      <c r="F90" s="9" t="s">
        <v>135</v>
      </c>
      <c r="G90" s="11">
        <v>1200</v>
      </c>
      <c r="H90" s="11">
        <v>0</v>
      </c>
      <c r="I90" s="11" t="s">
        <v>42</v>
      </c>
      <c r="J90" s="11" t="s">
        <v>42</v>
      </c>
      <c r="K90" s="11">
        <v>800</v>
      </c>
      <c r="L90" s="11">
        <v>2000</v>
      </c>
      <c r="M90" s="9" t="s">
        <v>65</v>
      </c>
    </row>
    <row r="91" spans="1:13" ht="20.100000000000001" customHeight="1" x14ac:dyDescent="0.2">
      <c r="A91" s="9">
        <f t="shared" si="3"/>
        <v>88</v>
      </c>
      <c r="B91" s="9">
        <v>1087</v>
      </c>
      <c r="C91" s="9">
        <v>2489490876</v>
      </c>
      <c r="D91" s="9" t="s">
        <v>3519</v>
      </c>
      <c r="E91" s="9" t="s">
        <v>673</v>
      </c>
      <c r="F91" s="9" t="s">
        <v>98</v>
      </c>
      <c r="G91" s="11">
        <v>1200</v>
      </c>
      <c r="H91" s="11">
        <v>0</v>
      </c>
      <c r="I91" s="11">
        <v>0</v>
      </c>
      <c r="J91" s="11">
        <v>0</v>
      </c>
      <c r="K91" s="11">
        <v>800</v>
      </c>
      <c r="L91" s="11">
        <v>2000</v>
      </c>
      <c r="M91" s="9" t="s">
        <v>65</v>
      </c>
    </row>
    <row r="92" spans="1:13" ht="20.100000000000001" customHeight="1" x14ac:dyDescent="0.2">
      <c r="A92" s="9">
        <f t="shared" si="3"/>
        <v>89</v>
      </c>
      <c r="B92" s="9">
        <v>1088</v>
      </c>
      <c r="C92" s="9">
        <v>2489500617</v>
      </c>
      <c r="D92" s="9" t="s">
        <v>3519</v>
      </c>
      <c r="E92" s="9" t="s">
        <v>679</v>
      </c>
      <c r="F92" s="9" t="s">
        <v>292</v>
      </c>
      <c r="G92" s="11">
        <v>1200</v>
      </c>
      <c r="H92" s="11">
        <v>0</v>
      </c>
      <c r="I92" s="11">
        <v>0</v>
      </c>
      <c r="J92" s="11">
        <v>0</v>
      </c>
      <c r="K92" s="11">
        <v>800</v>
      </c>
      <c r="L92" s="11">
        <v>2000</v>
      </c>
      <c r="M92" s="9" t="s">
        <v>65</v>
      </c>
    </row>
    <row r="93" spans="1:13" ht="20.100000000000001" customHeight="1" x14ac:dyDescent="0.2">
      <c r="A93" s="9">
        <f t="shared" si="3"/>
        <v>90</v>
      </c>
      <c r="B93" s="9">
        <v>1089</v>
      </c>
      <c r="C93" s="9">
        <v>2489500120</v>
      </c>
      <c r="D93" s="9" t="s">
        <v>3519</v>
      </c>
      <c r="E93" s="9" t="s">
        <v>686</v>
      </c>
      <c r="F93" s="9" t="s">
        <v>222</v>
      </c>
      <c r="G93" s="11">
        <v>1200</v>
      </c>
      <c r="H93" s="11">
        <v>0</v>
      </c>
      <c r="I93" s="11">
        <v>0</v>
      </c>
      <c r="J93" s="11">
        <v>0</v>
      </c>
      <c r="K93" s="11">
        <v>800</v>
      </c>
      <c r="L93" s="11">
        <v>2000</v>
      </c>
      <c r="M93" s="9" t="s">
        <v>567</v>
      </c>
    </row>
    <row r="94" spans="1:13" ht="20.100000000000001" customHeight="1" x14ac:dyDescent="0.2">
      <c r="A94" s="9">
        <f t="shared" si="3"/>
        <v>91</v>
      </c>
      <c r="B94" s="9">
        <v>1090</v>
      </c>
      <c r="C94" s="9">
        <v>2485181958</v>
      </c>
      <c r="D94" s="9" t="s">
        <v>3519</v>
      </c>
      <c r="E94" s="9" t="s">
        <v>693</v>
      </c>
      <c r="F94" s="9" t="s">
        <v>107</v>
      </c>
      <c r="G94" s="11">
        <v>1200</v>
      </c>
      <c r="H94" s="11">
        <v>0</v>
      </c>
      <c r="I94" s="11" t="s">
        <v>42</v>
      </c>
      <c r="J94" s="11" t="s">
        <v>42</v>
      </c>
      <c r="K94" s="11">
        <v>800</v>
      </c>
      <c r="L94" s="11">
        <v>2000</v>
      </c>
      <c r="M94" s="9" t="s">
        <v>3506</v>
      </c>
    </row>
    <row r="95" spans="1:13" ht="20.100000000000001" customHeight="1" x14ac:dyDescent="0.2">
      <c r="A95" s="9">
        <f t="shared" si="3"/>
        <v>92</v>
      </c>
      <c r="B95" s="9">
        <v>1091</v>
      </c>
      <c r="C95" s="9">
        <v>2479860054</v>
      </c>
      <c r="D95" s="9" t="s">
        <v>3519</v>
      </c>
      <c r="E95" s="9" t="s">
        <v>699</v>
      </c>
      <c r="F95" s="9" t="s">
        <v>306</v>
      </c>
      <c r="G95" s="11">
        <v>1400</v>
      </c>
      <c r="H95" s="11">
        <v>0</v>
      </c>
      <c r="I95" s="11" t="s">
        <v>42</v>
      </c>
      <c r="J95" s="11" t="s">
        <v>42</v>
      </c>
      <c r="K95" s="11">
        <v>600</v>
      </c>
      <c r="L95" s="11">
        <v>2000</v>
      </c>
      <c r="M95" s="9" t="s">
        <v>3506</v>
      </c>
    </row>
    <row r="96" spans="1:13" ht="20.100000000000001" customHeight="1" x14ac:dyDescent="0.2">
      <c r="A96" s="9">
        <f t="shared" si="3"/>
        <v>93</v>
      </c>
      <c r="B96" s="9">
        <v>1092</v>
      </c>
      <c r="C96" s="9">
        <v>2489500823</v>
      </c>
      <c r="D96" s="9" t="s">
        <v>3519</v>
      </c>
      <c r="E96" s="9" t="s">
        <v>705</v>
      </c>
      <c r="F96" s="9" t="s">
        <v>45</v>
      </c>
      <c r="G96" s="11">
        <v>1400</v>
      </c>
      <c r="H96" s="11">
        <v>0</v>
      </c>
      <c r="I96" s="11">
        <v>0</v>
      </c>
      <c r="J96" s="11">
        <v>0</v>
      </c>
      <c r="K96" s="11">
        <v>1200</v>
      </c>
      <c r="L96" s="11">
        <v>2600</v>
      </c>
      <c r="M96" s="9" t="s">
        <v>65</v>
      </c>
    </row>
    <row r="97" spans="1:13" ht="20.100000000000001" customHeight="1" x14ac:dyDescent="0.2">
      <c r="A97" s="9">
        <f t="shared" si="3"/>
        <v>94</v>
      </c>
      <c r="B97" s="9">
        <v>1093</v>
      </c>
      <c r="C97" s="9">
        <v>2489500757</v>
      </c>
      <c r="D97" s="9" t="s">
        <v>3519</v>
      </c>
      <c r="E97" s="9" t="s">
        <v>713</v>
      </c>
      <c r="F97" s="9" t="s">
        <v>166</v>
      </c>
      <c r="G97" s="11">
        <v>1200</v>
      </c>
      <c r="H97" s="11">
        <v>0</v>
      </c>
      <c r="I97" s="11">
        <v>0</v>
      </c>
      <c r="J97" s="11">
        <v>0</v>
      </c>
      <c r="K97" s="11">
        <v>800</v>
      </c>
      <c r="L97" s="11">
        <v>2000</v>
      </c>
      <c r="M97" s="9" t="s">
        <v>65</v>
      </c>
    </row>
    <row r="98" spans="1:13" ht="20.100000000000001" customHeight="1" x14ac:dyDescent="0.2">
      <c r="A98" s="9">
        <f t="shared" si="3"/>
        <v>95</v>
      </c>
      <c r="B98" s="9">
        <v>1094</v>
      </c>
      <c r="C98" s="9">
        <v>2484400953</v>
      </c>
      <c r="D98" s="9" t="s">
        <v>3519</v>
      </c>
      <c r="E98" s="9" t="s">
        <v>719</v>
      </c>
      <c r="F98" s="9" t="s">
        <v>722</v>
      </c>
      <c r="G98" s="11">
        <v>1000</v>
      </c>
      <c r="H98" s="11">
        <v>0</v>
      </c>
      <c r="I98" s="11" t="s">
        <v>42</v>
      </c>
      <c r="J98" s="11" t="s">
        <v>42</v>
      </c>
      <c r="K98" s="11">
        <v>900</v>
      </c>
      <c r="L98" s="11">
        <v>1900</v>
      </c>
      <c r="M98" s="9" t="s">
        <v>3506</v>
      </c>
    </row>
    <row r="99" spans="1:13" ht="20.100000000000001" customHeight="1" x14ac:dyDescent="0.2">
      <c r="A99" s="9">
        <f t="shared" si="3"/>
        <v>96</v>
      </c>
      <c r="B99" s="9">
        <v>1095</v>
      </c>
      <c r="C99" s="9">
        <v>2484401118</v>
      </c>
      <c r="D99" s="9" t="s">
        <v>3519</v>
      </c>
      <c r="E99" s="9" t="s">
        <v>728</v>
      </c>
      <c r="F99" s="9" t="s">
        <v>306</v>
      </c>
      <c r="G99" s="11">
        <v>1200</v>
      </c>
      <c r="H99" s="11">
        <v>0</v>
      </c>
      <c r="I99" s="11" t="s">
        <v>42</v>
      </c>
      <c r="J99" s="11" t="s">
        <v>42</v>
      </c>
      <c r="K99" s="11">
        <v>900</v>
      </c>
      <c r="L99" s="11">
        <v>2100</v>
      </c>
      <c r="M99" s="9" t="s">
        <v>3506</v>
      </c>
    </row>
    <row r="100" spans="1:13" ht="20.100000000000001" customHeight="1" x14ac:dyDescent="0.2">
      <c r="A100" s="9">
        <f t="shared" si="3"/>
        <v>97</v>
      </c>
      <c r="B100" s="9">
        <v>1096</v>
      </c>
      <c r="C100" s="9">
        <v>2484400714</v>
      </c>
      <c r="D100" s="9" t="s">
        <v>3519</v>
      </c>
      <c r="E100" s="9" t="s">
        <v>735</v>
      </c>
      <c r="F100" s="9" t="s">
        <v>722</v>
      </c>
      <c r="G100" s="11">
        <v>1200</v>
      </c>
      <c r="H100" s="11">
        <v>0</v>
      </c>
      <c r="I100" s="11" t="s">
        <v>42</v>
      </c>
      <c r="J100" s="11" t="s">
        <v>42</v>
      </c>
      <c r="K100" s="11">
        <v>800</v>
      </c>
      <c r="L100" s="11">
        <v>2000</v>
      </c>
      <c r="M100" s="9" t="s">
        <v>3506</v>
      </c>
    </row>
    <row r="101" spans="1:13" ht="20.100000000000001" customHeight="1" x14ac:dyDescent="0.2">
      <c r="A101" s="9" t="s">
        <v>2829</v>
      </c>
      <c r="B101" s="9">
        <v>1097</v>
      </c>
      <c r="C101" s="9">
        <v>2484400839</v>
      </c>
      <c r="D101" s="9" t="s">
        <v>3519</v>
      </c>
      <c r="E101" s="9" t="s">
        <v>2830</v>
      </c>
      <c r="F101" s="9" t="s">
        <v>744</v>
      </c>
      <c r="G101" s="11">
        <v>1000</v>
      </c>
      <c r="H101" s="11">
        <v>0</v>
      </c>
      <c r="I101" s="11" t="s">
        <v>42</v>
      </c>
      <c r="J101" s="11" t="s">
        <v>42</v>
      </c>
      <c r="K101" s="11">
        <v>650</v>
      </c>
      <c r="L101" s="11">
        <v>1650</v>
      </c>
      <c r="M101" s="9" t="s">
        <v>3506</v>
      </c>
    </row>
    <row r="102" spans="1:13" ht="20.100000000000001" customHeight="1" x14ac:dyDescent="0.2">
      <c r="A102" s="9">
        <f>ROW()-3</f>
        <v>99</v>
      </c>
      <c r="B102" s="9">
        <v>1098</v>
      </c>
      <c r="C102" s="9">
        <v>2479860518</v>
      </c>
      <c r="D102" s="9" t="s">
        <v>3519</v>
      </c>
      <c r="E102" s="9" t="s">
        <v>742</v>
      </c>
      <c r="F102" s="9" t="s">
        <v>744</v>
      </c>
      <c r="G102" s="11">
        <v>1200</v>
      </c>
      <c r="H102" s="11">
        <v>0</v>
      </c>
      <c r="I102" s="11" t="s">
        <v>42</v>
      </c>
      <c r="J102" s="11" t="s">
        <v>42</v>
      </c>
      <c r="K102" s="11">
        <v>800</v>
      </c>
      <c r="L102" s="11">
        <v>2000</v>
      </c>
      <c r="M102" s="9" t="s">
        <v>3506</v>
      </c>
    </row>
    <row r="103" spans="1:13" ht="20.100000000000001" customHeight="1" x14ac:dyDescent="0.2">
      <c r="A103" s="9">
        <f>ROW()-3</f>
        <v>100</v>
      </c>
      <c r="B103" s="9">
        <v>1099</v>
      </c>
      <c r="C103" s="9">
        <v>1011232413</v>
      </c>
      <c r="D103" s="9" t="s">
        <v>3105</v>
      </c>
      <c r="E103" s="9" t="s">
        <v>750</v>
      </c>
      <c r="F103" s="9" t="s">
        <v>178</v>
      </c>
      <c r="G103" s="11">
        <v>4000</v>
      </c>
      <c r="H103" s="11">
        <v>0</v>
      </c>
      <c r="I103" s="11">
        <v>0</v>
      </c>
      <c r="J103" s="11">
        <v>0</v>
      </c>
      <c r="K103" s="11">
        <v>2000</v>
      </c>
      <c r="L103" s="11">
        <v>6000</v>
      </c>
      <c r="M103" s="9" t="s">
        <v>440</v>
      </c>
    </row>
    <row r="104" spans="1:13" ht="20.100000000000001" customHeight="1" x14ac:dyDescent="0.2">
      <c r="A104" s="9" t="s">
        <v>2837</v>
      </c>
      <c r="B104" s="9">
        <v>1100</v>
      </c>
      <c r="C104" s="9">
        <v>1120164403</v>
      </c>
      <c r="D104" s="9" t="s">
        <v>3519</v>
      </c>
      <c r="E104" s="9" t="s">
        <v>2838</v>
      </c>
      <c r="F104" s="9" t="s">
        <v>292</v>
      </c>
      <c r="G104" s="11">
        <v>4000</v>
      </c>
      <c r="H104" s="11">
        <v>0</v>
      </c>
      <c r="I104" s="11" t="s">
        <v>42</v>
      </c>
      <c r="J104" s="11" t="s">
        <v>42</v>
      </c>
      <c r="K104" s="11">
        <v>300</v>
      </c>
      <c r="L104" s="11">
        <v>4300</v>
      </c>
      <c r="M104" s="9" t="s">
        <v>65</v>
      </c>
    </row>
    <row r="105" spans="1:13" ht="20.100000000000001" customHeight="1" x14ac:dyDescent="0.2">
      <c r="A105" s="9">
        <f>ROW()-3</f>
        <v>102</v>
      </c>
      <c r="B105" s="9">
        <v>1101</v>
      </c>
      <c r="C105" s="9">
        <v>1077000451</v>
      </c>
      <c r="D105" s="9" t="s">
        <v>3519</v>
      </c>
      <c r="E105" s="9" t="s">
        <v>759</v>
      </c>
      <c r="F105" s="9" t="s">
        <v>45</v>
      </c>
      <c r="G105" s="11">
        <v>4000</v>
      </c>
      <c r="H105" s="11">
        <v>0</v>
      </c>
      <c r="I105" s="11">
        <v>0</v>
      </c>
      <c r="J105" s="11">
        <v>0</v>
      </c>
      <c r="K105" s="11">
        <v>0</v>
      </c>
      <c r="L105" s="11">
        <v>4000</v>
      </c>
      <c r="M105" s="9" t="s">
        <v>65</v>
      </c>
    </row>
    <row r="106" spans="1:13" ht="20.100000000000001" customHeight="1" x14ac:dyDescent="0.2">
      <c r="A106" s="9" t="s">
        <v>2843</v>
      </c>
      <c r="B106" s="9">
        <v>1102</v>
      </c>
      <c r="C106" s="9">
        <v>2480177498</v>
      </c>
      <c r="D106" s="9"/>
      <c r="E106" s="9" t="s">
        <v>2844</v>
      </c>
      <c r="F106" s="9" t="s">
        <v>306</v>
      </c>
      <c r="G106" s="11">
        <v>1200</v>
      </c>
      <c r="H106" s="11">
        <v>0</v>
      </c>
      <c r="I106" s="11" t="s">
        <v>42</v>
      </c>
      <c r="J106" s="11" t="s">
        <v>42</v>
      </c>
      <c r="K106" s="11">
        <v>550</v>
      </c>
      <c r="L106" s="11">
        <v>1750</v>
      </c>
      <c r="M106" s="9" t="s">
        <v>3506</v>
      </c>
    </row>
    <row r="107" spans="1:13" ht="20.100000000000001" customHeight="1" x14ac:dyDescent="0.2">
      <c r="A107" s="9">
        <f>ROW()-3</f>
        <v>104</v>
      </c>
      <c r="B107" s="9">
        <v>1103</v>
      </c>
      <c r="C107" s="9">
        <v>1117511145</v>
      </c>
      <c r="D107" s="9" t="s">
        <v>3519</v>
      </c>
      <c r="E107" s="9" t="s">
        <v>765</v>
      </c>
      <c r="F107" s="9" t="s">
        <v>45</v>
      </c>
      <c r="G107" s="11">
        <v>4000</v>
      </c>
      <c r="H107" s="11">
        <v>0</v>
      </c>
      <c r="I107" s="11">
        <v>0</v>
      </c>
      <c r="J107" s="11">
        <v>0</v>
      </c>
      <c r="K107" s="11">
        <v>0</v>
      </c>
      <c r="L107" s="11">
        <v>4000</v>
      </c>
      <c r="M107" s="9" t="s">
        <v>65</v>
      </c>
    </row>
    <row r="108" spans="1:13" ht="20.100000000000001" customHeight="1" x14ac:dyDescent="0.2">
      <c r="A108" s="9">
        <f>ROW()-3</f>
        <v>105</v>
      </c>
      <c r="B108" s="9">
        <v>1104</v>
      </c>
      <c r="C108" s="9">
        <v>1103050892</v>
      </c>
      <c r="D108" s="9" t="s">
        <v>3519</v>
      </c>
      <c r="E108" s="9" t="s">
        <v>772</v>
      </c>
      <c r="F108" s="9" t="s">
        <v>292</v>
      </c>
      <c r="G108" s="11">
        <v>4000</v>
      </c>
      <c r="H108" s="11">
        <v>0</v>
      </c>
      <c r="I108" s="11">
        <v>0</v>
      </c>
      <c r="J108" s="11">
        <v>0</v>
      </c>
      <c r="K108" s="11">
        <v>300</v>
      </c>
      <c r="L108" s="11">
        <v>4300</v>
      </c>
      <c r="M108" s="9" t="s">
        <v>65</v>
      </c>
    </row>
    <row r="109" spans="1:13" ht="20.100000000000001" customHeight="1" x14ac:dyDescent="0.2">
      <c r="A109" s="9">
        <f>ROW()-3</f>
        <v>106</v>
      </c>
      <c r="B109" s="9">
        <v>1105</v>
      </c>
      <c r="C109" s="9">
        <v>1085804589</v>
      </c>
      <c r="D109" s="9" t="s">
        <v>3105</v>
      </c>
      <c r="E109" s="9" t="s">
        <v>780</v>
      </c>
      <c r="F109" s="9" t="s">
        <v>178</v>
      </c>
      <c r="G109" s="11">
        <v>3500</v>
      </c>
      <c r="H109" s="11">
        <v>0</v>
      </c>
      <c r="I109" s="11">
        <v>0</v>
      </c>
      <c r="J109" s="11">
        <v>0</v>
      </c>
      <c r="K109" s="11">
        <v>2000</v>
      </c>
      <c r="L109" s="11">
        <v>5500</v>
      </c>
      <c r="M109" s="9" t="s">
        <v>788</v>
      </c>
    </row>
    <row r="110" spans="1:13" ht="20.100000000000001" customHeight="1" x14ac:dyDescent="0.2">
      <c r="A110" s="9">
        <f>ROW()-3</f>
        <v>107</v>
      </c>
      <c r="B110" s="9">
        <v>1106</v>
      </c>
      <c r="C110" s="9">
        <v>2105722603</v>
      </c>
      <c r="D110" s="9" t="s">
        <v>3519</v>
      </c>
      <c r="E110" s="9" t="s">
        <v>790</v>
      </c>
      <c r="F110" s="9" t="s">
        <v>45</v>
      </c>
      <c r="G110" s="11">
        <v>400</v>
      </c>
      <c r="H110" s="11">
        <v>0</v>
      </c>
      <c r="I110" s="11" t="s">
        <v>42</v>
      </c>
      <c r="J110" s="11" t="s">
        <v>42</v>
      </c>
      <c r="K110" s="11">
        <v>0</v>
      </c>
      <c r="L110" s="11">
        <v>400</v>
      </c>
      <c r="M110" s="9" t="s">
        <v>3506</v>
      </c>
    </row>
    <row r="111" spans="1:13" ht="20.100000000000001" customHeight="1" x14ac:dyDescent="0.2">
      <c r="A111" s="9" t="s">
        <v>2850</v>
      </c>
      <c r="B111" s="9">
        <v>1107</v>
      </c>
      <c r="C111" s="9">
        <v>2314409695</v>
      </c>
      <c r="D111" s="9"/>
      <c r="E111" s="9" t="s">
        <v>2851</v>
      </c>
      <c r="F111" s="9" t="s">
        <v>178</v>
      </c>
      <c r="G111" s="11">
        <v>3000</v>
      </c>
      <c r="H111" s="11">
        <v>0</v>
      </c>
      <c r="I111" s="11">
        <v>0</v>
      </c>
      <c r="J111" s="11">
        <v>0</v>
      </c>
      <c r="K111" s="11">
        <v>0</v>
      </c>
      <c r="L111" s="11">
        <v>3000</v>
      </c>
      <c r="M111" s="9"/>
    </row>
    <row r="112" spans="1:13" ht="20.100000000000001" customHeight="1" x14ac:dyDescent="0.2">
      <c r="A112" s="9">
        <f t="shared" ref="A112:A119" si="4">ROW()-3</f>
        <v>109</v>
      </c>
      <c r="B112" s="9">
        <v>1108</v>
      </c>
      <c r="C112" s="9">
        <v>2491844243</v>
      </c>
      <c r="D112" s="9" t="s">
        <v>3519</v>
      </c>
      <c r="E112" s="9" t="s">
        <v>796</v>
      </c>
      <c r="F112" s="9" t="s">
        <v>45</v>
      </c>
      <c r="G112" s="11">
        <v>2400</v>
      </c>
      <c r="H112" s="11">
        <v>0</v>
      </c>
      <c r="I112" s="11">
        <v>0</v>
      </c>
      <c r="J112" s="11">
        <v>0</v>
      </c>
      <c r="K112" s="11">
        <v>2600</v>
      </c>
      <c r="L112" s="11">
        <v>5000</v>
      </c>
      <c r="M112" s="9" t="s">
        <v>65</v>
      </c>
    </row>
    <row r="113" spans="1:13" ht="20.100000000000001" customHeight="1" x14ac:dyDescent="0.2">
      <c r="A113" s="9">
        <f t="shared" si="4"/>
        <v>110</v>
      </c>
      <c r="B113" s="9">
        <v>1109</v>
      </c>
      <c r="C113" s="9">
        <v>2495386662</v>
      </c>
      <c r="D113" s="9" t="s">
        <v>3519</v>
      </c>
      <c r="E113" s="9" t="s">
        <v>804</v>
      </c>
      <c r="F113" s="9" t="s">
        <v>66</v>
      </c>
      <c r="G113" s="11">
        <v>1600</v>
      </c>
      <c r="H113" s="11">
        <v>0</v>
      </c>
      <c r="I113" s="11">
        <v>0</v>
      </c>
      <c r="J113" s="11">
        <v>0</v>
      </c>
      <c r="K113" s="11">
        <v>1400</v>
      </c>
      <c r="L113" s="11">
        <v>3000</v>
      </c>
      <c r="M113" s="9" t="s">
        <v>65</v>
      </c>
    </row>
    <row r="114" spans="1:13" ht="20.100000000000001" customHeight="1" x14ac:dyDescent="0.2">
      <c r="A114" s="9">
        <f t="shared" si="4"/>
        <v>111</v>
      </c>
      <c r="B114" s="9">
        <v>1110</v>
      </c>
      <c r="C114" s="9">
        <v>2119480024</v>
      </c>
      <c r="D114" s="9" t="s">
        <v>3519</v>
      </c>
      <c r="E114" s="9" t="s">
        <v>810</v>
      </c>
      <c r="F114" s="9" t="s">
        <v>45</v>
      </c>
      <c r="G114" s="11">
        <v>2800</v>
      </c>
      <c r="H114" s="11">
        <v>0</v>
      </c>
      <c r="I114" s="11">
        <v>0</v>
      </c>
      <c r="J114" s="11">
        <v>0</v>
      </c>
      <c r="K114" s="11">
        <v>2200</v>
      </c>
      <c r="L114" s="11">
        <v>5000</v>
      </c>
      <c r="M114" s="9" t="s">
        <v>65</v>
      </c>
    </row>
    <row r="115" spans="1:13" ht="20.100000000000001" customHeight="1" x14ac:dyDescent="0.2">
      <c r="A115" s="9">
        <f t="shared" si="4"/>
        <v>112</v>
      </c>
      <c r="B115" s="9">
        <v>1111</v>
      </c>
      <c r="C115" s="9">
        <v>2477823666</v>
      </c>
      <c r="D115" s="9" t="s">
        <v>3519</v>
      </c>
      <c r="E115" s="9" t="s">
        <v>818</v>
      </c>
      <c r="F115" s="9" t="s">
        <v>722</v>
      </c>
      <c r="G115" s="11">
        <v>1200</v>
      </c>
      <c r="H115" s="11">
        <v>0</v>
      </c>
      <c r="I115" s="11" t="s">
        <v>42</v>
      </c>
      <c r="J115" s="11" t="s">
        <v>42</v>
      </c>
      <c r="K115" s="11">
        <v>700</v>
      </c>
      <c r="L115" s="11">
        <v>1900</v>
      </c>
      <c r="M115" s="9" t="s">
        <v>3506</v>
      </c>
    </row>
    <row r="116" spans="1:13" ht="20.100000000000001" customHeight="1" x14ac:dyDescent="0.2">
      <c r="A116" s="9">
        <f t="shared" si="4"/>
        <v>113</v>
      </c>
      <c r="B116" s="9">
        <v>1112</v>
      </c>
      <c r="C116" s="9">
        <v>2493819805</v>
      </c>
      <c r="D116" s="9" t="s">
        <v>3519</v>
      </c>
      <c r="E116" s="9" t="s">
        <v>825</v>
      </c>
      <c r="F116" s="9" t="s">
        <v>45</v>
      </c>
      <c r="G116" s="11">
        <v>4000</v>
      </c>
      <c r="H116" s="11">
        <v>0</v>
      </c>
      <c r="I116" s="11">
        <v>0</v>
      </c>
      <c r="J116" s="11">
        <v>0</v>
      </c>
      <c r="K116" s="11">
        <v>1000</v>
      </c>
      <c r="L116" s="11">
        <v>5000</v>
      </c>
      <c r="M116" s="9" t="s">
        <v>65</v>
      </c>
    </row>
    <row r="117" spans="1:13" ht="20.100000000000001" customHeight="1" x14ac:dyDescent="0.2">
      <c r="A117" s="9">
        <f t="shared" si="4"/>
        <v>114</v>
      </c>
      <c r="B117" s="9">
        <v>1113</v>
      </c>
      <c r="C117" s="9">
        <v>2498428230</v>
      </c>
      <c r="D117" s="9" t="s">
        <v>3519</v>
      </c>
      <c r="E117" s="9" t="s">
        <v>832</v>
      </c>
      <c r="F117" s="9" t="s">
        <v>135</v>
      </c>
      <c r="G117" s="11">
        <v>1800</v>
      </c>
      <c r="H117" s="11">
        <v>0</v>
      </c>
      <c r="I117" s="11">
        <v>0</v>
      </c>
      <c r="J117" s="11">
        <v>0</v>
      </c>
      <c r="K117" s="11">
        <v>1200</v>
      </c>
      <c r="L117" s="11">
        <v>3000</v>
      </c>
      <c r="M117" s="9" t="s">
        <v>65</v>
      </c>
    </row>
    <row r="118" spans="1:13" ht="20.100000000000001" customHeight="1" x14ac:dyDescent="0.2">
      <c r="A118" s="9">
        <f t="shared" si="4"/>
        <v>115</v>
      </c>
      <c r="B118" s="9">
        <v>1114</v>
      </c>
      <c r="C118" s="9">
        <v>1074549708</v>
      </c>
      <c r="D118" s="9" t="s">
        <v>3519</v>
      </c>
      <c r="E118" s="9" t="s">
        <v>839</v>
      </c>
      <c r="F118" s="9" t="s">
        <v>178</v>
      </c>
      <c r="G118" s="11">
        <v>4000</v>
      </c>
      <c r="H118" s="11">
        <v>0</v>
      </c>
      <c r="I118" s="11">
        <v>0</v>
      </c>
      <c r="J118" s="11">
        <v>0</v>
      </c>
      <c r="K118" s="11">
        <v>3000</v>
      </c>
      <c r="L118" s="11">
        <v>7000</v>
      </c>
      <c r="M118" s="9" t="s">
        <v>65</v>
      </c>
    </row>
    <row r="119" spans="1:13" ht="20.100000000000001" customHeight="1" x14ac:dyDescent="0.2">
      <c r="A119" s="9">
        <f t="shared" si="4"/>
        <v>116</v>
      </c>
      <c r="B119" s="9">
        <v>1115</v>
      </c>
      <c r="C119" s="9">
        <v>2270266154</v>
      </c>
      <c r="D119" s="9" t="s">
        <v>3519</v>
      </c>
      <c r="E119" s="9" t="s">
        <v>847</v>
      </c>
      <c r="F119" s="9" t="s">
        <v>45</v>
      </c>
      <c r="G119" s="11">
        <v>400</v>
      </c>
      <c r="H119" s="11">
        <v>0</v>
      </c>
      <c r="I119" s="11" t="s">
        <v>42</v>
      </c>
      <c r="J119" s="11" t="s">
        <v>42</v>
      </c>
      <c r="K119" s="11">
        <v>0</v>
      </c>
      <c r="L119" s="11">
        <v>400</v>
      </c>
      <c r="M119" s="9" t="s">
        <v>3506</v>
      </c>
    </row>
    <row r="120" spans="1:13" ht="20.100000000000001" customHeight="1" x14ac:dyDescent="0.2">
      <c r="A120" s="9" t="s">
        <v>2856</v>
      </c>
      <c r="B120" s="9">
        <v>1116</v>
      </c>
      <c r="C120" s="9">
        <v>1090491950</v>
      </c>
      <c r="D120" s="9"/>
      <c r="E120" s="9" t="s">
        <v>2857</v>
      </c>
      <c r="F120" s="9" t="s">
        <v>466</v>
      </c>
      <c r="G120" s="11">
        <v>4000</v>
      </c>
      <c r="H120" s="11">
        <v>0</v>
      </c>
      <c r="I120" s="11" t="s">
        <v>42</v>
      </c>
      <c r="J120" s="11" t="s">
        <v>42</v>
      </c>
      <c r="K120" s="11">
        <v>500</v>
      </c>
      <c r="L120" s="11">
        <v>4500</v>
      </c>
      <c r="M120" s="9" t="s">
        <v>471</v>
      </c>
    </row>
    <row r="121" spans="1:13" ht="20.100000000000001" customHeight="1" x14ac:dyDescent="0.2">
      <c r="A121" s="9">
        <f>ROW()-3</f>
        <v>118</v>
      </c>
      <c r="B121" s="9">
        <v>1117</v>
      </c>
      <c r="C121" s="9">
        <v>1111203160</v>
      </c>
      <c r="D121" s="9" t="s">
        <v>3519</v>
      </c>
      <c r="E121" s="9" t="s">
        <v>853</v>
      </c>
      <c r="F121" s="9" t="s">
        <v>292</v>
      </c>
      <c r="G121" s="11">
        <v>4000</v>
      </c>
      <c r="H121" s="11">
        <v>0</v>
      </c>
      <c r="I121" s="11">
        <v>0</v>
      </c>
      <c r="J121" s="11">
        <v>0</v>
      </c>
      <c r="K121" s="11">
        <v>300</v>
      </c>
      <c r="L121" s="11">
        <v>4300</v>
      </c>
      <c r="M121" s="9" t="s">
        <v>65</v>
      </c>
    </row>
    <row r="122" spans="1:13" ht="20.100000000000001" customHeight="1" x14ac:dyDescent="0.2">
      <c r="A122" s="9" t="s">
        <v>2863</v>
      </c>
      <c r="B122" s="9">
        <v>1118</v>
      </c>
      <c r="C122" s="9">
        <v>1096726334</v>
      </c>
      <c r="D122" s="9"/>
      <c r="E122" s="9" t="s">
        <v>2864</v>
      </c>
      <c r="F122" s="9" t="s">
        <v>59</v>
      </c>
      <c r="G122" s="11">
        <v>4000</v>
      </c>
      <c r="H122" s="11">
        <v>0</v>
      </c>
      <c r="I122" s="11" t="s">
        <v>42</v>
      </c>
      <c r="J122" s="11" t="s">
        <v>42</v>
      </c>
      <c r="K122" s="11">
        <v>0</v>
      </c>
      <c r="L122" s="11">
        <v>4000</v>
      </c>
      <c r="M122" s="9" t="s">
        <v>65</v>
      </c>
    </row>
    <row r="123" spans="1:13" ht="20.100000000000001" customHeight="1" x14ac:dyDescent="0.2">
      <c r="A123" s="9" t="s">
        <v>2867</v>
      </c>
      <c r="B123" s="9">
        <v>1119</v>
      </c>
      <c r="C123" s="9">
        <v>1112757867</v>
      </c>
      <c r="D123" s="9"/>
      <c r="E123" s="9" t="s">
        <v>2868</v>
      </c>
      <c r="F123" s="9" t="s">
        <v>203</v>
      </c>
      <c r="G123" s="11">
        <v>4000</v>
      </c>
      <c r="H123" s="11">
        <v>0</v>
      </c>
      <c r="I123" s="11" t="s">
        <v>42</v>
      </c>
      <c r="J123" s="11" t="s">
        <v>42</v>
      </c>
      <c r="K123" s="11">
        <v>60</v>
      </c>
      <c r="L123" s="11">
        <v>4060</v>
      </c>
      <c r="M123" s="9" t="s">
        <v>65</v>
      </c>
    </row>
    <row r="124" spans="1:13" ht="20.100000000000001" customHeight="1" x14ac:dyDescent="0.2">
      <c r="A124" s="9">
        <f>ROW()-3</f>
        <v>121</v>
      </c>
      <c r="B124" s="9">
        <v>1120</v>
      </c>
      <c r="C124" s="9">
        <v>1087203905</v>
      </c>
      <c r="D124" s="9" t="s">
        <v>3519</v>
      </c>
      <c r="E124" s="9" t="s">
        <v>859</v>
      </c>
      <c r="F124" s="9" t="s">
        <v>744</v>
      </c>
      <c r="G124" s="11">
        <v>4000</v>
      </c>
      <c r="H124" s="11">
        <v>0</v>
      </c>
      <c r="I124" s="11" t="s">
        <v>42</v>
      </c>
      <c r="J124" s="11" t="s">
        <v>42</v>
      </c>
      <c r="K124" s="11">
        <v>500</v>
      </c>
      <c r="L124" s="11">
        <v>4500</v>
      </c>
      <c r="M124" s="9" t="s">
        <v>3506</v>
      </c>
    </row>
    <row r="125" spans="1:13" ht="20.100000000000001" customHeight="1" x14ac:dyDescent="0.2">
      <c r="A125" s="9">
        <f>ROW()-3</f>
        <v>122</v>
      </c>
      <c r="B125" s="9">
        <v>1121</v>
      </c>
      <c r="C125" s="9">
        <v>1100165263</v>
      </c>
      <c r="D125" s="9" t="s">
        <v>3519</v>
      </c>
      <c r="E125" s="9" t="s">
        <v>2874</v>
      </c>
      <c r="F125" s="9" t="s">
        <v>408</v>
      </c>
      <c r="G125" s="11">
        <v>4000</v>
      </c>
      <c r="H125" s="11">
        <v>0</v>
      </c>
      <c r="I125" s="11" t="s">
        <v>42</v>
      </c>
      <c r="J125" s="11" t="s">
        <v>42</v>
      </c>
      <c r="K125" s="11">
        <v>0</v>
      </c>
      <c r="L125" s="11">
        <v>4000</v>
      </c>
      <c r="M125" s="9" t="s">
        <v>3506</v>
      </c>
    </row>
    <row r="126" spans="1:13" ht="20.100000000000001" customHeight="1" x14ac:dyDescent="0.2">
      <c r="A126" s="9">
        <f>ROW()-3</f>
        <v>123</v>
      </c>
      <c r="B126" s="9">
        <v>1122</v>
      </c>
      <c r="C126" s="9">
        <v>1082299536</v>
      </c>
      <c r="D126" s="9" t="s">
        <v>3519</v>
      </c>
      <c r="E126" s="9" t="s">
        <v>865</v>
      </c>
      <c r="F126" s="9" t="s">
        <v>45</v>
      </c>
      <c r="G126" s="11">
        <v>4000</v>
      </c>
      <c r="H126" s="11">
        <v>0</v>
      </c>
      <c r="I126" s="11" t="s">
        <v>42</v>
      </c>
      <c r="J126" s="11" t="s">
        <v>42</v>
      </c>
      <c r="K126" s="11">
        <v>0</v>
      </c>
      <c r="L126" s="11">
        <v>4000</v>
      </c>
      <c r="M126" s="9" t="s">
        <v>3506</v>
      </c>
    </row>
    <row r="127" spans="1:13" ht="20.100000000000001" customHeight="1" x14ac:dyDescent="0.2">
      <c r="A127" s="9" t="s">
        <v>2877</v>
      </c>
      <c r="B127" s="9">
        <v>1123</v>
      </c>
      <c r="C127" s="9">
        <v>1113859985</v>
      </c>
      <c r="D127" s="9"/>
      <c r="E127" s="9" t="s">
        <v>2878</v>
      </c>
      <c r="F127" s="9" t="s">
        <v>166</v>
      </c>
      <c r="G127" s="11">
        <v>4000</v>
      </c>
      <c r="H127" s="11">
        <v>0</v>
      </c>
      <c r="I127" s="11" t="s">
        <v>42</v>
      </c>
      <c r="J127" s="11" t="s">
        <v>42</v>
      </c>
      <c r="K127" s="11">
        <v>60</v>
      </c>
      <c r="L127" s="11">
        <v>4060</v>
      </c>
      <c r="M127" s="9" t="s">
        <v>65</v>
      </c>
    </row>
    <row r="128" spans="1:13" ht="20.100000000000001" customHeight="1" x14ac:dyDescent="0.2">
      <c r="A128" s="9">
        <f>ROW()-3</f>
        <v>125</v>
      </c>
      <c r="B128" s="9">
        <v>1124</v>
      </c>
      <c r="C128" s="9">
        <v>1117588747</v>
      </c>
      <c r="D128" s="9" t="s">
        <v>3519</v>
      </c>
      <c r="E128" s="9" t="s">
        <v>869</v>
      </c>
      <c r="F128" s="9" t="s">
        <v>475</v>
      </c>
      <c r="G128" s="11">
        <v>4000</v>
      </c>
      <c r="H128" s="11">
        <v>0</v>
      </c>
      <c r="I128" s="11">
        <v>0</v>
      </c>
      <c r="J128" s="11">
        <v>0</v>
      </c>
      <c r="K128" s="11">
        <v>500</v>
      </c>
      <c r="L128" s="11">
        <v>4500</v>
      </c>
      <c r="M128" s="9" t="s">
        <v>471</v>
      </c>
    </row>
    <row r="129" spans="1:13" ht="20.100000000000001" customHeight="1" x14ac:dyDescent="0.2">
      <c r="A129" s="9">
        <f>ROW()-3</f>
        <v>126</v>
      </c>
      <c r="B129" s="9">
        <v>1125</v>
      </c>
      <c r="C129" s="9">
        <v>2500370032</v>
      </c>
      <c r="D129" s="9" t="s">
        <v>3519</v>
      </c>
      <c r="E129" s="9" t="s">
        <v>875</v>
      </c>
      <c r="F129" s="9" t="s">
        <v>142</v>
      </c>
      <c r="G129" s="11">
        <v>2500</v>
      </c>
      <c r="H129" s="11">
        <v>0</v>
      </c>
      <c r="I129" s="11">
        <v>0</v>
      </c>
      <c r="J129" s="11">
        <v>0</v>
      </c>
      <c r="K129" s="11">
        <v>1000</v>
      </c>
      <c r="L129" s="11">
        <v>3500</v>
      </c>
      <c r="M129" s="9" t="s">
        <v>65</v>
      </c>
    </row>
    <row r="130" spans="1:13" ht="20.100000000000001" customHeight="1" x14ac:dyDescent="0.2">
      <c r="A130" s="9" t="s">
        <v>2883</v>
      </c>
      <c r="B130" s="9">
        <v>1126</v>
      </c>
      <c r="C130" s="9">
        <v>1114326679</v>
      </c>
      <c r="D130" s="9"/>
      <c r="E130" s="9" t="s">
        <v>2884</v>
      </c>
      <c r="F130" s="9" t="s">
        <v>475</v>
      </c>
      <c r="G130" s="11">
        <v>4000</v>
      </c>
      <c r="H130" s="11">
        <v>0</v>
      </c>
      <c r="I130" s="11" t="s">
        <v>42</v>
      </c>
      <c r="J130" s="11" t="s">
        <v>42</v>
      </c>
      <c r="K130" s="11">
        <v>0</v>
      </c>
      <c r="L130" s="11">
        <v>4000</v>
      </c>
      <c r="M130" s="9" t="s">
        <v>471</v>
      </c>
    </row>
    <row r="131" spans="1:13" ht="20.100000000000001" customHeight="1" x14ac:dyDescent="0.2">
      <c r="A131" s="9">
        <f>ROW()-3</f>
        <v>128</v>
      </c>
      <c r="B131" s="9">
        <v>1127</v>
      </c>
      <c r="C131" s="9">
        <v>2504344645</v>
      </c>
      <c r="D131" s="9" t="s">
        <v>3519</v>
      </c>
      <c r="E131" s="9" t="s">
        <v>882</v>
      </c>
      <c r="F131" s="9" t="s">
        <v>45</v>
      </c>
      <c r="G131" s="11">
        <v>2700</v>
      </c>
      <c r="H131" s="11">
        <v>0</v>
      </c>
      <c r="I131" s="11">
        <v>0</v>
      </c>
      <c r="J131" s="11">
        <v>0</v>
      </c>
      <c r="K131" s="11">
        <v>2300</v>
      </c>
      <c r="L131" s="11">
        <v>5000</v>
      </c>
      <c r="M131" s="9" t="s">
        <v>65</v>
      </c>
    </row>
    <row r="132" spans="1:13" ht="20.100000000000001" customHeight="1" x14ac:dyDescent="0.2">
      <c r="A132" s="9" t="s">
        <v>2889</v>
      </c>
      <c r="B132" s="9">
        <v>1128</v>
      </c>
      <c r="C132" s="9">
        <v>1113147506</v>
      </c>
      <c r="D132" s="9"/>
      <c r="E132" s="9" t="s">
        <v>2890</v>
      </c>
      <c r="F132" s="9" t="s">
        <v>306</v>
      </c>
      <c r="G132" s="11">
        <v>4000</v>
      </c>
      <c r="H132" s="11">
        <v>0</v>
      </c>
      <c r="I132" s="11" t="s">
        <v>42</v>
      </c>
      <c r="J132" s="11" t="s">
        <v>42</v>
      </c>
      <c r="K132" s="11">
        <v>0</v>
      </c>
      <c r="L132" s="11">
        <v>4000</v>
      </c>
      <c r="M132" s="9" t="s">
        <v>3506</v>
      </c>
    </row>
    <row r="133" spans="1:13" ht="20.100000000000001" customHeight="1" x14ac:dyDescent="0.2">
      <c r="A133" s="9" t="s">
        <v>2895</v>
      </c>
      <c r="B133" s="9">
        <v>1129</v>
      </c>
      <c r="C133" s="9">
        <v>1120747140</v>
      </c>
      <c r="D133" s="9"/>
      <c r="E133" s="9" t="s">
        <v>2896</v>
      </c>
      <c r="F133" s="9" t="s">
        <v>306</v>
      </c>
      <c r="G133" s="11">
        <v>4000</v>
      </c>
      <c r="H133" s="11">
        <v>0</v>
      </c>
      <c r="I133" s="11" t="s">
        <v>42</v>
      </c>
      <c r="J133" s="11" t="s">
        <v>42</v>
      </c>
      <c r="K133" s="11">
        <v>0</v>
      </c>
      <c r="L133" s="11">
        <v>4000</v>
      </c>
      <c r="M133" s="9" t="s">
        <v>3506</v>
      </c>
    </row>
    <row r="134" spans="1:13" ht="20.100000000000001" customHeight="1" x14ac:dyDescent="0.2">
      <c r="A134" s="9" t="s">
        <v>2900</v>
      </c>
      <c r="B134" s="9">
        <v>1130</v>
      </c>
      <c r="C134" s="9">
        <v>1105185670</v>
      </c>
      <c r="D134" s="9"/>
      <c r="E134" s="9" t="s">
        <v>2901</v>
      </c>
      <c r="F134" s="9" t="s">
        <v>306</v>
      </c>
      <c r="G134" s="11">
        <v>4000</v>
      </c>
      <c r="H134" s="11">
        <v>0</v>
      </c>
      <c r="I134" s="11" t="s">
        <v>42</v>
      </c>
      <c r="J134" s="11" t="s">
        <v>42</v>
      </c>
      <c r="K134" s="11">
        <v>0</v>
      </c>
      <c r="L134" s="11">
        <v>4000</v>
      </c>
      <c r="M134" s="9" t="s">
        <v>3506</v>
      </c>
    </row>
    <row r="135" spans="1:13" ht="20.100000000000001" customHeight="1" x14ac:dyDescent="0.2">
      <c r="A135" s="9" t="s">
        <v>2906</v>
      </c>
      <c r="B135" s="9">
        <v>1131</v>
      </c>
      <c r="C135" s="9">
        <v>1117922722</v>
      </c>
      <c r="D135" s="9" t="s">
        <v>3519</v>
      </c>
      <c r="E135" s="9" t="s">
        <v>2907</v>
      </c>
      <c r="F135" s="9" t="s">
        <v>744</v>
      </c>
      <c r="G135" s="11">
        <v>4000</v>
      </c>
      <c r="H135" s="11">
        <v>0</v>
      </c>
      <c r="I135" s="11" t="s">
        <v>42</v>
      </c>
      <c r="J135" s="11" t="s">
        <v>42</v>
      </c>
      <c r="K135" s="11">
        <v>0</v>
      </c>
      <c r="L135" s="11">
        <v>4000</v>
      </c>
      <c r="M135" s="9" t="s">
        <v>3506</v>
      </c>
    </row>
    <row r="136" spans="1:13" ht="20.100000000000001" customHeight="1" x14ac:dyDescent="0.2">
      <c r="A136" s="9">
        <f>ROW()-3</f>
        <v>133</v>
      </c>
      <c r="B136" s="9">
        <v>1132</v>
      </c>
      <c r="C136" s="9">
        <v>2505611299</v>
      </c>
      <c r="D136" s="9" t="s">
        <v>3519</v>
      </c>
      <c r="E136" s="9" t="s">
        <v>889</v>
      </c>
      <c r="F136" s="9" t="s">
        <v>154</v>
      </c>
      <c r="G136" s="11">
        <v>1800</v>
      </c>
      <c r="H136" s="11">
        <v>0</v>
      </c>
      <c r="I136" s="11">
        <v>0</v>
      </c>
      <c r="J136" s="11">
        <v>0</v>
      </c>
      <c r="K136" s="11">
        <v>1000</v>
      </c>
      <c r="L136" s="11">
        <v>2800</v>
      </c>
      <c r="M136" s="9" t="s">
        <v>65</v>
      </c>
    </row>
    <row r="137" spans="1:13" ht="20.100000000000001" customHeight="1" x14ac:dyDescent="0.2">
      <c r="A137" s="9">
        <f>ROW()-3</f>
        <v>134</v>
      </c>
      <c r="B137" s="9">
        <v>1133</v>
      </c>
      <c r="C137" s="9">
        <v>2216941035</v>
      </c>
      <c r="D137" s="9" t="s">
        <v>3519</v>
      </c>
      <c r="E137" s="9" t="s">
        <v>895</v>
      </c>
      <c r="F137" s="9" t="s">
        <v>899</v>
      </c>
      <c r="G137" s="11">
        <v>1400</v>
      </c>
      <c r="H137" s="11">
        <v>0</v>
      </c>
      <c r="I137" s="11" t="s">
        <v>42</v>
      </c>
      <c r="J137" s="11" t="s">
        <v>42</v>
      </c>
      <c r="K137" s="11">
        <v>3600</v>
      </c>
      <c r="L137" s="11">
        <v>5000</v>
      </c>
      <c r="M137" s="9" t="s">
        <v>903</v>
      </c>
    </row>
    <row r="138" spans="1:13" ht="20.100000000000001" customHeight="1" x14ac:dyDescent="0.2">
      <c r="A138" s="9" t="s">
        <v>2912</v>
      </c>
      <c r="B138" s="9">
        <v>1134</v>
      </c>
      <c r="C138" s="9">
        <v>2498980875</v>
      </c>
      <c r="D138" s="9" t="s">
        <v>3519</v>
      </c>
      <c r="E138" s="9" t="s">
        <v>2913</v>
      </c>
      <c r="F138" s="9" t="s">
        <v>899</v>
      </c>
      <c r="G138" s="11">
        <v>2500</v>
      </c>
      <c r="H138" s="11">
        <v>0</v>
      </c>
      <c r="I138" s="11" t="s">
        <v>42</v>
      </c>
      <c r="J138" s="11" t="s">
        <v>42</v>
      </c>
      <c r="K138" s="11">
        <v>1000</v>
      </c>
      <c r="L138" s="11">
        <v>3500</v>
      </c>
      <c r="M138" s="9" t="s">
        <v>903</v>
      </c>
    </row>
    <row r="139" spans="1:13" ht="20.100000000000001" customHeight="1" x14ac:dyDescent="0.2">
      <c r="A139" s="9">
        <f>ROW()-3</f>
        <v>136</v>
      </c>
      <c r="B139" s="9">
        <v>1135</v>
      </c>
      <c r="C139" s="9">
        <v>2512494606</v>
      </c>
      <c r="D139" s="9" t="s">
        <v>3519</v>
      </c>
      <c r="E139" s="9" t="s">
        <v>906</v>
      </c>
      <c r="F139" s="9" t="s">
        <v>899</v>
      </c>
      <c r="G139" s="11">
        <v>1200</v>
      </c>
      <c r="H139" s="11">
        <v>0</v>
      </c>
      <c r="I139" s="11" t="s">
        <v>42</v>
      </c>
      <c r="J139" s="11" t="s">
        <v>42</v>
      </c>
      <c r="K139" s="11">
        <v>1400</v>
      </c>
      <c r="L139" s="11">
        <v>2600</v>
      </c>
      <c r="M139" s="9" t="s">
        <v>903</v>
      </c>
    </row>
    <row r="140" spans="1:13" ht="20.100000000000001" customHeight="1" x14ac:dyDescent="0.2">
      <c r="A140" s="9" t="s">
        <v>2919</v>
      </c>
      <c r="B140" s="9">
        <v>1136</v>
      </c>
      <c r="C140" s="9">
        <v>2511070753</v>
      </c>
      <c r="D140" s="9" t="s">
        <v>3519</v>
      </c>
      <c r="E140" s="9" t="s">
        <v>2920</v>
      </c>
      <c r="F140" s="9" t="s">
        <v>899</v>
      </c>
      <c r="G140" s="11">
        <v>1500</v>
      </c>
      <c r="H140" s="11">
        <v>0</v>
      </c>
      <c r="I140" s="11" t="s">
        <v>42</v>
      </c>
      <c r="J140" s="11" t="s">
        <v>42</v>
      </c>
      <c r="K140" s="11">
        <v>500</v>
      </c>
      <c r="L140" s="11">
        <v>2000</v>
      </c>
      <c r="M140" s="9" t="s">
        <v>903</v>
      </c>
    </row>
    <row r="141" spans="1:13" ht="20.100000000000001" customHeight="1" x14ac:dyDescent="0.2">
      <c r="A141" s="9">
        <f t="shared" ref="A141:A150" si="5">ROW()-3</f>
        <v>138</v>
      </c>
      <c r="B141" s="9">
        <v>1137</v>
      </c>
      <c r="C141" s="9">
        <v>2516856826</v>
      </c>
      <c r="D141" s="9" t="s">
        <v>3519</v>
      </c>
      <c r="E141" s="9" t="s">
        <v>914</v>
      </c>
      <c r="F141" s="9" t="s">
        <v>899</v>
      </c>
      <c r="G141" s="11">
        <v>1200</v>
      </c>
      <c r="H141" s="11">
        <v>0</v>
      </c>
      <c r="I141" s="11" t="s">
        <v>42</v>
      </c>
      <c r="J141" s="11" t="s">
        <v>42</v>
      </c>
      <c r="K141" s="11">
        <v>1600</v>
      </c>
      <c r="L141" s="11">
        <v>2800</v>
      </c>
      <c r="M141" s="9" t="s">
        <v>903</v>
      </c>
    </row>
    <row r="142" spans="1:13" ht="20.100000000000001" customHeight="1" x14ac:dyDescent="0.2">
      <c r="A142" s="9">
        <f t="shared" si="5"/>
        <v>139</v>
      </c>
      <c r="B142" s="9">
        <v>1138</v>
      </c>
      <c r="C142" s="9">
        <v>2483331274</v>
      </c>
      <c r="D142" s="9" t="s">
        <v>3519</v>
      </c>
      <c r="E142" s="9" t="s">
        <v>921</v>
      </c>
      <c r="F142" s="9" t="s">
        <v>899</v>
      </c>
      <c r="G142" s="11">
        <v>2500</v>
      </c>
      <c r="H142" s="11">
        <v>0</v>
      </c>
      <c r="I142" s="11" t="s">
        <v>42</v>
      </c>
      <c r="J142" s="11" t="s">
        <v>42</v>
      </c>
      <c r="K142" s="11">
        <v>1000</v>
      </c>
      <c r="L142" s="11">
        <v>3500</v>
      </c>
      <c r="M142" s="9" t="s">
        <v>903</v>
      </c>
    </row>
    <row r="143" spans="1:13" ht="20.100000000000001" customHeight="1" x14ac:dyDescent="0.2">
      <c r="A143" s="9">
        <f t="shared" si="5"/>
        <v>140</v>
      </c>
      <c r="B143" s="9">
        <v>1139</v>
      </c>
      <c r="C143" s="9">
        <v>1113117053</v>
      </c>
      <c r="D143" s="9" t="s">
        <v>3519</v>
      </c>
      <c r="E143" s="9" t="s">
        <v>928</v>
      </c>
      <c r="F143" s="9" t="s">
        <v>166</v>
      </c>
      <c r="G143" s="11">
        <v>4000</v>
      </c>
      <c r="H143" s="11">
        <v>0</v>
      </c>
      <c r="I143" s="11">
        <v>0</v>
      </c>
      <c r="J143" s="11">
        <v>0</v>
      </c>
      <c r="K143" s="11">
        <v>300</v>
      </c>
      <c r="L143" s="11">
        <v>4300</v>
      </c>
      <c r="M143" s="9" t="s">
        <v>65</v>
      </c>
    </row>
    <row r="144" spans="1:13" ht="20.100000000000001" customHeight="1" x14ac:dyDescent="0.2">
      <c r="A144" s="9">
        <f t="shared" si="5"/>
        <v>141</v>
      </c>
      <c r="B144" s="9">
        <v>1140</v>
      </c>
      <c r="C144" s="9">
        <v>2514045612</v>
      </c>
      <c r="D144" s="9" t="s">
        <v>3519</v>
      </c>
      <c r="E144" s="9" t="s">
        <v>934</v>
      </c>
      <c r="F144" s="9" t="s">
        <v>222</v>
      </c>
      <c r="G144" s="11">
        <v>1800</v>
      </c>
      <c r="H144" s="11">
        <v>0</v>
      </c>
      <c r="I144" s="11">
        <v>0</v>
      </c>
      <c r="J144" s="11">
        <v>0</v>
      </c>
      <c r="K144" s="11">
        <v>950</v>
      </c>
      <c r="L144" s="11">
        <v>2750</v>
      </c>
      <c r="M144" s="9" t="s">
        <v>567</v>
      </c>
    </row>
    <row r="145" spans="1:13" ht="20.100000000000001" customHeight="1" x14ac:dyDescent="0.2">
      <c r="A145" s="9">
        <f t="shared" si="5"/>
        <v>142</v>
      </c>
      <c r="B145" s="9">
        <v>1141</v>
      </c>
      <c r="C145" s="9">
        <v>2514039698</v>
      </c>
      <c r="D145" s="9" t="s">
        <v>3519</v>
      </c>
      <c r="E145" s="9" t="s">
        <v>941</v>
      </c>
      <c r="F145" s="9" t="s">
        <v>222</v>
      </c>
      <c r="G145" s="11">
        <v>3000</v>
      </c>
      <c r="H145" s="11">
        <v>0</v>
      </c>
      <c r="I145" s="11" t="s">
        <v>42</v>
      </c>
      <c r="J145" s="11" t="s">
        <v>42</v>
      </c>
      <c r="K145" s="11">
        <v>2000</v>
      </c>
      <c r="L145" s="11">
        <v>5000</v>
      </c>
      <c r="M145" s="9" t="s">
        <v>567</v>
      </c>
    </row>
    <row r="146" spans="1:13" ht="20.100000000000001" customHeight="1" x14ac:dyDescent="0.2">
      <c r="A146" s="9">
        <f t="shared" si="5"/>
        <v>143</v>
      </c>
      <c r="B146" s="9">
        <v>1142</v>
      </c>
      <c r="C146" s="9">
        <v>2503035392</v>
      </c>
      <c r="D146" s="9" t="s">
        <v>3519</v>
      </c>
      <c r="E146" s="9" t="s">
        <v>949</v>
      </c>
      <c r="F146" s="9" t="s">
        <v>135</v>
      </c>
      <c r="G146" s="11">
        <v>1800</v>
      </c>
      <c r="H146" s="11">
        <v>0</v>
      </c>
      <c r="I146" s="11">
        <v>0</v>
      </c>
      <c r="J146" s="11">
        <v>0</v>
      </c>
      <c r="K146" s="11">
        <v>1000</v>
      </c>
      <c r="L146" s="11">
        <v>2800</v>
      </c>
      <c r="M146" s="9" t="s">
        <v>65</v>
      </c>
    </row>
    <row r="147" spans="1:13" ht="20.100000000000001" customHeight="1" x14ac:dyDescent="0.2">
      <c r="A147" s="9">
        <f t="shared" si="5"/>
        <v>144</v>
      </c>
      <c r="B147" s="9">
        <v>1143</v>
      </c>
      <c r="C147" s="9">
        <v>2487643674</v>
      </c>
      <c r="D147" s="9" t="s">
        <v>3105</v>
      </c>
      <c r="E147" s="9" t="s">
        <v>956</v>
      </c>
      <c r="F147" s="9" t="s">
        <v>958</v>
      </c>
      <c r="G147" s="11">
        <v>1500</v>
      </c>
      <c r="H147" s="11">
        <v>0</v>
      </c>
      <c r="I147" s="11">
        <v>0</v>
      </c>
      <c r="J147" s="11">
        <v>0</v>
      </c>
      <c r="K147" s="11">
        <v>500</v>
      </c>
      <c r="L147" s="11">
        <v>2000</v>
      </c>
      <c r="M147" s="9" t="s">
        <v>37</v>
      </c>
    </row>
    <row r="148" spans="1:13" ht="20.100000000000001" customHeight="1" x14ac:dyDescent="0.2">
      <c r="A148" s="9">
        <f t="shared" si="5"/>
        <v>145</v>
      </c>
      <c r="B148" s="9">
        <v>1144</v>
      </c>
      <c r="C148" s="9">
        <v>1069605119</v>
      </c>
      <c r="D148" s="9" t="s">
        <v>3519</v>
      </c>
      <c r="E148" s="9" t="s">
        <v>964</v>
      </c>
      <c r="F148" s="9" t="s">
        <v>142</v>
      </c>
      <c r="G148" s="11">
        <v>4000</v>
      </c>
      <c r="H148" s="11">
        <v>0</v>
      </c>
      <c r="I148" s="11">
        <v>0</v>
      </c>
      <c r="J148" s="11" t="s">
        <v>42</v>
      </c>
      <c r="K148" s="11">
        <v>550</v>
      </c>
      <c r="L148" s="11">
        <v>4550</v>
      </c>
      <c r="M148" s="9" t="s">
        <v>103</v>
      </c>
    </row>
    <row r="149" spans="1:13" ht="20.100000000000001" customHeight="1" x14ac:dyDescent="0.2">
      <c r="A149" s="9">
        <f t="shared" si="5"/>
        <v>146</v>
      </c>
      <c r="B149" s="9">
        <v>1145</v>
      </c>
      <c r="C149" s="9">
        <v>2373237367</v>
      </c>
      <c r="D149" s="9" t="s">
        <v>3105</v>
      </c>
      <c r="E149" s="9" t="s">
        <v>970</v>
      </c>
      <c r="F149" s="9" t="s">
        <v>178</v>
      </c>
      <c r="G149" s="11">
        <v>2000</v>
      </c>
      <c r="H149" s="11">
        <v>0</v>
      </c>
      <c r="I149" s="11" t="s">
        <v>42</v>
      </c>
      <c r="J149" s="11">
        <v>0</v>
      </c>
      <c r="K149" s="11">
        <v>0</v>
      </c>
      <c r="L149" s="11">
        <v>2000</v>
      </c>
      <c r="M149" s="9" t="s">
        <v>788</v>
      </c>
    </row>
    <row r="150" spans="1:13" ht="20.100000000000001" customHeight="1" x14ac:dyDescent="0.2">
      <c r="A150" s="9">
        <f t="shared" si="5"/>
        <v>147</v>
      </c>
      <c r="B150" s="9">
        <v>1146</v>
      </c>
      <c r="C150" s="9">
        <v>1081911024</v>
      </c>
      <c r="D150" s="9" t="s">
        <v>3519</v>
      </c>
      <c r="E150" s="9" t="s">
        <v>977</v>
      </c>
      <c r="F150" s="9" t="s">
        <v>45</v>
      </c>
      <c r="G150" s="11">
        <v>4000</v>
      </c>
      <c r="H150" s="11">
        <v>0</v>
      </c>
      <c r="I150" s="11" t="s">
        <v>42</v>
      </c>
      <c r="J150" s="11" t="s">
        <v>42</v>
      </c>
      <c r="K150" s="11">
        <v>0</v>
      </c>
      <c r="L150" s="11">
        <v>4000</v>
      </c>
      <c r="M150" s="9" t="s">
        <v>65</v>
      </c>
    </row>
    <row r="151" spans="1:13" ht="20.100000000000001" customHeight="1" x14ac:dyDescent="0.2">
      <c r="A151" s="9" t="s">
        <v>2925</v>
      </c>
      <c r="B151" s="9">
        <v>1147</v>
      </c>
      <c r="C151" s="9">
        <v>1096580376</v>
      </c>
      <c r="D151" s="9" t="s">
        <v>3519</v>
      </c>
      <c r="E151" s="9" t="s">
        <v>2926</v>
      </c>
      <c r="F151" s="9" t="s">
        <v>408</v>
      </c>
      <c r="G151" s="11">
        <v>4000</v>
      </c>
      <c r="H151" s="11">
        <v>0</v>
      </c>
      <c r="I151" s="11" t="s">
        <v>42</v>
      </c>
      <c r="J151" s="11" t="s">
        <v>42</v>
      </c>
      <c r="K151" s="11">
        <v>0</v>
      </c>
      <c r="L151" s="11">
        <v>4000</v>
      </c>
      <c r="M151" s="9" t="s">
        <v>65</v>
      </c>
    </row>
    <row r="152" spans="1:13" ht="20.100000000000001" customHeight="1" x14ac:dyDescent="0.2">
      <c r="A152" s="9">
        <f t="shared" ref="A152:A162" si="6">ROW()-3</f>
        <v>149</v>
      </c>
      <c r="B152" s="9">
        <v>1148</v>
      </c>
      <c r="C152" s="9">
        <v>1095041834</v>
      </c>
      <c r="D152" s="9" t="s">
        <v>3519</v>
      </c>
      <c r="E152" s="9" t="s">
        <v>985</v>
      </c>
      <c r="F152" s="9" t="s">
        <v>45</v>
      </c>
      <c r="G152" s="11">
        <v>4000</v>
      </c>
      <c r="H152" s="11">
        <v>0</v>
      </c>
      <c r="I152" s="11" t="s">
        <v>42</v>
      </c>
      <c r="J152" s="11" t="s">
        <v>42</v>
      </c>
      <c r="K152" s="11">
        <v>0</v>
      </c>
      <c r="L152" s="11">
        <v>4000</v>
      </c>
      <c r="M152" s="9" t="s">
        <v>65</v>
      </c>
    </row>
    <row r="153" spans="1:13" ht="20.100000000000001" customHeight="1" x14ac:dyDescent="0.2">
      <c r="A153" s="9">
        <f t="shared" si="6"/>
        <v>150</v>
      </c>
      <c r="B153" s="9">
        <v>1149</v>
      </c>
      <c r="C153" s="9">
        <v>1110338876</v>
      </c>
      <c r="D153" s="9" t="s">
        <v>3519</v>
      </c>
      <c r="E153" s="9" t="s">
        <v>991</v>
      </c>
      <c r="F153" s="9" t="s">
        <v>45</v>
      </c>
      <c r="G153" s="11">
        <v>4000</v>
      </c>
      <c r="H153" s="11">
        <v>0</v>
      </c>
      <c r="I153" s="11" t="s">
        <v>42</v>
      </c>
      <c r="J153" s="11" t="s">
        <v>42</v>
      </c>
      <c r="K153" s="11">
        <v>0</v>
      </c>
      <c r="L153" s="11">
        <v>4000</v>
      </c>
      <c r="M153" s="9" t="s">
        <v>903</v>
      </c>
    </row>
    <row r="154" spans="1:13" ht="20.100000000000001" customHeight="1" x14ac:dyDescent="0.2">
      <c r="A154" s="9">
        <f t="shared" si="6"/>
        <v>151</v>
      </c>
      <c r="B154" s="9">
        <v>1150</v>
      </c>
      <c r="C154" s="9">
        <v>1022148199</v>
      </c>
      <c r="D154" s="9" t="s">
        <v>3519</v>
      </c>
      <c r="E154" s="9" t="s">
        <v>997</v>
      </c>
      <c r="F154" s="9" t="s">
        <v>45</v>
      </c>
      <c r="G154" s="11">
        <v>4000</v>
      </c>
      <c r="H154" s="11">
        <v>0</v>
      </c>
      <c r="I154" s="11" t="s">
        <v>42</v>
      </c>
      <c r="J154" s="11" t="s">
        <v>42</v>
      </c>
      <c r="K154" s="11">
        <v>0</v>
      </c>
      <c r="L154" s="11">
        <v>4000</v>
      </c>
      <c r="M154" s="9" t="s">
        <v>903</v>
      </c>
    </row>
    <row r="155" spans="1:13" ht="20.100000000000001" customHeight="1" x14ac:dyDescent="0.2">
      <c r="A155" s="9">
        <f t="shared" si="6"/>
        <v>152</v>
      </c>
      <c r="B155" s="9">
        <v>1151</v>
      </c>
      <c r="C155" s="9">
        <v>1054822943</v>
      </c>
      <c r="D155" s="9" t="s">
        <v>3519</v>
      </c>
      <c r="E155" s="9" t="s">
        <v>1003</v>
      </c>
      <c r="F155" s="9" t="s">
        <v>45</v>
      </c>
      <c r="G155" s="11">
        <v>4000</v>
      </c>
      <c r="H155" s="11">
        <v>0</v>
      </c>
      <c r="I155" s="11" t="s">
        <v>42</v>
      </c>
      <c r="J155" s="11" t="s">
        <v>42</v>
      </c>
      <c r="K155" s="11">
        <v>0</v>
      </c>
      <c r="L155" s="11">
        <v>4000</v>
      </c>
      <c r="M155" s="9" t="s">
        <v>103</v>
      </c>
    </row>
    <row r="156" spans="1:13" ht="20.100000000000001" customHeight="1" x14ac:dyDescent="0.2">
      <c r="A156" s="9">
        <f t="shared" si="6"/>
        <v>153</v>
      </c>
      <c r="B156" s="9">
        <v>1152</v>
      </c>
      <c r="C156" s="9">
        <v>1108055201</v>
      </c>
      <c r="D156" s="9" t="s">
        <v>3519</v>
      </c>
      <c r="E156" s="9" t="s">
        <v>1009</v>
      </c>
      <c r="F156" s="9" t="s">
        <v>722</v>
      </c>
      <c r="G156" s="11">
        <v>4000</v>
      </c>
      <c r="H156" s="11">
        <v>0</v>
      </c>
      <c r="I156" s="11" t="s">
        <v>42</v>
      </c>
      <c r="J156" s="11" t="s">
        <v>42</v>
      </c>
      <c r="K156" s="11">
        <v>300</v>
      </c>
      <c r="L156" s="11">
        <v>4300</v>
      </c>
      <c r="M156" s="9" t="s">
        <v>3506</v>
      </c>
    </row>
    <row r="157" spans="1:13" ht="20.100000000000001" customHeight="1" x14ac:dyDescent="0.2">
      <c r="A157" s="9">
        <f t="shared" si="6"/>
        <v>154</v>
      </c>
      <c r="B157" s="9">
        <v>1153</v>
      </c>
      <c r="C157" s="9">
        <v>1109675643</v>
      </c>
      <c r="D157" s="9" t="s">
        <v>3519</v>
      </c>
      <c r="E157" s="9" t="s">
        <v>1015</v>
      </c>
      <c r="F157" s="9" t="s">
        <v>722</v>
      </c>
      <c r="G157" s="11">
        <v>4000</v>
      </c>
      <c r="H157" s="11">
        <v>0</v>
      </c>
      <c r="I157" s="11" t="s">
        <v>42</v>
      </c>
      <c r="J157" s="11" t="s">
        <v>42</v>
      </c>
      <c r="K157" s="11">
        <v>300</v>
      </c>
      <c r="L157" s="11">
        <v>4300</v>
      </c>
      <c r="M157" s="9" t="s">
        <v>3506</v>
      </c>
    </row>
    <row r="158" spans="1:13" ht="20.100000000000001" customHeight="1" x14ac:dyDescent="0.2">
      <c r="A158" s="9">
        <f t="shared" si="6"/>
        <v>155</v>
      </c>
      <c r="B158" s="9">
        <v>1154</v>
      </c>
      <c r="C158" s="9">
        <v>1122660200</v>
      </c>
      <c r="D158" s="9" t="s">
        <v>3519</v>
      </c>
      <c r="E158" s="9" t="s">
        <v>2931</v>
      </c>
      <c r="F158" s="9" t="s">
        <v>722</v>
      </c>
      <c r="G158" s="11">
        <v>4000</v>
      </c>
      <c r="H158" s="11">
        <v>0</v>
      </c>
      <c r="I158" s="11" t="s">
        <v>42</v>
      </c>
      <c r="J158" s="11" t="s">
        <v>42</v>
      </c>
      <c r="K158" s="11">
        <v>0</v>
      </c>
      <c r="L158" s="11">
        <v>4000</v>
      </c>
      <c r="M158" s="9" t="s">
        <v>3506</v>
      </c>
    </row>
    <row r="159" spans="1:13" ht="20.100000000000001" customHeight="1" x14ac:dyDescent="0.2">
      <c r="A159" s="9">
        <f t="shared" si="6"/>
        <v>156</v>
      </c>
      <c r="B159" s="9">
        <v>1155</v>
      </c>
      <c r="C159" s="9">
        <v>1110563218</v>
      </c>
      <c r="D159" s="9" t="s">
        <v>3519</v>
      </c>
      <c r="E159" s="9" t="s">
        <v>1021</v>
      </c>
      <c r="F159" s="9" t="s">
        <v>899</v>
      </c>
      <c r="G159" s="11">
        <v>4000</v>
      </c>
      <c r="H159" s="11">
        <v>0</v>
      </c>
      <c r="I159" s="11" t="s">
        <v>42</v>
      </c>
      <c r="J159" s="11" t="s">
        <v>42</v>
      </c>
      <c r="K159" s="11">
        <v>0</v>
      </c>
      <c r="L159" s="11">
        <v>4000</v>
      </c>
      <c r="M159" s="9" t="s">
        <v>903</v>
      </c>
    </row>
    <row r="160" spans="1:13" ht="20.100000000000001" customHeight="1" x14ac:dyDescent="0.2">
      <c r="A160" s="9">
        <f t="shared" si="6"/>
        <v>157</v>
      </c>
      <c r="B160" s="9">
        <v>1156</v>
      </c>
      <c r="C160" s="9">
        <v>1060137807</v>
      </c>
      <c r="D160" s="9" t="s">
        <v>3519</v>
      </c>
      <c r="E160" s="9" t="s">
        <v>1029</v>
      </c>
      <c r="F160" s="9" t="s">
        <v>45</v>
      </c>
      <c r="G160" s="11">
        <v>4000</v>
      </c>
      <c r="H160" s="11">
        <v>0</v>
      </c>
      <c r="I160" s="11" t="s">
        <v>42</v>
      </c>
      <c r="J160" s="11" t="s">
        <v>42</v>
      </c>
      <c r="K160" s="11">
        <v>0</v>
      </c>
      <c r="L160" s="11">
        <v>4000</v>
      </c>
      <c r="M160" s="9" t="s">
        <v>65</v>
      </c>
    </row>
    <row r="161" spans="1:13" ht="20.100000000000001" customHeight="1" x14ac:dyDescent="0.2">
      <c r="A161" s="9">
        <f t="shared" si="6"/>
        <v>158</v>
      </c>
      <c r="B161" s="9">
        <v>1157</v>
      </c>
      <c r="C161" s="9">
        <v>1093007274</v>
      </c>
      <c r="D161" s="9" t="s">
        <v>3519</v>
      </c>
      <c r="E161" s="9" t="s">
        <v>1035</v>
      </c>
      <c r="F161" s="9" t="s">
        <v>722</v>
      </c>
      <c r="G161" s="11">
        <v>4000</v>
      </c>
      <c r="H161" s="11">
        <v>0</v>
      </c>
      <c r="I161" s="11" t="s">
        <v>42</v>
      </c>
      <c r="J161" s="11" t="s">
        <v>42</v>
      </c>
      <c r="K161" s="11">
        <v>300</v>
      </c>
      <c r="L161" s="11">
        <v>4300</v>
      </c>
      <c r="M161" s="9" t="s">
        <v>3506</v>
      </c>
    </row>
    <row r="162" spans="1:13" ht="20.100000000000001" customHeight="1" x14ac:dyDescent="0.2">
      <c r="A162" s="9">
        <f t="shared" si="6"/>
        <v>159</v>
      </c>
      <c r="B162" s="9">
        <v>1158</v>
      </c>
      <c r="C162" s="9">
        <v>2432559835</v>
      </c>
      <c r="D162" s="9" t="s">
        <v>3105</v>
      </c>
      <c r="E162" s="9" t="s">
        <v>1041</v>
      </c>
      <c r="F162" s="9" t="s">
        <v>1043</v>
      </c>
      <c r="G162" s="11">
        <v>1500</v>
      </c>
      <c r="H162" s="11">
        <v>0</v>
      </c>
      <c r="I162" s="11" t="s">
        <v>42</v>
      </c>
      <c r="J162" s="11" t="s">
        <v>42</v>
      </c>
      <c r="K162" s="11">
        <v>300</v>
      </c>
      <c r="L162" s="11">
        <v>1800</v>
      </c>
      <c r="M162" s="9" t="s">
        <v>247</v>
      </c>
    </row>
    <row r="163" spans="1:13" ht="20.100000000000001" customHeight="1" x14ac:dyDescent="0.2">
      <c r="A163" s="9" t="s">
        <v>2936</v>
      </c>
      <c r="B163" s="9">
        <v>1159</v>
      </c>
      <c r="C163" s="9">
        <v>2499352421</v>
      </c>
      <c r="D163" s="9" t="s">
        <v>3105</v>
      </c>
      <c r="E163" s="9" t="s">
        <v>2937</v>
      </c>
      <c r="F163" s="9" t="s">
        <v>958</v>
      </c>
      <c r="G163" s="11">
        <v>1000</v>
      </c>
      <c r="H163" s="11">
        <v>0</v>
      </c>
      <c r="I163" s="11" t="s">
        <v>42</v>
      </c>
      <c r="J163" s="11" t="s">
        <v>42</v>
      </c>
      <c r="K163" s="11">
        <v>0</v>
      </c>
      <c r="L163" s="11">
        <v>1000</v>
      </c>
      <c r="M163" s="9" t="s">
        <v>788</v>
      </c>
    </row>
    <row r="164" spans="1:13" ht="20.100000000000001" customHeight="1" x14ac:dyDescent="0.2">
      <c r="A164" s="9" t="s">
        <v>2942</v>
      </c>
      <c r="B164" s="9">
        <v>1160</v>
      </c>
      <c r="C164" s="9">
        <v>1117342699</v>
      </c>
      <c r="D164" s="9"/>
      <c r="E164" s="9" t="s">
        <v>2943</v>
      </c>
      <c r="F164" s="9" t="s">
        <v>306</v>
      </c>
      <c r="G164" s="11">
        <v>4000</v>
      </c>
      <c r="H164" s="11">
        <v>0</v>
      </c>
      <c r="I164" s="11" t="s">
        <v>42</v>
      </c>
      <c r="J164" s="11" t="s">
        <v>42</v>
      </c>
      <c r="K164" s="11">
        <v>0</v>
      </c>
      <c r="L164" s="11">
        <v>4000</v>
      </c>
      <c r="M164" s="9" t="s">
        <v>3506</v>
      </c>
    </row>
    <row r="165" spans="1:13" ht="20.100000000000001" customHeight="1" x14ac:dyDescent="0.2">
      <c r="A165" s="9" t="s">
        <v>2948</v>
      </c>
      <c r="B165" s="9">
        <v>1161</v>
      </c>
      <c r="C165" s="9">
        <v>1115029629</v>
      </c>
      <c r="D165" s="9" t="s">
        <v>3519</v>
      </c>
      <c r="E165" s="9" t="s">
        <v>2949</v>
      </c>
      <c r="F165" s="9" t="s">
        <v>408</v>
      </c>
      <c r="G165" s="11">
        <v>4000</v>
      </c>
      <c r="H165" s="11">
        <v>0</v>
      </c>
      <c r="I165" s="11" t="s">
        <v>42</v>
      </c>
      <c r="J165" s="11" t="s">
        <v>42</v>
      </c>
      <c r="K165" s="11">
        <v>0</v>
      </c>
      <c r="L165" s="11">
        <v>4000</v>
      </c>
      <c r="M165" s="9" t="s">
        <v>65</v>
      </c>
    </row>
    <row r="166" spans="1:13" ht="20.100000000000001" customHeight="1" x14ac:dyDescent="0.2">
      <c r="A166" s="9">
        <f>ROW()-3</f>
        <v>163</v>
      </c>
      <c r="B166" s="9">
        <v>1162</v>
      </c>
      <c r="C166" s="9">
        <v>1109349900</v>
      </c>
      <c r="D166" s="9" t="s">
        <v>3519</v>
      </c>
      <c r="E166" s="9" t="s">
        <v>1047</v>
      </c>
      <c r="F166" s="9" t="s">
        <v>45</v>
      </c>
      <c r="G166" s="11">
        <v>4000</v>
      </c>
      <c r="H166" s="11">
        <v>0</v>
      </c>
      <c r="I166" s="11" t="s">
        <v>42</v>
      </c>
      <c r="J166" s="11" t="s">
        <v>42</v>
      </c>
      <c r="K166" s="11">
        <v>0</v>
      </c>
      <c r="L166" s="11">
        <v>4000</v>
      </c>
      <c r="M166" s="9" t="s">
        <v>903</v>
      </c>
    </row>
    <row r="167" spans="1:13" ht="20.100000000000001" customHeight="1" x14ac:dyDescent="0.2">
      <c r="A167" s="9">
        <f>ROW()-3</f>
        <v>164</v>
      </c>
      <c r="B167" s="9">
        <v>1163</v>
      </c>
      <c r="C167" s="9">
        <v>1048011967</v>
      </c>
      <c r="D167" s="9" t="s">
        <v>3519</v>
      </c>
      <c r="E167" s="9" t="s">
        <v>1053</v>
      </c>
      <c r="F167" s="9" t="s">
        <v>45</v>
      </c>
      <c r="G167" s="11">
        <v>4000</v>
      </c>
      <c r="H167" s="11">
        <v>0</v>
      </c>
      <c r="I167" s="11" t="s">
        <v>42</v>
      </c>
      <c r="J167" s="11" t="s">
        <v>42</v>
      </c>
      <c r="K167" s="11">
        <v>0</v>
      </c>
      <c r="L167" s="11">
        <v>4000</v>
      </c>
      <c r="M167" s="9" t="s">
        <v>65</v>
      </c>
    </row>
    <row r="168" spans="1:13" ht="20.100000000000001" customHeight="1" x14ac:dyDescent="0.2">
      <c r="A168" s="9" t="s">
        <v>2954</v>
      </c>
      <c r="B168" s="9">
        <v>1164</v>
      </c>
      <c r="C168" s="9">
        <v>1107266452</v>
      </c>
      <c r="D168" s="9" t="s">
        <v>3519</v>
      </c>
      <c r="E168" s="9" t="s">
        <v>2955</v>
      </c>
      <c r="F168" s="9" t="s">
        <v>744</v>
      </c>
      <c r="G168" s="11">
        <v>4000</v>
      </c>
      <c r="H168" s="11">
        <v>0</v>
      </c>
      <c r="I168" s="11" t="s">
        <v>42</v>
      </c>
      <c r="J168" s="11" t="s">
        <v>42</v>
      </c>
      <c r="K168" s="11">
        <v>0</v>
      </c>
      <c r="L168" s="11">
        <v>4000</v>
      </c>
      <c r="M168" s="9" t="s">
        <v>3506</v>
      </c>
    </row>
    <row r="169" spans="1:13" ht="20.100000000000001" customHeight="1" x14ac:dyDescent="0.2">
      <c r="A169" s="9">
        <f t="shared" ref="A169:A177" si="7">ROW()-3</f>
        <v>166</v>
      </c>
      <c r="B169" s="9">
        <v>1165</v>
      </c>
      <c r="C169" s="9">
        <v>1123245985</v>
      </c>
      <c r="D169" s="9" t="s">
        <v>3519</v>
      </c>
      <c r="E169" s="9" t="s">
        <v>1059</v>
      </c>
      <c r="F169" s="9" t="s">
        <v>203</v>
      </c>
      <c r="G169" s="11">
        <v>4000</v>
      </c>
      <c r="H169" s="11">
        <v>0</v>
      </c>
      <c r="I169" s="11">
        <v>0</v>
      </c>
      <c r="J169" s="11">
        <v>0</v>
      </c>
      <c r="K169" s="11">
        <v>300</v>
      </c>
      <c r="L169" s="11">
        <v>4300</v>
      </c>
      <c r="M169" s="9" t="s">
        <v>65</v>
      </c>
    </row>
    <row r="170" spans="1:13" ht="20.100000000000001" customHeight="1" x14ac:dyDescent="0.2">
      <c r="A170" s="9">
        <f t="shared" si="7"/>
        <v>167</v>
      </c>
      <c r="B170" s="9">
        <v>1166</v>
      </c>
      <c r="C170" s="9">
        <v>2515596159</v>
      </c>
      <c r="D170" s="9" t="s">
        <v>3519</v>
      </c>
      <c r="E170" s="9" t="s">
        <v>1065</v>
      </c>
      <c r="F170" s="9" t="s">
        <v>59</v>
      </c>
      <c r="G170" s="11">
        <v>1600</v>
      </c>
      <c r="H170" s="11">
        <v>0</v>
      </c>
      <c r="I170" s="11" t="s">
        <v>42</v>
      </c>
      <c r="J170" s="11" t="s">
        <v>42</v>
      </c>
      <c r="K170" s="11">
        <v>200</v>
      </c>
      <c r="L170" s="11">
        <v>1800</v>
      </c>
      <c r="M170" s="9" t="s">
        <v>65</v>
      </c>
    </row>
    <row r="171" spans="1:13" ht="20.100000000000001" customHeight="1" x14ac:dyDescent="0.2">
      <c r="A171" s="9">
        <f t="shared" si="7"/>
        <v>168</v>
      </c>
      <c r="B171" s="9">
        <v>1167</v>
      </c>
      <c r="C171" s="9">
        <v>2516201304</v>
      </c>
      <c r="D171" s="9" t="s">
        <v>3519</v>
      </c>
      <c r="E171" s="9" t="s">
        <v>1073</v>
      </c>
      <c r="F171" s="9" t="s">
        <v>722</v>
      </c>
      <c r="G171" s="11">
        <v>2000</v>
      </c>
      <c r="H171" s="11">
        <v>0</v>
      </c>
      <c r="I171" s="11" t="s">
        <v>42</v>
      </c>
      <c r="J171" s="11" t="s">
        <v>42</v>
      </c>
      <c r="K171" s="11">
        <v>500</v>
      </c>
      <c r="L171" s="11">
        <v>2500</v>
      </c>
      <c r="M171" s="9" t="s">
        <v>3506</v>
      </c>
    </row>
    <row r="172" spans="1:13" ht="20.100000000000001" customHeight="1" x14ac:dyDescent="0.2">
      <c r="A172" s="9">
        <f t="shared" si="7"/>
        <v>169</v>
      </c>
      <c r="B172" s="9">
        <v>1168</v>
      </c>
      <c r="C172" s="9">
        <v>2517041469</v>
      </c>
      <c r="D172" s="9" t="s">
        <v>3519</v>
      </c>
      <c r="E172" s="9" t="s">
        <v>1080</v>
      </c>
      <c r="F172" s="9" t="s">
        <v>154</v>
      </c>
      <c r="G172" s="11">
        <v>1200</v>
      </c>
      <c r="H172" s="11">
        <v>0</v>
      </c>
      <c r="I172" s="11" t="s">
        <v>42</v>
      </c>
      <c r="J172" s="11" t="s">
        <v>42</v>
      </c>
      <c r="K172" s="11">
        <v>600</v>
      </c>
      <c r="L172" s="11">
        <v>1800</v>
      </c>
      <c r="M172" s="9" t="s">
        <v>103</v>
      </c>
    </row>
    <row r="173" spans="1:13" ht="20.100000000000001" customHeight="1" x14ac:dyDescent="0.2">
      <c r="A173" s="9">
        <f t="shared" si="7"/>
        <v>170</v>
      </c>
      <c r="B173" s="9">
        <v>1169</v>
      </c>
      <c r="C173" s="9">
        <v>2515528798</v>
      </c>
      <c r="D173" s="9" t="s">
        <v>3519</v>
      </c>
      <c r="E173" s="9" t="s">
        <v>1087</v>
      </c>
      <c r="F173" s="9" t="s">
        <v>154</v>
      </c>
      <c r="G173" s="11">
        <v>1200</v>
      </c>
      <c r="H173" s="11">
        <v>0</v>
      </c>
      <c r="I173" s="11" t="s">
        <v>42</v>
      </c>
      <c r="J173" s="11" t="s">
        <v>42</v>
      </c>
      <c r="K173" s="11">
        <v>700</v>
      </c>
      <c r="L173" s="11">
        <v>1900</v>
      </c>
      <c r="M173" s="9" t="s">
        <v>103</v>
      </c>
    </row>
    <row r="174" spans="1:13" ht="20.100000000000001" customHeight="1" x14ac:dyDescent="0.2">
      <c r="A174" s="9">
        <f t="shared" si="7"/>
        <v>171</v>
      </c>
      <c r="B174" s="9">
        <v>1170</v>
      </c>
      <c r="C174" s="9">
        <v>2499273106</v>
      </c>
      <c r="D174" s="9" t="s">
        <v>3519</v>
      </c>
      <c r="E174" s="9" t="s">
        <v>1093</v>
      </c>
      <c r="F174" s="9" t="s">
        <v>154</v>
      </c>
      <c r="G174" s="11">
        <v>1200</v>
      </c>
      <c r="H174" s="11">
        <v>0</v>
      </c>
      <c r="I174" s="11" t="s">
        <v>42</v>
      </c>
      <c r="J174" s="11" t="s">
        <v>42</v>
      </c>
      <c r="K174" s="11">
        <v>600</v>
      </c>
      <c r="L174" s="11">
        <v>1800</v>
      </c>
      <c r="M174" s="9" t="s">
        <v>103</v>
      </c>
    </row>
    <row r="175" spans="1:13" ht="20.100000000000001" customHeight="1" x14ac:dyDescent="0.2">
      <c r="A175" s="9">
        <f t="shared" si="7"/>
        <v>172</v>
      </c>
      <c r="B175" s="9">
        <v>1171</v>
      </c>
      <c r="C175" s="9">
        <v>2524334816</v>
      </c>
      <c r="D175" s="9" t="s">
        <v>3519</v>
      </c>
      <c r="E175" s="9" t="s">
        <v>1097</v>
      </c>
      <c r="F175" s="9" t="s">
        <v>431</v>
      </c>
      <c r="G175" s="11">
        <v>1200</v>
      </c>
      <c r="H175" s="11">
        <v>0</v>
      </c>
      <c r="I175" s="11" t="s">
        <v>42</v>
      </c>
      <c r="J175" s="11" t="s">
        <v>42</v>
      </c>
      <c r="K175" s="11">
        <v>600</v>
      </c>
      <c r="L175" s="11">
        <v>1800</v>
      </c>
      <c r="M175" s="9" t="s">
        <v>103</v>
      </c>
    </row>
    <row r="176" spans="1:13" ht="20.100000000000001" customHeight="1" x14ac:dyDescent="0.2">
      <c r="A176" s="9">
        <f t="shared" si="7"/>
        <v>173</v>
      </c>
      <c r="B176" s="9">
        <v>1172</v>
      </c>
      <c r="C176" s="9">
        <v>1118210655</v>
      </c>
      <c r="D176" s="9" t="s">
        <v>3519</v>
      </c>
      <c r="E176" s="9" t="s">
        <v>1101</v>
      </c>
      <c r="F176" s="9" t="s">
        <v>203</v>
      </c>
      <c r="G176" s="11">
        <v>4000</v>
      </c>
      <c r="H176" s="11">
        <v>0</v>
      </c>
      <c r="I176" s="11">
        <v>0</v>
      </c>
      <c r="J176" s="11">
        <v>0</v>
      </c>
      <c r="K176" s="11">
        <v>300</v>
      </c>
      <c r="L176" s="11">
        <v>4300</v>
      </c>
      <c r="M176" s="9" t="s">
        <v>65</v>
      </c>
    </row>
    <row r="177" spans="1:13" ht="20.100000000000001" customHeight="1" x14ac:dyDescent="0.2">
      <c r="A177" s="9">
        <f t="shared" si="7"/>
        <v>174</v>
      </c>
      <c r="B177" s="9">
        <v>1173</v>
      </c>
      <c r="C177" s="9">
        <v>2516038847</v>
      </c>
      <c r="D177" s="9" t="s">
        <v>3519</v>
      </c>
      <c r="E177" s="9" t="s">
        <v>1107</v>
      </c>
      <c r="F177" s="9" t="s">
        <v>142</v>
      </c>
      <c r="G177" s="11">
        <v>2000</v>
      </c>
      <c r="H177" s="11">
        <v>0</v>
      </c>
      <c r="I177" s="11" t="s">
        <v>42</v>
      </c>
      <c r="J177" s="11" t="s">
        <v>42</v>
      </c>
      <c r="K177" s="11">
        <v>700</v>
      </c>
      <c r="L177" s="11">
        <v>2700</v>
      </c>
      <c r="M177" s="9" t="s">
        <v>103</v>
      </c>
    </row>
    <row r="178" spans="1:13" ht="20.100000000000001" customHeight="1" x14ac:dyDescent="0.2">
      <c r="A178" s="9" t="s">
        <v>2959</v>
      </c>
      <c r="B178" s="9">
        <v>1174</v>
      </c>
      <c r="C178" s="9">
        <v>1106435751</v>
      </c>
      <c r="D178" s="9"/>
      <c r="E178" s="9" t="s">
        <v>2960</v>
      </c>
      <c r="F178" s="9" t="s">
        <v>166</v>
      </c>
      <c r="G178" s="11">
        <v>4000</v>
      </c>
      <c r="H178" s="11">
        <v>0</v>
      </c>
      <c r="I178" s="11" t="s">
        <v>42</v>
      </c>
      <c r="J178" s="11" t="s">
        <v>42</v>
      </c>
      <c r="K178" s="11">
        <v>0</v>
      </c>
      <c r="L178" s="11">
        <v>4000</v>
      </c>
      <c r="M178" s="9" t="s">
        <v>65</v>
      </c>
    </row>
    <row r="179" spans="1:13" ht="20.100000000000001" customHeight="1" x14ac:dyDescent="0.2">
      <c r="A179" s="9" t="s">
        <v>2963</v>
      </c>
      <c r="B179" s="9">
        <v>1175</v>
      </c>
      <c r="C179" s="9">
        <v>1114305970</v>
      </c>
      <c r="D179" s="9"/>
      <c r="E179" s="9" t="s">
        <v>2964</v>
      </c>
      <c r="F179" s="9" t="s">
        <v>475</v>
      </c>
      <c r="G179" s="11">
        <v>4000</v>
      </c>
      <c r="H179" s="11">
        <v>0</v>
      </c>
      <c r="I179" s="11" t="s">
        <v>42</v>
      </c>
      <c r="J179" s="11" t="s">
        <v>42</v>
      </c>
      <c r="K179" s="11">
        <v>0</v>
      </c>
      <c r="L179" s="11">
        <v>4000</v>
      </c>
      <c r="M179" s="9" t="s">
        <v>471</v>
      </c>
    </row>
    <row r="180" spans="1:13" ht="20.100000000000001" customHeight="1" x14ac:dyDescent="0.2">
      <c r="A180" s="9">
        <f>ROW()-3</f>
        <v>177</v>
      </c>
      <c r="B180" s="9">
        <v>1176</v>
      </c>
      <c r="C180" s="9">
        <v>2508671605</v>
      </c>
      <c r="D180" s="9" t="s">
        <v>3519</v>
      </c>
      <c r="E180" s="9" t="s">
        <v>1114</v>
      </c>
      <c r="F180" s="9" t="s">
        <v>166</v>
      </c>
      <c r="G180" s="11">
        <v>1200</v>
      </c>
      <c r="H180" s="11">
        <v>0</v>
      </c>
      <c r="I180" s="11">
        <v>0</v>
      </c>
      <c r="J180" s="11">
        <v>0</v>
      </c>
      <c r="K180" s="11">
        <v>700</v>
      </c>
      <c r="L180" s="11">
        <v>1900</v>
      </c>
      <c r="M180" s="9" t="s">
        <v>65</v>
      </c>
    </row>
    <row r="181" spans="1:13" ht="20.100000000000001" customHeight="1" x14ac:dyDescent="0.2">
      <c r="A181" s="9">
        <f>ROW()-3</f>
        <v>178</v>
      </c>
      <c r="B181" s="9">
        <v>1177</v>
      </c>
      <c r="C181" s="9">
        <v>2506547484</v>
      </c>
      <c r="D181" s="9" t="s">
        <v>3519</v>
      </c>
      <c r="E181" s="9" t="s">
        <v>1119</v>
      </c>
      <c r="F181" s="9" t="s">
        <v>431</v>
      </c>
      <c r="G181" s="11">
        <v>1200</v>
      </c>
      <c r="H181" s="11">
        <v>0</v>
      </c>
      <c r="I181" s="11" t="s">
        <v>42</v>
      </c>
      <c r="J181" s="11" t="s">
        <v>42</v>
      </c>
      <c r="K181" s="11">
        <v>600</v>
      </c>
      <c r="L181" s="11">
        <v>1800</v>
      </c>
      <c r="M181" s="9" t="s">
        <v>103</v>
      </c>
    </row>
    <row r="182" spans="1:13" ht="20.100000000000001" customHeight="1" x14ac:dyDescent="0.2">
      <c r="A182" s="9">
        <f>ROW()-3</f>
        <v>179</v>
      </c>
      <c r="B182" s="9">
        <v>1178</v>
      </c>
      <c r="C182" s="9">
        <v>2508510282</v>
      </c>
      <c r="D182" s="9" t="s">
        <v>3519</v>
      </c>
      <c r="E182" s="9" t="s">
        <v>1125</v>
      </c>
      <c r="F182" s="9" t="s">
        <v>66</v>
      </c>
      <c r="G182" s="11">
        <v>2000</v>
      </c>
      <c r="H182" s="11">
        <v>0</v>
      </c>
      <c r="I182" s="11" t="s">
        <v>42</v>
      </c>
      <c r="J182" s="11">
        <v>0</v>
      </c>
      <c r="K182" s="11">
        <v>1000</v>
      </c>
      <c r="L182" s="11">
        <v>3000</v>
      </c>
      <c r="M182" s="9" t="s">
        <v>65</v>
      </c>
    </row>
    <row r="183" spans="1:13" ht="20.100000000000001" customHeight="1" x14ac:dyDescent="0.2">
      <c r="A183" s="9" t="s">
        <v>2966</v>
      </c>
      <c r="B183" s="9">
        <v>1179</v>
      </c>
      <c r="C183" s="9">
        <v>1120032790</v>
      </c>
      <c r="D183" s="9"/>
      <c r="E183" s="9" t="s">
        <v>2967</v>
      </c>
      <c r="F183" s="9" t="s">
        <v>466</v>
      </c>
      <c r="G183" s="11">
        <v>4000</v>
      </c>
      <c r="H183" s="11">
        <v>0</v>
      </c>
      <c r="I183" s="11" t="s">
        <v>42</v>
      </c>
      <c r="J183" s="11" t="s">
        <v>42</v>
      </c>
      <c r="K183" s="11">
        <v>0</v>
      </c>
      <c r="L183" s="11">
        <v>4000</v>
      </c>
      <c r="M183" s="9" t="s">
        <v>471</v>
      </c>
    </row>
    <row r="184" spans="1:13" ht="20.100000000000001" customHeight="1" x14ac:dyDescent="0.2">
      <c r="A184" s="9" t="s">
        <v>2969</v>
      </c>
      <c r="B184" s="9">
        <v>1180</v>
      </c>
      <c r="C184" s="9">
        <v>1123833046</v>
      </c>
      <c r="D184" s="9"/>
      <c r="E184" s="9" t="s">
        <v>2970</v>
      </c>
      <c r="F184" s="9" t="s">
        <v>59</v>
      </c>
      <c r="G184" s="11">
        <v>4000</v>
      </c>
      <c r="H184" s="11">
        <v>0</v>
      </c>
      <c r="I184" s="11" t="s">
        <v>42</v>
      </c>
      <c r="J184" s="11" t="s">
        <v>42</v>
      </c>
      <c r="K184" s="11">
        <v>0</v>
      </c>
      <c r="L184" s="11">
        <v>4000</v>
      </c>
      <c r="M184" s="9" t="s">
        <v>65</v>
      </c>
    </row>
    <row r="185" spans="1:13" ht="20.100000000000001" customHeight="1" x14ac:dyDescent="0.2">
      <c r="A185" s="9">
        <f t="shared" ref="A185:A197" si="8">ROW()-3</f>
        <v>182</v>
      </c>
      <c r="B185" s="9">
        <v>1181</v>
      </c>
      <c r="C185" s="9">
        <v>2375402035</v>
      </c>
      <c r="D185" s="9" t="s">
        <v>3519</v>
      </c>
      <c r="E185" s="9" t="s">
        <v>1132</v>
      </c>
      <c r="F185" s="9" t="s">
        <v>178</v>
      </c>
      <c r="G185" s="11">
        <v>4000</v>
      </c>
      <c r="H185" s="11">
        <v>0</v>
      </c>
      <c r="I185" s="11" t="s">
        <v>42</v>
      </c>
      <c r="J185" s="11">
        <v>0</v>
      </c>
      <c r="K185" s="11">
        <v>3000</v>
      </c>
      <c r="L185" s="11">
        <v>7000</v>
      </c>
      <c r="M185" s="9" t="s">
        <v>567</v>
      </c>
    </row>
    <row r="186" spans="1:13" ht="20.100000000000001" customHeight="1" x14ac:dyDescent="0.2">
      <c r="A186" s="9">
        <f t="shared" si="8"/>
        <v>183</v>
      </c>
      <c r="B186" s="9">
        <v>1182</v>
      </c>
      <c r="C186" s="9">
        <v>2438036549</v>
      </c>
      <c r="D186" s="9" t="s">
        <v>3519</v>
      </c>
      <c r="E186" s="9" t="s">
        <v>1140</v>
      </c>
      <c r="F186" s="9" t="s">
        <v>203</v>
      </c>
      <c r="G186" s="11">
        <v>1200</v>
      </c>
      <c r="H186" s="11">
        <v>0</v>
      </c>
      <c r="I186" s="11">
        <v>0</v>
      </c>
      <c r="J186" s="11">
        <v>0</v>
      </c>
      <c r="K186" s="11">
        <v>1000</v>
      </c>
      <c r="L186" s="11">
        <v>2200</v>
      </c>
      <c r="M186" s="9" t="s">
        <v>65</v>
      </c>
    </row>
    <row r="187" spans="1:13" ht="20.100000000000001" customHeight="1" x14ac:dyDescent="0.2">
      <c r="A187" s="9">
        <f t="shared" si="8"/>
        <v>184</v>
      </c>
      <c r="B187" s="9">
        <v>1183</v>
      </c>
      <c r="C187" s="9">
        <v>2525764342</v>
      </c>
      <c r="D187" s="9" t="s">
        <v>3519</v>
      </c>
      <c r="E187" s="9" t="s">
        <v>1146</v>
      </c>
      <c r="F187" s="9" t="s">
        <v>154</v>
      </c>
      <c r="G187" s="11">
        <v>4000</v>
      </c>
      <c r="H187" s="11">
        <v>0</v>
      </c>
      <c r="I187" s="11" t="s">
        <v>42</v>
      </c>
      <c r="J187" s="11" t="s">
        <v>42</v>
      </c>
      <c r="K187" s="11">
        <v>1000</v>
      </c>
      <c r="L187" s="11">
        <v>5000</v>
      </c>
      <c r="M187" s="9" t="s">
        <v>103</v>
      </c>
    </row>
    <row r="188" spans="1:13" ht="20.100000000000001" customHeight="1" x14ac:dyDescent="0.2">
      <c r="A188" s="9">
        <f t="shared" si="8"/>
        <v>185</v>
      </c>
      <c r="B188" s="9">
        <v>1184</v>
      </c>
      <c r="C188" s="9">
        <v>2517808057</v>
      </c>
      <c r="D188" s="9" t="s">
        <v>3519</v>
      </c>
      <c r="E188" s="9" t="s">
        <v>1156</v>
      </c>
      <c r="F188" s="9" t="s">
        <v>178</v>
      </c>
      <c r="G188" s="11">
        <v>4000</v>
      </c>
      <c r="H188" s="11">
        <v>0</v>
      </c>
      <c r="I188" s="11" t="s">
        <v>42</v>
      </c>
      <c r="J188" s="11">
        <v>0</v>
      </c>
      <c r="K188" s="11">
        <v>2000</v>
      </c>
      <c r="L188" s="11">
        <v>6000</v>
      </c>
      <c r="M188" s="9" t="s">
        <v>567</v>
      </c>
    </row>
    <row r="189" spans="1:13" ht="20.100000000000001" customHeight="1" x14ac:dyDescent="0.2">
      <c r="A189" s="9">
        <f t="shared" si="8"/>
        <v>186</v>
      </c>
      <c r="B189" s="9">
        <v>1185</v>
      </c>
      <c r="C189" s="9">
        <v>2484780040</v>
      </c>
      <c r="D189" s="9" t="s">
        <v>3519</v>
      </c>
      <c r="E189" s="9" t="s">
        <v>1164</v>
      </c>
      <c r="F189" s="9" t="s">
        <v>178</v>
      </c>
      <c r="G189" s="11">
        <v>4000</v>
      </c>
      <c r="H189" s="11">
        <v>0</v>
      </c>
      <c r="I189" s="11" t="s">
        <v>42</v>
      </c>
      <c r="J189" s="11">
        <v>0</v>
      </c>
      <c r="K189" s="11">
        <v>4000</v>
      </c>
      <c r="L189" s="11">
        <v>8000</v>
      </c>
      <c r="M189" s="9" t="s">
        <v>567</v>
      </c>
    </row>
    <row r="190" spans="1:13" ht="20.100000000000001" customHeight="1" x14ac:dyDescent="0.2">
      <c r="A190" s="9">
        <f t="shared" si="8"/>
        <v>187</v>
      </c>
      <c r="B190" s="9">
        <v>1186</v>
      </c>
      <c r="C190" s="9">
        <v>2493363184</v>
      </c>
      <c r="D190" s="9" t="s">
        <v>3519</v>
      </c>
      <c r="E190" s="9" t="s">
        <v>1171</v>
      </c>
      <c r="F190" s="9" t="s">
        <v>431</v>
      </c>
      <c r="G190" s="11">
        <v>1200</v>
      </c>
      <c r="H190" s="11">
        <v>0</v>
      </c>
      <c r="I190" s="11" t="s">
        <v>42</v>
      </c>
      <c r="J190" s="11" t="s">
        <v>42</v>
      </c>
      <c r="K190" s="11">
        <v>800</v>
      </c>
      <c r="L190" s="11">
        <v>2000</v>
      </c>
      <c r="M190" s="9" t="s">
        <v>103</v>
      </c>
    </row>
    <row r="191" spans="1:13" ht="20.100000000000001" customHeight="1" x14ac:dyDescent="0.2">
      <c r="A191" s="9">
        <f t="shared" si="8"/>
        <v>188</v>
      </c>
      <c r="B191" s="9">
        <v>1187</v>
      </c>
      <c r="C191" s="9">
        <v>2516497266</v>
      </c>
      <c r="D191" s="9" t="s">
        <v>3519</v>
      </c>
      <c r="E191" s="9" t="s">
        <v>1175</v>
      </c>
      <c r="F191" s="9" t="s">
        <v>431</v>
      </c>
      <c r="G191" s="11">
        <v>1200</v>
      </c>
      <c r="H191" s="11">
        <v>0</v>
      </c>
      <c r="I191" s="11" t="s">
        <v>42</v>
      </c>
      <c r="J191" s="11" t="s">
        <v>42</v>
      </c>
      <c r="K191" s="11">
        <v>650</v>
      </c>
      <c r="L191" s="11">
        <v>1850</v>
      </c>
      <c r="M191" s="9" t="s">
        <v>103</v>
      </c>
    </row>
    <row r="192" spans="1:13" ht="20.100000000000001" customHeight="1" x14ac:dyDescent="0.2">
      <c r="A192" s="9">
        <f t="shared" si="8"/>
        <v>189</v>
      </c>
      <c r="B192" s="9">
        <v>1188</v>
      </c>
      <c r="C192" s="9">
        <v>2508788656</v>
      </c>
      <c r="D192" s="9" t="s">
        <v>3519</v>
      </c>
      <c r="E192" s="9" t="s">
        <v>1181</v>
      </c>
      <c r="F192" s="9" t="s">
        <v>466</v>
      </c>
      <c r="G192" s="11">
        <v>1200</v>
      </c>
      <c r="H192" s="11">
        <v>0</v>
      </c>
      <c r="I192" s="11" t="s">
        <v>42</v>
      </c>
      <c r="J192" s="11" t="s">
        <v>42</v>
      </c>
      <c r="K192" s="11">
        <v>500</v>
      </c>
      <c r="L192" s="11">
        <v>1700</v>
      </c>
      <c r="M192" s="9" t="s">
        <v>103</v>
      </c>
    </row>
    <row r="193" spans="1:13" ht="20.100000000000001" customHeight="1" x14ac:dyDescent="0.2">
      <c r="A193" s="9">
        <f t="shared" si="8"/>
        <v>190</v>
      </c>
      <c r="B193" s="9">
        <v>1189</v>
      </c>
      <c r="C193" s="9">
        <v>1105768467</v>
      </c>
      <c r="D193" s="9" t="s">
        <v>3105</v>
      </c>
      <c r="E193" s="9" t="s">
        <v>1187</v>
      </c>
      <c r="F193" s="9" t="s">
        <v>958</v>
      </c>
      <c r="G193" s="11">
        <v>2000</v>
      </c>
      <c r="H193" s="11">
        <v>0</v>
      </c>
      <c r="I193" s="11" t="s">
        <v>42</v>
      </c>
      <c r="J193" s="11" t="s">
        <v>42</v>
      </c>
      <c r="K193" s="11">
        <v>0</v>
      </c>
      <c r="L193" s="11">
        <v>2000</v>
      </c>
      <c r="M193" s="9" t="s">
        <v>788</v>
      </c>
    </row>
    <row r="194" spans="1:13" ht="20.100000000000001" customHeight="1" x14ac:dyDescent="0.2">
      <c r="A194" s="9">
        <f t="shared" si="8"/>
        <v>191</v>
      </c>
      <c r="B194" s="9">
        <v>1190</v>
      </c>
      <c r="C194" s="9">
        <v>2544512201</v>
      </c>
      <c r="D194" s="9" t="s">
        <v>3519</v>
      </c>
      <c r="E194" s="9" t="s">
        <v>1192</v>
      </c>
      <c r="F194" s="9" t="s">
        <v>66</v>
      </c>
      <c r="G194" s="11">
        <v>1200</v>
      </c>
      <c r="H194" s="11">
        <v>0</v>
      </c>
      <c r="I194" s="11" t="s">
        <v>42</v>
      </c>
      <c r="J194" s="11">
        <v>0</v>
      </c>
      <c r="K194" s="11">
        <v>1800</v>
      </c>
      <c r="L194" s="11">
        <v>3000</v>
      </c>
      <c r="M194" s="9" t="s">
        <v>103</v>
      </c>
    </row>
    <row r="195" spans="1:13" ht="20.100000000000001" customHeight="1" x14ac:dyDescent="0.2">
      <c r="A195" s="9">
        <f t="shared" si="8"/>
        <v>192</v>
      </c>
      <c r="B195" s="9">
        <v>1191</v>
      </c>
      <c r="C195" s="9">
        <v>2487151835</v>
      </c>
      <c r="D195" s="9" t="s">
        <v>3105</v>
      </c>
      <c r="E195" s="9" t="s">
        <v>1199</v>
      </c>
      <c r="F195" s="9" t="s">
        <v>958</v>
      </c>
      <c r="G195" s="11">
        <v>1500</v>
      </c>
      <c r="H195" s="11">
        <v>0</v>
      </c>
      <c r="I195" s="11" t="s">
        <v>42</v>
      </c>
      <c r="J195" s="11" t="s">
        <v>42</v>
      </c>
      <c r="K195" s="11">
        <v>500</v>
      </c>
      <c r="L195" s="11">
        <v>2000</v>
      </c>
      <c r="M195" s="9" t="s">
        <v>37</v>
      </c>
    </row>
    <row r="196" spans="1:13" ht="20.100000000000001" customHeight="1" x14ac:dyDescent="0.2">
      <c r="A196" s="9">
        <f t="shared" si="8"/>
        <v>193</v>
      </c>
      <c r="B196" s="9">
        <v>1192</v>
      </c>
      <c r="C196" s="9">
        <v>2502373844</v>
      </c>
      <c r="D196" s="9" t="s">
        <v>3105</v>
      </c>
      <c r="E196" s="9" t="s">
        <v>2976</v>
      </c>
      <c r="F196" s="9" t="s">
        <v>1497</v>
      </c>
      <c r="G196" s="11">
        <v>0</v>
      </c>
      <c r="H196" s="11" t="s">
        <v>42</v>
      </c>
      <c r="I196" s="11" t="s">
        <v>42</v>
      </c>
      <c r="J196" s="11" t="s">
        <v>42</v>
      </c>
      <c r="K196" s="11" t="s">
        <v>42</v>
      </c>
      <c r="L196" s="11">
        <v>0</v>
      </c>
      <c r="M196" s="9" t="s">
        <v>37</v>
      </c>
    </row>
    <row r="197" spans="1:13" ht="20.100000000000001" customHeight="1" x14ac:dyDescent="0.2">
      <c r="A197" s="9">
        <f t="shared" si="8"/>
        <v>194</v>
      </c>
      <c r="B197" s="9">
        <v>1193</v>
      </c>
      <c r="C197" s="9">
        <v>2524767692</v>
      </c>
      <c r="D197" s="9" t="s">
        <v>3519</v>
      </c>
      <c r="E197" s="9" t="s">
        <v>1205</v>
      </c>
      <c r="F197" s="9" t="s">
        <v>899</v>
      </c>
      <c r="G197" s="11">
        <v>1200</v>
      </c>
      <c r="H197" s="11">
        <v>0</v>
      </c>
      <c r="I197" s="11" t="s">
        <v>42</v>
      </c>
      <c r="J197" s="11" t="s">
        <v>42</v>
      </c>
      <c r="K197" s="11">
        <v>1500</v>
      </c>
      <c r="L197" s="11">
        <v>2700</v>
      </c>
      <c r="M197" s="9" t="s">
        <v>903</v>
      </c>
    </row>
    <row r="198" spans="1:13" ht="20.100000000000001" customHeight="1" x14ac:dyDescent="0.2">
      <c r="A198" s="9" t="s">
        <v>2980</v>
      </c>
      <c r="B198" s="9">
        <v>1194</v>
      </c>
      <c r="C198" s="9">
        <v>1109408854</v>
      </c>
      <c r="D198" s="9"/>
      <c r="E198" s="9" t="s">
        <v>2981</v>
      </c>
      <c r="F198" s="9" t="s">
        <v>431</v>
      </c>
      <c r="G198" s="11">
        <v>4000</v>
      </c>
      <c r="H198" s="11">
        <v>0</v>
      </c>
      <c r="I198" s="11" t="s">
        <v>42</v>
      </c>
      <c r="J198" s="11" t="s">
        <v>42</v>
      </c>
      <c r="K198" s="11">
        <v>0</v>
      </c>
      <c r="L198" s="11">
        <v>4000</v>
      </c>
      <c r="M198" s="9" t="s">
        <v>103</v>
      </c>
    </row>
    <row r="199" spans="1:13" ht="20.100000000000001" customHeight="1" x14ac:dyDescent="0.2">
      <c r="A199" s="9">
        <f>ROW()-3</f>
        <v>196</v>
      </c>
      <c r="B199" s="9">
        <v>1195</v>
      </c>
      <c r="C199" s="9">
        <v>1115522581</v>
      </c>
      <c r="D199" s="9" t="s">
        <v>3519</v>
      </c>
      <c r="E199" s="9" t="s">
        <v>1211</v>
      </c>
      <c r="F199" s="9" t="s">
        <v>431</v>
      </c>
      <c r="G199" s="11">
        <v>4000</v>
      </c>
      <c r="H199" s="11">
        <v>0</v>
      </c>
      <c r="I199" s="11" t="s">
        <v>42</v>
      </c>
      <c r="J199" s="11" t="s">
        <v>42</v>
      </c>
      <c r="K199" s="11">
        <v>500</v>
      </c>
      <c r="L199" s="11">
        <v>4500</v>
      </c>
      <c r="M199" s="9" t="s">
        <v>103</v>
      </c>
    </row>
    <row r="200" spans="1:13" ht="20.100000000000001" customHeight="1" x14ac:dyDescent="0.2">
      <c r="A200" s="9" t="s">
        <v>2986</v>
      </c>
      <c r="B200" s="9">
        <v>1196</v>
      </c>
      <c r="C200" s="9">
        <v>1108766666</v>
      </c>
      <c r="D200" s="9" t="s">
        <v>3519</v>
      </c>
      <c r="E200" s="9" t="s">
        <v>2987</v>
      </c>
      <c r="F200" s="9" t="s">
        <v>431</v>
      </c>
      <c r="G200" s="11">
        <v>4000</v>
      </c>
      <c r="H200" s="11">
        <v>0</v>
      </c>
      <c r="I200" s="11" t="s">
        <v>42</v>
      </c>
      <c r="J200" s="11" t="s">
        <v>42</v>
      </c>
      <c r="K200" s="11">
        <v>500</v>
      </c>
      <c r="L200" s="11">
        <v>4500</v>
      </c>
      <c r="M200" s="9" t="s">
        <v>103</v>
      </c>
    </row>
    <row r="201" spans="1:13" ht="20.100000000000001" customHeight="1" x14ac:dyDescent="0.2">
      <c r="A201" s="9">
        <f>ROW()-3</f>
        <v>198</v>
      </c>
      <c r="B201" s="9">
        <v>1197</v>
      </c>
      <c r="C201" s="9">
        <v>1118122355</v>
      </c>
      <c r="D201" s="9" t="s">
        <v>3519</v>
      </c>
      <c r="E201" s="9" t="s">
        <v>1219</v>
      </c>
      <c r="F201" s="9" t="s">
        <v>431</v>
      </c>
      <c r="G201" s="11">
        <v>4000</v>
      </c>
      <c r="H201" s="11">
        <v>0</v>
      </c>
      <c r="I201" s="11" t="s">
        <v>42</v>
      </c>
      <c r="J201" s="11" t="s">
        <v>42</v>
      </c>
      <c r="K201" s="11">
        <v>500</v>
      </c>
      <c r="L201" s="11">
        <v>4500</v>
      </c>
      <c r="M201" s="9" t="s">
        <v>103</v>
      </c>
    </row>
    <row r="202" spans="1:13" ht="20.100000000000001" customHeight="1" x14ac:dyDescent="0.2">
      <c r="A202" s="9" t="s">
        <v>2992</v>
      </c>
      <c r="B202" s="9">
        <v>1198</v>
      </c>
      <c r="C202" s="9">
        <v>1111126049</v>
      </c>
      <c r="D202" s="9"/>
      <c r="E202" s="9" t="s">
        <v>2993</v>
      </c>
      <c r="F202" s="9" t="s">
        <v>431</v>
      </c>
      <c r="G202" s="11">
        <v>4000</v>
      </c>
      <c r="H202" s="11">
        <v>0</v>
      </c>
      <c r="I202" s="11" t="s">
        <v>42</v>
      </c>
      <c r="J202" s="11" t="s">
        <v>42</v>
      </c>
      <c r="K202" s="11">
        <v>0</v>
      </c>
      <c r="L202" s="11">
        <v>4000</v>
      </c>
      <c r="M202" s="9" t="s">
        <v>103</v>
      </c>
    </row>
    <row r="203" spans="1:13" ht="20.100000000000001" customHeight="1" x14ac:dyDescent="0.2">
      <c r="A203" s="9" t="s">
        <v>2998</v>
      </c>
      <c r="B203" s="9">
        <v>1199</v>
      </c>
      <c r="C203" s="9">
        <v>1115727578</v>
      </c>
      <c r="D203" s="9"/>
      <c r="E203" s="9" t="s">
        <v>2999</v>
      </c>
      <c r="F203" s="9" t="s">
        <v>431</v>
      </c>
      <c r="G203" s="11">
        <v>3000</v>
      </c>
      <c r="H203" s="11">
        <v>0</v>
      </c>
      <c r="I203" s="11" t="s">
        <v>42</v>
      </c>
      <c r="J203" s="11" t="s">
        <v>42</v>
      </c>
      <c r="K203" s="11">
        <v>0</v>
      </c>
      <c r="L203" s="11">
        <v>3000</v>
      </c>
      <c r="M203" s="9"/>
    </row>
    <row r="204" spans="1:13" ht="20.100000000000001" customHeight="1" x14ac:dyDescent="0.2">
      <c r="A204" s="9" t="s">
        <v>3003</v>
      </c>
      <c r="B204" s="9">
        <v>1200</v>
      </c>
      <c r="C204" s="9">
        <v>1099291922</v>
      </c>
      <c r="D204" s="9"/>
      <c r="E204" s="9" t="s">
        <v>3004</v>
      </c>
      <c r="F204" s="9" t="s">
        <v>431</v>
      </c>
      <c r="G204" s="11">
        <v>4000</v>
      </c>
      <c r="H204" s="11">
        <v>0</v>
      </c>
      <c r="I204" s="11" t="s">
        <v>42</v>
      </c>
      <c r="J204" s="11" t="s">
        <v>42</v>
      </c>
      <c r="K204" s="11">
        <v>0</v>
      </c>
      <c r="L204" s="11">
        <v>4000</v>
      </c>
      <c r="M204" s="9" t="s">
        <v>103</v>
      </c>
    </row>
    <row r="205" spans="1:13" ht="20.100000000000001" customHeight="1" x14ac:dyDescent="0.2">
      <c r="A205" s="9">
        <f>ROW()-3</f>
        <v>202</v>
      </c>
      <c r="B205" s="9">
        <v>1201</v>
      </c>
      <c r="C205" s="9">
        <v>1124287820</v>
      </c>
      <c r="D205" s="9" t="s">
        <v>3519</v>
      </c>
      <c r="E205" s="9" t="s">
        <v>1225</v>
      </c>
      <c r="F205" s="9" t="s">
        <v>431</v>
      </c>
      <c r="G205" s="11">
        <v>4000</v>
      </c>
      <c r="H205" s="11">
        <v>0</v>
      </c>
      <c r="I205" s="11" t="s">
        <v>42</v>
      </c>
      <c r="J205" s="11" t="s">
        <v>42</v>
      </c>
      <c r="K205" s="11">
        <v>500</v>
      </c>
      <c r="L205" s="11">
        <v>4500</v>
      </c>
      <c r="M205" s="9" t="s">
        <v>103</v>
      </c>
    </row>
    <row r="206" spans="1:13" ht="20.100000000000001" customHeight="1" x14ac:dyDescent="0.2">
      <c r="A206" s="9" t="s">
        <v>3009</v>
      </c>
      <c r="B206" s="9">
        <v>1202</v>
      </c>
      <c r="C206" s="9">
        <v>1085265286</v>
      </c>
      <c r="D206" s="9" t="s">
        <v>3519</v>
      </c>
      <c r="E206" s="9" t="s">
        <v>3010</v>
      </c>
      <c r="F206" s="9" t="s">
        <v>408</v>
      </c>
      <c r="G206" s="11">
        <v>4000</v>
      </c>
      <c r="H206" s="11">
        <v>0</v>
      </c>
      <c r="I206" s="11" t="s">
        <v>42</v>
      </c>
      <c r="J206" s="11" t="s">
        <v>42</v>
      </c>
      <c r="K206" s="11">
        <v>0</v>
      </c>
      <c r="L206" s="11">
        <v>4000</v>
      </c>
      <c r="M206" s="9" t="s">
        <v>567</v>
      </c>
    </row>
    <row r="207" spans="1:13" ht="20.100000000000001" customHeight="1" x14ac:dyDescent="0.2">
      <c r="A207" s="9" t="s">
        <v>3015</v>
      </c>
      <c r="B207" s="9">
        <v>1203</v>
      </c>
      <c r="C207" s="9">
        <v>1034177665</v>
      </c>
      <c r="D207" s="9" t="s">
        <v>3519</v>
      </c>
      <c r="E207" s="9" t="s">
        <v>3016</v>
      </c>
      <c r="F207" s="9" t="s">
        <v>408</v>
      </c>
      <c r="G207" s="11">
        <v>4000</v>
      </c>
      <c r="H207" s="11">
        <v>0</v>
      </c>
      <c r="I207" s="11" t="s">
        <v>42</v>
      </c>
      <c r="J207" s="11" t="s">
        <v>42</v>
      </c>
      <c r="K207" s="11">
        <v>0</v>
      </c>
      <c r="L207" s="11">
        <v>4000</v>
      </c>
      <c r="M207" s="9" t="s">
        <v>567</v>
      </c>
    </row>
    <row r="208" spans="1:13" ht="20.100000000000001" customHeight="1" x14ac:dyDescent="0.2">
      <c r="A208" s="9" t="s">
        <v>1230</v>
      </c>
      <c r="B208" s="9">
        <v>1204</v>
      </c>
      <c r="C208" s="9">
        <v>2557757784</v>
      </c>
      <c r="D208" s="9" t="s">
        <v>3522</v>
      </c>
      <c r="E208" s="9" t="s">
        <v>1231</v>
      </c>
      <c r="F208" s="9" t="s">
        <v>899</v>
      </c>
      <c r="G208" s="11">
        <v>1200</v>
      </c>
      <c r="H208" s="11" t="s">
        <v>42</v>
      </c>
      <c r="I208" s="11" t="s">
        <v>42</v>
      </c>
      <c r="J208" s="11" t="s">
        <v>42</v>
      </c>
      <c r="K208" s="11">
        <v>1300</v>
      </c>
      <c r="L208" s="11">
        <v>2500</v>
      </c>
      <c r="M208" s="9" t="s">
        <v>903</v>
      </c>
    </row>
    <row r="209" spans="1:13" ht="20.100000000000001" customHeight="1" x14ac:dyDescent="0.2">
      <c r="A209" s="9" t="s">
        <v>3021</v>
      </c>
      <c r="B209" s="9">
        <v>1205</v>
      </c>
      <c r="C209" s="9">
        <v>2509929374</v>
      </c>
      <c r="D209" s="9" t="s">
        <v>3520</v>
      </c>
      <c r="E209" s="9" t="s">
        <v>3022</v>
      </c>
      <c r="F209" s="9" t="s">
        <v>899</v>
      </c>
      <c r="G209" s="11">
        <v>1200</v>
      </c>
      <c r="H209" s="11" t="s">
        <v>42</v>
      </c>
      <c r="I209" s="11" t="s">
        <v>42</v>
      </c>
      <c r="J209" s="11" t="s">
        <v>42</v>
      </c>
      <c r="K209" s="11">
        <v>800</v>
      </c>
      <c r="L209" s="11">
        <v>2000</v>
      </c>
      <c r="M209" s="9" t="s">
        <v>788</v>
      </c>
    </row>
    <row r="210" spans="1:13" ht="20.100000000000001" customHeight="1" x14ac:dyDescent="0.2">
      <c r="A210" s="9">
        <f>ROW()-3</f>
        <v>207</v>
      </c>
      <c r="B210" s="9">
        <v>1206</v>
      </c>
      <c r="C210" s="9">
        <v>2444716753</v>
      </c>
      <c r="D210" s="9" t="s">
        <v>3520</v>
      </c>
      <c r="E210" s="9" t="s">
        <v>1238</v>
      </c>
      <c r="F210" s="9" t="s">
        <v>899</v>
      </c>
      <c r="G210" s="11">
        <v>1200</v>
      </c>
      <c r="H210" s="11" t="s">
        <v>42</v>
      </c>
      <c r="I210" s="11" t="s">
        <v>42</v>
      </c>
      <c r="J210" s="11" t="s">
        <v>42</v>
      </c>
      <c r="K210" s="11">
        <v>800</v>
      </c>
      <c r="L210" s="11">
        <v>2000</v>
      </c>
      <c r="M210" s="9" t="s">
        <v>903</v>
      </c>
    </row>
    <row r="211" spans="1:13" ht="20.100000000000001" customHeight="1" x14ac:dyDescent="0.2">
      <c r="A211" s="9" t="s">
        <v>3025</v>
      </c>
      <c r="B211" s="9">
        <v>1207</v>
      </c>
      <c r="C211" s="9">
        <v>2364817763</v>
      </c>
      <c r="D211" s="9"/>
      <c r="E211" s="9" t="s">
        <v>3026</v>
      </c>
      <c r="F211" s="9" t="s">
        <v>899</v>
      </c>
      <c r="G211" s="11">
        <v>1200</v>
      </c>
      <c r="H211" s="11" t="s">
        <v>42</v>
      </c>
      <c r="I211" s="11" t="s">
        <v>42</v>
      </c>
      <c r="J211" s="11" t="s">
        <v>42</v>
      </c>
      <c r="K211" s="11">
        <v>1100</v>
      </c>
      <c r="L211" s="11">
        <v>2300</v>
      </c>
      <c r="M211" s="9"/>
    </row>
    <row r="212" spans="1:13" ht="20.100000000000001" customHeight="1" x14ac:dyDescent="0.2">
      <c r="A212" s="9">
        <f>ROW()-3</f>
        <v>209</v>
      </c>
      <c r="B212" s="9">
        <v>1208</v>
      </c>
      <c r="C212" s="9">
        <v>2508377971</v>
      </c>
      <c r="D212" s="9" t="s">
        <v>3519</v>
      </c>
      <c r="E212" s="9" t="s">
        <v>1244</v>
      </c>
      <c r="F212" s="9" t="s">
        <v>899</v>
      </c>
      <c r="G212" s="11">
        <v>1200</v>
      </c>
      <c r="H212" s="11" t="s">
        <v>42</v>
      </c>
      <c r="I212" s="11" t="s">
        <v>42</v>
      </c>
      <c r="J212" s="11" t="s">
        <v>42</v>
      </c>
      <c r="K212" s="11">
        <v>800</v>
      </c>
      <c r="L212" s="11">
        <v>2000</v>
      </c>
      <c r="M212" s="9" t="s">
        <v>903</v>
      </c>
    </row>
    <row r="213" spans="1:13" ht="20.100000000000001" customHeight="1" x14ac:dyDescent="0.2">
      <c r="A213" s="9" t="s">
        <v>3029</v>
      </c>
      <c r="B213" s="9">
        <v>1209</v>
      </c>
      <c r="C213" s="9">
        <v>2465122766</v>
      </c>
      <c r="D213" s="9"/>
      <c r="E213" s="9" t="s">
        <v>3030</v>
      </c>
      <c r="F213" s="9" t="s">
        <v>899</v>
      </c>
      <c r="G213" s="11">
        <v>1200</v>
      </c>
      <c r="H213" s="11" t="s">
        <v>42</v>
      </c>
      <c r="I213" s="11" t="s">
        <v>42</v>
      </c>
      <c r="J213" s="11" t="s">
        <v>42</v>
      </c>
      <c r="K213" s="11">
        <v>1600</v>
      </c>
      <c r="L213" s="11">
        <v>2800</v>
      </c>
      <c r="M213" s="9"/>
    </row>
    <row r="214" spans="1:13" ht="20.100000000000001" customHeight="1" x14ac:dyDescent="0.2">
      <c r="A214" s="9">
        <f>ROW()-3</f>
        <v>211</v>
      </c>
      <c r="B214" s="9">
        <v>1210</v>
      </c>
      <c r="C214" s="9">
        <v>2523643985</v>
      </c>
      <c r="D214" s="9" t="s">
        <v>3520</v>
      </c>
      <c r="E214" s="9" t="s">
        <v>1249</v>
      </c>
      <c r="F214" s="9" t="s">
        <v>899</v>
      </c>
      <c r="G214" s="11">
        <v>1200</v>
      </c>
      <c r="H214" s="11" t="s">
        <v>42</v>
      </c>
      <c r="I214" s="11" t="s">
        <v>42</v>
      </c>
      <c r="J214" s="11" t="s">
        <v>42</v>
      </c>
      <c r="K214" s="11">
        <v>1100</v>
      </c>
      <c r="L214" s="11">
        <v>2300</v>
      </c>
      <c r="M214" s="9" t="s">
        <v>788</v>
      </c>
    </row>
    <row r="215" spans="1:13" ht="20.100000000000001" customHeight="1" x14ac:dyDescent="0.2">
      <c r="A215" s="9" t="s">
        <v>3033</v>
      </c>
      <c r="B215" s="9">
        <v>1211</v>
      </c>
      <c r="C215" s="9">
        <v>2196506562</v>
      </c>
      <c r="D215" s="9" t="s">
        <v>3519</v>
      </c>
      <c r="E215" s="9" t="s">
        <v>3034</v>
      </c>
      <c r="F215" s="9" t="s">
        <v>899</v>
      </c>
      <c r="G215" s="11">
        <v>1200</v>
      </c>
      <c r="H215" s="11" t="s">
        <v>42</v>
      </c>
      <c r="I215" s="11" t="s">
        <v>42</v>
      </c>
      <c r="J215" s="11" t="s">
        <v>42</v>
      </c>
      <c r="K215" s="11">
        <v>3000</v>
      </c>
      <c r="L215" s="11">
        <v>4200</v>
      </c>
      <c r="M215" s="9"/>
    </row>
    <row r="216" spans="1:13" ht="20.100000000000001" customHeight="1" x14ac:dyDescent="0.2">
      <c r="A216" s="9">
        <f>ROW()-3</f>
        <v>213</v>
      </c>
      <c r="B216" s="9">
        <v>1212</v>
      </c>
      <c r="C216" s="9">
        <v>2306440112</v>
      </c>
      <c r="D216" s="9" t="s">
        <v>3105</v>
      </c>
      <c r="E216" s="9" t="s">
        <v>1254</v>
      </c>
      <c r="F216" s="9" t="s">
        <v>899</v>
      </c>
      <c r="G216" s="11">
        <v>1200</v>
      </c>
      <c r="H216" s="11" t="s">
        <v>42</v>
      </c>
      <c r="I216" s="11" t="s">
        <v>42</v>
      </c>
      <c r="J216" s="11" t="s">
        <v>42</v>
      </c>
      <c r="K216" s="11">
        <v>2100</v>
      </c>
      <c r="L216" s="11">
        <v>3300</v>
      </c>
      <c r="M216" s="9" t="s">
        <v>788</v>
      </c>
    </row>
    <row r="217" spans="1:13" ht="20.100000000000001" customHeight="1" x14ac:dyDescent="0.2">
      <c r="A217" s="9">
        <f>ROW()-3</f>
        <v>214</v>
      </c>
      <c r="B217" s="9">
        <v>1213</v>
      </c>
      <c r="C217" s="9">
        <v>2292393333</v>
      </c>
      <c r="D217" s="9" t="s">
        <v>3519</v>
      </c>
      <c r="E217" s="9" t="s">
        <v>1260</v>
      </c>
      <c r="F217" s="9" t="s">
        <v>899</v>
      </c>
      <c r="G217" s="11">
        <v>1200</v>
      </c>
      <c r="H217" s="11" t="s">
        <v>42</v>
      </c>
      <c r="I217" s="11" t="s">
        <v>42</v>
      </c>
      <c r="J217" s="11" t="s">
        <v>42</v>
      </c>
      <c r="K217" s="11">
        <v>4800</v>
      </c>
      <c r="L217" s="11">
        <v>6000</v>
      </c>
      <c r="M217" s="9" t="s">
        <v>1266</v>
      </c>
    </row>
    <row r="218" spans="1:13" ht="20.100000000000001" customHeight="1" x14ac:dyDescent="0.2">
      <c r="A218" s="9">
        <f>ROW()-3</f>
        <v>215</v>
      </c>
      <c r="B218" s="9">
        <v>1214</v>
      </c>
      <c r="C218" s="9">
        <v>2301534695</v>
      </c>
      <c r="D218" s="9" t="s">
        <v>3519</v>
      </c>
      <c r="E218" s="9" t="s">
        <v>1269</v>
      </c>
      <c r="F218" s="9" t="s">
        <v>899</v>
      </c>
      <c r="G218" s="11">
        <v>1200</v>
      </c>
      <c r="H218" s="11">
        <v>0</v>
      </c>
      <c r="I218" s="11" t="s">
        <v>42</v>
      </c>
      <c r="J218" s="11" t="s">
        <v>42</v>
      </c>
      <c r="K218" s="11">
        <v>1600</v>
      </c>
      <c r="L218" s="11">
        <v>2800</v>
      </c>
      <c r="M218" s="9" t="s">
        <v>903</v>
      </c>
    </row>
    <row r="219" spans="1:13" ht="20.100000000000001" customHeight="1" x14ac:dyDescent="0.2">
      <c r="A219" s="9">
        <f>ROW()-3</f>
        <v>216</v>
      </c>
      <c r="B219" s="9">
        <v>1215</v>
      </c>
      <c r="C219" s="9">
        <v>1002997326</v>
      </c>
      <c r="D219" s="9" t="s">
        <v>3519</v>
      </c>
      <c r="E219" s="9" t="s">
        <v>1275</v>
      </c>
      <c r="F219" s="9" t="s">
        <v>166</v>
      </c>
      <c r="G219" s="11">
        <v>4000</v>
      </c>
      <c r="H219" s="11">
        <v>0</v>
      </c>
      <c r="I219" s="11">
        <v>0</v>
      </c>
      <c r="J219" s="11">
        <v>0</v>
      </c>
      <c r="K219" s="11">
        <v>300</v>
      </c>
      <c r="L219" s="11">
        <v>4300</v>
      </c>
      <c r="M219" s="9" t="s">
        <v>65</v>
      </c>
    </row>
    <row r="220" spans="1:13" ht="20.100000000000001" customHeight="1" x14ac:dyDescent="0.2">
      <c r="A220" s="9" t="s">
        <v>3037</v>
      </c>
      <c r="B220" s="9">
        <v>1216</v>
      </c>
      <c r="C220" s="9">
        <v>1106097734</v>
      </c>
      <c r="D220" s="9" t="s">
        <v>3519</v>
      </c>
      <c r="E220" s="9" t="s">
        <v>3038</v>
      </c>
      <c r="F220" s="9" t="s">
        <v>306</v>
      </c>
      <c r="G220" s="11">
        <v>4000</v>
      </c>
      <c r="H220" s="11">
        <v>0</v>
      </c>
      <c r="I220" s="11" t="s">
        <v>42</v>
      </c>
      <c r="J220" s="11" t="s">
        <v>42</v>
      </c>
      <c r="K220" s="11">
        <v>0</v>
      </c>
      <c r="L220" s="11">
        <v>4000</v>
      </c>
      <c r="M220" s="9" t="s">
        <v>3506</v>
      </c>
    </row>
    <row r="221" spans="1:13" ht="20.100000000000001" customHeight="1" x14ac:dyDescent="0.2">
      <c r="A221" s="9" t="s">
        <v>3042</v>
      </c>
      <c r="B221" s="9">
        <v>1217</v>
      </c>
      <c r="C221" s="9">
        <v>1097861767</v>
      </c>
      <c r="D221" s="9"/>
      <c r="E221" s="9" t="s">
        <v>3043</v>
      </c>
      <c r="F221" s="9" t="s">
        <v>306</v>
      </c>
      <c r="G221" s="11">
        <v>4000</v>
      </c>
      <c r="H221" s="11">
        <v>0</v>
      </c>
      <c r="I221" s="11" t="s">
        <v>42</v>
      </c>
      <c r="J221" s="11" t="s">
        <v>42</v>
      </c>
      <c r="K221" s="11">
        <v>0</v>
      </c>
      <c r="L221" s="11">
        <v>4000</v>
      </c>
      <c r="M221" s="9" t="s">
        <v>3506</v>
      </c>
    </row>
    <row r="222" spans="1:13" ht="20.100000000000001" customHeight="1" x14ac:dyDescent="0.2">
      <c r="A222" s="9">
        <f t="shared" ref="A222:A227" si="9">ROW()-3</f>
        <v>219</v>
      </c>
      <c r="B222" s="9">
        <v>1218</v>
      </c>
      <c r="C222" s="9">
        <v>2523299143</v>
      </c>
      <c r="D222" s="9" t="s">
        <v>3519</v>
      </c>
      <c r="E222" s="9" t="s">
        <v>1281</v>
      </c>
      <c r="F222" s="9" t="s">
        <v>431</v>
      </c>
      <c r="G222" s="11">
        <v>1200</v>
      </c>
      <c r="H222" s="11">
        <v>0</v>
      </c>
      <c r="I222" s="11" t="s">
        <v>42</v>
      </c>
      <c r="J222" s="11" t="s">
        <v>42</v>
      </c>
      <c r="K222" s="11">
        <v>600</v>
      </c>
      <c r="L222" s="11">
        <v>1800</v>
      </c>
      <c r="M222" s="9" t="s">
        <v>103</v>
      </c>
    </row>
    <row r="223" spans="1:13" ht="20.100000000000001" customHeight="1" x14ac:dyDescent="0.2">
      <c r="A223" s="9">
        <f t="shared" si="9"/>
        <v>220</v>
      </c>
      <c r="B223" s="9">
        <v>1219</v>
      </c>
      <c r="C223" s="9">
        <v>2521145389</v>
      </c>
      <c r="D223" s="9" t="s">
        <v>3519</v>
      </c>
      <c r="E223" s="9" t="s">
        <v>1285</v>
      </c>
      <c r="F223" s="9" t="s">
        <v>431</v>
      </c>
      <c r="G223" s="11">
        <v>1200</v>
      </c>
      <c r="H223" s="11">
        <v>0</v>
      </c>
      <c r="I223" s="11" t="s">
        <v>42</v>
      </c>
      <c r="J223" s="11" t="s">
        <v>42</v>
      </c>
      <c r="K223" s="11">
        <v>650</v>
      </c>
      <c r="L223" s="11">
        <v>1850</v>
      </c>
      <c r="M223" s="9" t="s">
        <v>103</v>
      </c>
    </row>
    <row r="224" spans="1:13" ht="20.100000000000001" customHeight="1" x14ac:dyDescent="0.2">
      <c r="A224" s="9">
        <f t="shared" si="9"/>
        <v>221</v>
      </c>
      <c r="B224" s="9">
        <v>1220</v>
      </c>
      <c r="C224" s="9">
        <v>2516365471</v>
      </c>
      <c r="D224" s="9" t="s">
        <v>3519</v>
      </c>
      <c r="E224" s="9" t="s">
        <v>1292</v>
      </c>
      <c r="F224" s="9" t="s">
        <v>431</v>
      </c>
      <c r="G224" s="11">
        <v>1200</v>
      </c>
      <c r="H224" s="11">
        <v>0</v>
      </c>
      <c r="I224" s="11" t="s">
        <v>42</v>
      </c>
      <c r="J224" s="11" t="s">
        <v>42</v>
      </c>
      <c r="K224" s="11">
        <v>700</v>
      </c>
      <c r="L224" s="11">
        <v>1900</v>
      </c>
      <c r="M224" s="9" t="s">
        <v>103</v>
      </c>
    </row>
    <row r="225" spans="1:13" ht="20.100000000000001" customHeight="1" x14ac:dyDescent="0.2">
      <c r="A225" s="9">
        <f t="shared" si="9"/>
        <v>222</v>
      </c>
      <c r="B225" s="9">
        <v>1221</v>
      </c>
      <c r="C225" s="9">
        <v>2514860937</v>
      </c>
      <c r="D225" s="9" t="s">
        <v>3519</v>
      </c>
      <c r="E225" s="9" t="s">
        <v>1300</v>
      </c>
      <c r="F225" s="9" t="s">
        <v>431</v>
      </c>
      <c r="G225" s="11">
        <v>1200</v>
      </c>
      <c r="H225" s="11">
        <v>0</v>
      </c>
      <c r="I225" s="11" t="s">
        <v>42</v>
      </c>
      <c r="J225" s="11" t="s">
        <v>42</v>
      </c>
      <c r="K225" s="11">
        <v>800</v>
      </c>
      <c r="L225" s="11">
        <v>2000</v>
      </c>
      <c r="M225" s="9" t="s">
        <v>103</v>
      </c>
    </row>
    <row r="226" spans="1:13" ht="20.100000000000001" customHeight="1" x14ac:dyDescent="0.2">
      <c r="A226" s="9">
        <f t="shared" si="9"/>
        <v>223</v>
      </c>
      <c r="B226" s="9">
        <v>1222</v>
      </c>
      <c r="C226" s="9">
        <v>2522513858</v>
      </c>
      <c r="D226" s="9" t="s">
        <v>3519</v>
      </c>
      <c r="E226" s="9" t="s">
        <v>1307</v>
      </c>
      <c r="F226" s="9" t="s">
        <v>1309</v>
      </c>
      <c r="G226" s="11">
        <v>1200</v>
      </c>
      <c r="H226" s="11">
        <v>0</v>
      </c>
      <c r="I226" s="11" t="s">
        <v>42</v>
      </c>
      <c r="J226" s="11" t="s">
        <v>42</v>
      </c>
      <c r="K226" s="11">
        <v>700</v>
      </c>
      <c r="L226" s="11">
        <v>1900</v>
      </c>
      <c r="M226" s="9" t="s">
        <v>103</v>
      </c>
    </row>
    <row r="227" spans="1:13" ht="20.100000000000001" customHeight="1" x14ac:dyDescent="0.2">
      <c r="A227" s="9">
        <f t="shared" si="9"/>
        <v>224</v>
      </c>
      <c r="B227" s="9">
        <v>1223</v>
      </c>
      <c r="C227" s="9">
        <v>2479933422</v>
      </c>
      <c r="D227" s="9" t="s">
        <v>3105</v>
      </c>
      <c r="E227" s="9" t="s">
        <v>1312</v>
      </c>
      <c r="F227" s="9" t="s">
        <v>431</v>
      </c>
      <c r="G227" s="11">
        <v>1200</v>
      </c>
      <c r="H227" s="11">
        <v>0</v>
      </c>
      <c r="I227" s="11" t="s">
        <v>42</v>
      </c>
      <c r="J227" s="11" t="s">
        <v>42</v>
      </c>
      <c r="K227" s="11">
        <v>1300</v>
      </c>
      <c r="L227" s="11">
        <v>2500</v>
      </c>
      <c r="M227" s="9" t="s">
        <v>1317</v>
      </c>
    </row>
    <row r="228" spans="1:13" ht="20.100000000000001" customHeight="1" x14ac:dyDescent="0.2">
      <c r="A228" s="9" t="s">
        <v>3046</v>
      </c>
      <c r="B228" s="9">
        <v>1224</v>
      </c>
      <c r="C228" s="9"/>
      <c r="D228" s="9"/>
      <c r="E228" s="9" t="s">
        <v>3047</v>
      </c>
      <c r="F228" s="9" t="s">
        <v>306</v>
      </c>
      <c r="G228" s="11">
        <v>4000</v>
      </c>
      <c r="H228" s="11">
        <v>0</v>
      </c>
      <c r="I228" s="11" t="s">
        <v>42</v>
      </c>
      <c r="J228" s="11" t="s">
        <v>42</v>
      </c>
      <c r="K228" s="11">
        <v>0</v>
      </c>
      <c r="L228" s="11">
        <v>4000</v>
      </c>
      <c r="M228" s="9" t="s">
        <v>3506</v>
      </c>
    </row>
    <row r="229" spans="1:13" ht="20.100000000000001" customHeight="1" x14ac:dyDescent="0.2">
      <c r="A229" s="9">
        <f t="shared" ref="A229:A238" si="10">ROW()-3</f>
        <v>226</v>
      </c>
      <c r="B229" s="9">
        <v>1225</v>
      </c>
      <c r="C229" s="9">
        <v>1117758530</v>
      </c>
      <c r="D229" s="9" t="s">
        <v>3105</v>
      </c>
      <c r="E229" s="9" t="s">
        <v>1319</v>
      </c>
      <c r="F229" s="9" t="s">
        <v>178</v>
      </c>
      <c r="G229" s="11">
        <v>1200</v>
      </c>
      <c r="H229" s="11">
        <v>0</v>
      </c>
      <c r="I229" s="11" t="s">
        <v>42</v>
      </c>
      <c r="J229" s="11">
        <v>0</v>
      </c>
      <c r="K229" s="11">
        <v>800</v>
      </c>
      <c r="L229" s="11">
        <v>2000</v>
      </c>
      <c r="M229" s="9" t="s">
        <v>788</v>
      </c>
    </row>
    <row r="230" spans="1:13" ht="20.100000000000001" customHeight="1" x14ac:dyDescent="0.2">
      <c r="A230" s="9">
        <f t="shared" si="10"/>
        <v>227</v>
      </c>
      <c r="B230" s="9">
        <v>1226</v>
      </c>
      <c r="C230" s="9"/>
      <c r="D230" s="9" t="s">
        <v>3105</v>
      </c>
      <c r="E230" s="9" t="s">
        <v>1323</v>
      </c>
      <c r="F230" s="9" t="s">
        <v>306</v>
      </c>
      <c r="G230" s="11">
        <v>5000</v>
      </c>
      <c r="H230" s="11">
        <v>0</v>
      </c>
      <c r="I230" s="11" t="s">
        <v>42</v>
      </c>
      <c r="J230" s="11" t="s">
        <v>42</v>
      </c>
      <c r="K230" s="11">
        <v>0</v>
      </c>
      <c r="L230" s="11">
        <v>5000</v>
      </c>
      <c r="M230" s="9" t="s">
        <v>788</v>
      </c>
    </row>
    <row r="231" spans="1:13" ht="20.100000000000001" customHeight="1" x14ac:dyDescent="0.2">
      <c r="A231" s="9">
        <f t="shared" si="10"/>
        <v>228</v>
      </c>
      <c r="B231" s="9">
        <v>1227</v>
      </c>
      <c r="C231" s="9">
        <v>2522194626</v>
      </c>
      <c r="D231" s="9" t="s">
        <v>3519</v>
      </c>
      <c r="E231" s="9" t="s">
        <v>1326</v>
      </c>
      <c r="F231" s="9" t="s">
        <v>107</v>
      </c>
      <c r="G231" s="11">
        <v>1200</v>
      </c>
      <c r="H231" s="11">
        <v>0</v>
      </c>
      <c r="I231" s="11" t="s">
        <v>42</v>
      </c>
      <c r="J231" s="11" t="s">
        <v>42</v>
      </c>
      <c r="K231" s="11">
        <v>600</v>
      </c>
      <c r="L231" s="11">
        <v>1800</v>
      </c>
      <c r="M231" s="9" t="s">
        <v>103</v>
      </c>
    </row>
    <row r="232" spans="1:13" ht="20.100000000000001" customHeight="1" x14ac:dyDescent="0.2">
      <c r="A232" s="9">
        <f t="shared" si="10"/>
        <v>229</v>
      </c>
      <c r="B232" s="9">
        <v>1228</v>
      </c>
      <c r="C232" s="9">
        <v>2526581166</v>
      </c>
      <c r="D232" s="9" t="s">
        <v>3519</v>
      </c>
      <c r="E232" s="9" t="s">
        <v>1331</v>
      </c>
      <c r="F232" s="9" t="s">
        <v>1333</v>
      </c>
      <c r="G232" s="11">
        <v>1200</v>
      </c>
      <c r="H232" s="11">
        <v>0</v>
      </c>
      <c r="I232" s="11" t="s">
        <v>42</v>
      </c>
      <c r="J232" s="11" t="s">
        <v>42</v>
      </c>
      <c r="K232" s="11">
        <v>650</v>
      </c>
      <c r="L232" s="11">
        <v>1850</v>
      </c>
      <c r="M232" s="9" t="s">
        <v>103</v>
      </c>
    </row>
    <row r="233" spans="1:13" ht="20.100000000000001" customHeight="1" x14ac:dyDescent="0.2">
      <c r="A233" s="9">
        <f t="shared" si="10"/>
        <v>230</v>
      </c>
      <c r="B233" s="9">
        <v>1229</v>
      </c>
      <c r="C233" s="9">
        <v>2518494626</v>
      </c>
      <c r="D233" s="9" t="s">
        <v>3519</v>
      </c>
      <c r="E233" s="9" t="s">
        <v>1336</v>
      </c>
      <c r="F233" s="9" t="s">
        <v>431</v>
      </c>
      <c r="G233" s="11">
        <v>1200</v>
      </c>
      <c r="H233" s="11">
        <v>0</v>
      </c>
      <c r="I233" s="11" t="s">
        <v>42</v>
      </c>
      <c r="J233" s="11" t="s">
        <v>42</v>
      </c>
      <c r="K233" s="11">
        <v>650</v>
      </c>
      <c r="L233" s="11">
        <v>1850</v>
      </c>
      <c r="M233" s="9" t="s">
        <v>103</v>
      </c>
    </row>
    <row r="234" spans="1:13" ht="20.100000000000001" customHeight="1" x14ac:dyDescent="0.2">
      <c r="A234" s="9">
        <f t="shared" si="10"/>
        <v>231</v>
      </c>
      <c r="B234" s="9">
        <v>1230</v>
      </c>
      <c r="C234" s="9">
        <v>2525137192</v>
      </c>
      <c r="D234" s="9" t="s">
        <v>3519</v>
      </c>
      <c r="E234" s="9" t="s">
        <v>1340</v>
      </c>
      <c r="F234" s="9" t="s">
        <v>431</v>
      </c>
      <c r="G234" s="11">
        <v>1200</v>
      </c>
      <c r="H234" s="11">
        <v>0</v>
      </c>
      <c r="I234" s="11" t="s">
        <v>42</v>
      </c>
      <c r="J234" s="11" t="s">
        <v>42</v>
      </c>
      <c r="K234" s="11">
        <v>600</v>
      </c>
      <c r="L234" s="11">
        <v>1800</v>
      </c>
      <c r="M234" s="9" t="s">
        <v>103</v>
      </c>
    </row>
    <row r="235" spans="1:13" ht="20.100000000000001" customHeight="1" x14ac:dyDescent="0.2">
      <c r="A235" s="9">
        <f t="shared" si="10"/>
        <v>232</v>
      </c>
      <c r="B235" s="9">
        <v>1231</v>
      </c>
      <c r="C235" s="9">
        <v>2521033999</v>
      </c>
      <c r="D235" s="9" t="s">
        <v>3519</v>
      </c>
      <c r="E235" s="9" t="s">
        <v>1346</v>
      </c>
      <c r="F235" s="9" t="s">
        <v>431</v>
      </c>
      <c r="G235" s="11">
        <v>1200</v>
      </c>
      <c r="H235" s="11">
        <v>0</v>
      </c>
      <c r="I235" s="11" t="s">
        <v>42</v>
      </c>
      <c r="J235" s="11" t="s">
        <v>42</v>
      </c>
      <c r="K235" s="11">
        <v>650</v>
      </c>
      <c r="L235" s="11">
        <v>1850</v>
      </c>
      <c r="M235" s="9" t="s">
        <v>103</v>
      </c>
    </row>
    <row r="236" spans="1:13" ht="20.100000000000001" customHeight="1" x14ac:dyDescent="0.2">
      <c r="A236" s="9">
        <f t="shared" si="10"/>
        <v>233</v>
      </c>
      <c r="B236" s="9">
        <v>1232</v>
      </c>
      <c r="C236" s="9">
        <v>2522117650</v>
      </c>
      <c r="D236" s="9" t="s">
        <v>3519</v>
      </c>
      <c r="E236" s="9" t="s">
        <v>1351</v>
      </c>
      <c r="F236" s="9" t="s">
        <v>431</v>
      </c>
      <c r="G236" s="11">
        <v>1200</v>
      </c>
      <c r="H236" s="11">
        <v>0</v>
      </c>
      <c r="I236" s="11" t="s">
        <v>42</v>
      </c>
      <c r="J236" s="11" t="s">
        <v>42</v>
      </c>
      <c r="K236" s="11">
        <v>650</v>
      </c>
      <c r="L236" s="11">
        <v>1850</v>
      </c>
      <c r="M236" s="9" t="s">
        <v>103</v>
      </c>
    </row>
    <row r="237" spans="1:13" ht="20.100000000000001" customHeight="1" x14ac:dyDescent="0.2">
      <c r="A237" s="9">
        <f t="shared" si="10"/>
        <v>234</v>
      </c>
      <c r="B237" s="9">
        <v>1233</v>
      </c>
      <c r="C237" s="9">
        <v>2522117726</v>
      </c>
      <c r="D237" s="9" t="s">
        <v>3519</v>
      </c>
      <c r="E237" s="9" t="s">
        <v>1357</v>
      </c>
      <c r="F237" s="9" t="s">
        <v>431</v>
      </c>
      <c r="G237" s="11">
        <v>1200</v>
      </c>
      <c r="H237" s="11">
        <v>0</v>
      </c>
      <c r="I237" s="11" t="s">
        <v>42</v>
      </c>
      <c r="J237" s="11" t="s">
        <v>42</v>
      </c>
      <c r="K237" s="11">
        <v>600</v>
      </c>
      <c r="L237" s="11">
        <v>1800</v>
      </c>
      <c r="M237" s="9" t="s">
        <v>103</v>
      </c>
    </row>
    <row r="238" spans="1:13" ht="20.100000000000001" customHeight="1" x14ac:dyDescent="0.2">
      <c r="A238" s="9">
        <f t="shared" si="10"/>
        <v>235</v>
      </c>
      <c r="B238" s="9">
        <v>1234</v>
      </c>
      <c r="C238" s="9">
        <v>1090338755</v>
      </c>
      <c r="D238" s="9" t="s">
        <v>3519</v>
      </c>
      <c r="E238" s="9" t="s">
        <v>1363</v>
      </c>
      <c r="F238" s="9" t="s">
        <v>466</v>
      </c>
      <c r="G238" s="11">
        <v>4000</v>
      </c>
      <c r="H238" s="11">
        <v>0</v>
      </c>
      <c r="I238" s="11">
        <v>0</v>
      </c>
      <c r="J238" s="11">
        <v>0</v>
      </c>
      <c r="K238" s="11">
        <v>500</v>
      </c>
      <c r="L238" s="11">
        <v>4500</v>
      </c>
      <c r="M238" s="9" t="s">
        <v>471</v>
      </c>
    </row>
    <row r="239" spans="1:13" ht="20.100000000000001" customHeight="1" x14ac:dyDescent="0.2">
      <c r="A239" s="9" t="s">
        <v>3048</v>
      </c>
      <c r="B239" s="9">
        <v>1235</v>
      </c>
      <c r="C239" s="9">
        <v>1111922827</v>
      </c>
      <c r="D239" s="9"/>
      <c r="E239" s="9" t="s">
        <v>3049</v>
      </c>
      <c r="F239" s="9" t="s">
        <v>466</v>
      </c>
      <c r="G239" s="11">
        <v>4000</v>
      </c>
      <c r="H239" s="11" t="s">
        <v>42</v>
      </c>
      <c r="I239" s="11" t="s">
        <v>42</v>
      </c>
      <c r="J239" s="11" t="s">
        <v>42</v>
      </c>
      <c r="K239" s="11">
        <v>0</v>
      </c>
      <c r="L239" s="11">
        <v>4000</v>
      </c>
      <c r="M239" s="9" t="s">
        <v>471</v>
      </c>
    </row>
    <row r="240" spans="1:13" ht="20.100000000000001" customHeight="1" x14ac:dyDescent="0.2">
      <c r="A240" s="9" t="s">
        <v>3054</v>
      </c>
      <c r="B240" s="9">
        <v>1236</v>
      </c>
      <c r="C240" s="9">
        <v>1123851683</v>
      </c>
      <c r="D240" s="9"/>
      <c r="E240" s="9" t="s">
        <v>3055</v>
      </c>
      <c r="F240" s="9" t="s">
        <v>475</v>
      </c>
      <c r="G240" s="11">
        <v>4000</v>
      </c>
      <c r="H240" s="11" t="s">
        <v>42</v>
      </c>
      <c r="I240" s="11" t="s">
        <v>42</v>
      </c>
      <c r="J240" s="11" t="s">
        <v>42</v>
      </c>
      <c r="K240" s="11">
        <v>0</v>
      </c>
      <c r="L240" s="11">
        <v>4000</v>
      </c>
      <c r="M240" s="9" t="s">
        <v>471</v>
      </c>
    </row>
    <row r="241" spans="1:13" ht="20.100000000000001" customHeight="1" x14ac:dyDescent="0.2">
      <c r="A241" s="9">
        <f>ROW()-3</f>
        <v>238</v>
      </c>
      <c r="B241" s="9">
        <v>1237</v>
      </c>
      <c r="C241" s="9">
        <v>1082731298</v>
      </c>
      <c r="D241" s="9" t="s">
        <v>3519</v>
      </c>
      <c r="E241" s="9" t="s">
        <v>1369</v>
      </c>
      <c r="F241" s="9" t="s">
        <v>203</v>
      </c>
      <c r="G241" s="11">
        <v>4000</v>
      </c>
      <c r="H241" s="11">
        <v>0</v>
      </c>
      <c r="I241" s="11">
        <v>0</v>
      </c>
      <c r="J241" s="11">
        <v>0</v>
      </c>
      <c r="K241" s="11">
        <v>300</v>
      </c>
      <c r="L241" s="11">
        <v>4300</v>
      </c>
      <c r="M241" s="9" t="s">
        <v>65</v>
      </c>
    </row>
    <row r="242" spans="1:13" ht="20.100000000000001" customHeight="1" x14ac:dyDescent="0.2">
      <c r="A242" s="9" t="s">
        <v>3060</v>
      </c>
      <c r="B242" s="9">
        <v>1238</v>
      </c>
      <c r="C242" s="9">
        <v>2526518408</v>
      </c>
      <c r="D242" s="9"/>
      <c r="E242" s="9" t="s">
        <v>3061</v>
      </c>
      <c r="F242" s="9" t="s">
        <v>475</v>
      </c>
      <c r="G242" s="11">
        <v>2000</v>
      </c>
      <c r="H242" s="11" t="s">
        <v>42</v>
      </c>
      <c r="I242" s="11" t="s">
        <v>42</v>
      </c>
      <c r="J242" s="11" t="s">
        <v>42</v>
      </c>
      <c r="K242" s="11">
        <v>0</v>
      </c>
      <c r="L242" s="11">
        <v>2000</v>
      </c>
      <c r="M242" s="9"/>
    </row>
    <row r="243" spans="1:13" ht="20.100000000000001" customHeight="1" x14ac:dyDescent="0.2">
      <c r="A243" s="9">
        <f>ROW()-3</f>
        <v>240</v>
      </c>
      <c r="B243" s="9">
        <v>1239</v>
      </c>
      <c r="C243" s="9">
        <v>2532058480</v>
      </c>
      <c r="D243" s="9" t="s">
        <v>3519</v>
      </c>
      <c r="E243" s="9" t="s">
        <v>1376</v>
      </c>
      <c r="F243" s="9" t="s">
        <v>306</v>
      </c>
      <c r="G243" s="11">
        <v>1900</v>
      </c>
      <c r="H243" s="11" t="s">
        <v>42</v>
      </c>
      <c r="I243" s="11" t="s">
        <v>42</v>
      </c>
      <c r="J243" s="11" t="s">
        <v>42</v>
      </c>
      <c r="K243" s="11">
        <v>300</v>
      </c>
      <c r="L243" s="11">
        <v>2200</v>
      </c>
      <c r="M243" s="9" t="s">
        <v>3506</v>
      </c>
    </row>
    <row r="244" spans="1:13" ht="20.100000000000001" customHeight="1" x14ac:dyDescent="0.2">
      <c r="A244" s="9">
        <f>ROW()-3</f>
        <v>241</v>
      </c>
      <c r="B244" s="9">
        <v>1240</v>
      </c>
      <c r="C244" s="9">
        <v>4803364852</v>
      </c>
      <c r="D244" s="9" t="s">
        <v>3520</v>
      </c>
      <c r="E244" s="9" t="s">
        <v>1382</v>
      </c>
      <c r="F244" s="9" t="s">
        <v>899</v>
      </c>
      <c r="G244" s="11">
        <v>1200</v>
      </c>
      <c r="H244" s="11" t="s">
        <v>42</v>
      </c>
      <c r="I244" s="11" t="s">
        <v>42</v>
      </c>
      <c r="J244" s="11" t="s">
        <v>42</v>
      </c>
      <c r="K244" s="11">
        <v>1600</v>
      </c>
      <c r="L244" s="11">
        <v>2800</v>
      </c>
      <c r="M244" s="9" t="s">
        <v>788</v>
      </c>
    </row>
    <row r="245" spans="1:13" ht="20.100000000000001" customHeight="1" x14ac:dyDescent="0.2">
      <c r="A245" s="9">
        <f>ROW()-3</f>
        <v>242</v>
      </c>
      <c r="B245" s="9">
        <v>1241</v>
      </c>
      <c r="C245" s="9">
        <v>4769674989</v>
      </c>
      <c r="D245" s="9" t="s">
        <v>3520</v>
      </c>
      <c r="E245" s="9" t="s">
        <v>1386</v>
      </c>
      <c r="F245" s="9" t="s">
        <v>899</v>
      </c>
      <c r="G245" s="11">
        <v>1200</v>
      </c>
      <c r="H245" s="11" t="s">
        <v>42</v>
      </c>
      <c r="I245" s="11" t="s">
        <v>42</v>
      </c>
      <c r="J245" s="11" t="s">
        <v>42</v>
      </c>
      <c r="K245" s="11">
        <v>800</v>
      </c>
      <c r="L245" s="11">
        <v>2000</v>
      </c>
      <c r="M245" s="9" t="s">
        <v>788</v>
      </c>
    </row>
    <row r="246" spans="1:13" ht="20.100000000000001" customHeight="1" x14ac:dyDescent="0.2">
      <c r="A246" s="9" t="s">
        <v>3063</v>
      </c>
      <c r="B246" s="9">
        <v>1242</v>
      </c>
      <c r="C246" s="9"/>
      <c r="D246" s="9" t="s">
        <v>3105</v>
      </c>
      <c r="E246" s="9" t="s">
        <v>3064</v>
      </c>
      <c r="F246" s="9" t="s">
        <v>899</v>
      </c>
      <c r="G246" s="11">
        <v>2000</v>
      </c>
      <c r="H246" s="11" t="s">
        <v>42</v>
      </c>
      <c r="I246" s="11" t="s">
        <v>42</v>
      </c>
      <c r="J246" s="11" t="s">
        <v>42</v>
      </c>
      <c r="K246" s="11">
        <v>0</v>
      </c>
      <c r="L246" s="11">
        <v>2000</v>
      </c>
      <c r="M246" s="9" t="s">
        <v>788</v>
      </c>
    </row>
    <row r="247" spans="1:13" ht="20.100000000000001" customHeight="1" x14ac:dyDescent="0.2">
      <c r="A247" s="9" t="s">
        <v>3065</v>
      </c>
      <c r="B247" s="9">
        <v>1243</v>
      </c>
      <c r="C247" s="9">
        <v>1125701688</v>
      </c>
      <c r="D247" s="9" t="s">
        <v>3519</v>
      </c>
      <c r="E247" s="9" t="s">
        <v>3066</v>
      </c>
      <c r="F247" s="9" t="s">
        <v>431</v>
      </c>
      <c r="G247" s="11">
        <v>4000</v>
      </c>
      <c r="H247" s="11" t="s">
        <v>42</v>
      </c>
      <c r="I247" s="11" t="s">
        <v>42</v>
      </c>
      <c r="J247" s="11" t="s">
        <v>42</v>
      </c>
      <c r="K247" s="11">
        <v>500</v>
      </c>
      <c r="L247" s="11">
        <v>4500</v>
      </c>
      <c r="M247" s="9" t="s">
        <v>103</v>
      </c>
    </row>
    <row r="248" spans="1:13" ht="20.100000000000001" customHeight="1" x14ac:dyDescent="0.2">
      <c r="A248" s="9">
        <f>ROW()-3</f>
        <v>245</v>
      </c>
      <c r="B248" s="9">
        <v>1244</v>
      </c>
      <c r="C248" s="9"/>
      <c r="D248" s="9" t="s">
        <v>3105</v>
      </c>
      <c r="E248" s="9" t="s">
        <v>1391</v>
      </c>
      <c r="F248" s="9" t="s">
        <v>178</v>
      </c>
      <c r="G248" s="11">
        <v>1800</v>
      </c>
      <c r="H248" s="11">
        <v>0</v>
      </c>
      <c r="I248" s="11" t="s">
        <v>42</v>
      </c>
      <c r="J248" s="11">
        <v>0</v>
      </c>
      <c r="K248" s="11">
        <v>0</v>
      </c>
      <c r="L248" s="11">
        <v>1800</v>
      </c>
      <c r="M248" s="9" t="s">
        <v>788</v>
      </c>
    </row>
    <row r="249" spans="1:13" ht="20.100000000000001" customHeight="1" x14ac:dyDescent="0.2">
      <c r="A249" s="9" t="s">
        <v>3071</v>
      </c>
      <c r="B249" s="9">
        <v>1245</v>
      </c>
      <c r="C249" s="9">
        <v>1118509171</v>
      </c>
      <c r="D249" s="9"/>
      <c r="E249" s="9" t="s">
        <v>3072</v>
      </c>
      <c r="F249" s="9" t="s">
        <v>431</v>
      </c>
      <c r="G249" s="11">
        <v>4000</v>
      </c>
      <c r="H249" s="11" t="s">
        <v>42</v>
      </c>
      <c r="I249" s="11" t="s">
        <v>42</v>
      </c>
      <c r="J249" s="11" t="s">
        <v>42</v>
      </c>
      <c r="K249" s="11">
        <v>0</v>
      </c>
      <c r="L249" s="11">
        <v>4000</v>
      </c>
      <c r="M249" s="9" t="s">
        <v>103</v>
      </c>
    </row>
    <row r="250" spans="1:13" ht="20.100000000000001" customHeight="1" x14ac:dyDescent="0.2">
      <c r="A250" s="9" t="s">
        <v>3077</v>
      </c>
      <c r="B250" s="9">
        <v>1246</v>
      </c>
      <c r="C250" s="9">
        <v>1113682718</v>
      </c>
      <c r="D250" s="9"/>
      <c r="E250" s="9" t="s">
        <v>3078</v>
      </c>
      <c r="F250" s="9" t="s">
        <v>431</v>
      </c>
      <c r="G250" s="11">
        <v>4000</v>
      </c>
      <c r="H250" s="11" t="s">
        <v>42</v>
      </c>
      <c r="I250" s="11" t="s">
        <v>42</v>
      </c>
      <c r="J250" s="11" t="s">
        <v>42</v>
      </c>
      <c r="K250" s="11">
        <v>0</v>
      </c>
      <c r="L250" s="11">
        <v>4000</v>
      </c>
      <c r="M250" s="9" t="s">
        <v>103</v>
      </c>
    </row>
    <row r="251" spans="1:13" ht="20.100000000000001" customHeight="1" x14ac:dyDescent="0.2">
      <c r="A251" s="9" t="s">
        <v>3083</v>
      </c>
      <c r="B251" s="9">
        <v>1247</v>
      </c>
      <c r="C251" s="9">
        <v>1107063248</v>
      </c>
      <c r="D251" s="9"/>
      <c r="E251" s="9" t="s">
        <v>3084</v>
      </c>
      <c r="F251" s="9" t="s">
        <v>431</v>
      </c>
      <c r="G251" s="11">
        <v>4000</v>
      </c>
      <c r="H251" s="11" t="s">
        <v>42</v>
      </c>
      <c r="I251" s="11" t="s">
        <v>42</v>
      </c>
      <c r="J251" s="11" t="s">
        <v>42</v>
      </c>
      <c r="K251" s="11">
        <v>0</v>
      </c>
      <c r="L251" s="11">
        <v>4000</v>
      </c>
      <c r="M251" s="9" t="s">
        <v>103</v>
      </c>
    </row>
    <row r="252" spans="1:13" ht="20.100000000000001" customHeight="1" x14ac:dyDescent="0.2">
      <c r="A252" s="9" t="s">
        <v>3089</v>
      </c>
      <c r="B252" s="9">
        <v>1248</v>
      </c>
      <c r="C252" s="9">
        <v>1123794461</v>
      </c>
      <c r="D252" s="9"/>
      <c r="E252" s="9" t="s">
        <v>3090</v>
      </c>
      <c r="F252" s="9" t="s">
        <v>59</v>
      </c>
      <c r="G252" s="11">
        <v>4000</v>
      </c>
      <c r="H252" s="11" t="s">
        <v>42</v>
      </c>
      <c r="I252" s="11" t="s">
        <v>42</v>
      </c>
      <c r="J252" s="11" t="s">
        <v>42</v>
      </c>
      <c r="K252" s="11">
        <v>0</v>
      </c>
      <c r="L252" s="11">
        <v>4000</v>
      </c>
      <c r="M252" s="9" t="s">
        <v>65</v>
      </c>
    </row>
    <row r="253" spans="1:13" ht="20.100000000000001" customHeight="1" x14ac:dyDescent="0.2">
      <c r="A253" s="9" t="s">
        <v>3095</v>
      </c>
      <c r="B253" s="9">
        <v>1249</v>
      </c>
      <c r="C253" s="9"/>
      <c r="D253" s="9"/>
      <c r="E253" s="9" t="s">
        <v>3096</v>
      </c>
      <c r="F253" s="9" t="s">
        <v>178</v>
      </c>
      <c r="G253" s="11">
        <v>1879</v>
      </c>
      <c r="H253" s="11" t="s">
        <v>42</v>
      </c>
      <c r="I253" s="11" t="s">
        <v>42</v>
      </c>
      <c r="J253" s="11" t="s">
        <v>42</v>
      </c>
      <c r="K253" s="11">
        <v>0</v>
      </c>
      <c r="L253" s="11">
        <v>1879</v>
      </c>
      <c r="M253" s="9"/>
    </row>
    <row r="254" spans="1:13" ht="20.100000000000001" customHeight="1" x14ac:dyDescent="0.2">
      <c r="A254" s="9">
        <f>ROW()-3</f>
        <v>251</v>
      </c>
      <c r="B254" s="9">
        <v>1250</v>
      </c>
      <c r="C254" s="9"/>
      <c r="D254" s="9" t="s">
        <v>3105</v>
      </c>
      <c r="E254" s="9" t="s">
        <v>1395</v>
      </c>
      <c r="F254" s="9" t="s">
        <v>178</v>
      </c>
      <c r="G254" s="11">
        <v>3000</v>
      </c>
      <c r="H254" s="11">
        <v>0</v>
      </c>
      <c r="I254" s="11" t="s">
        <v>42</v>
      </c>
      <c r="J254" s="11">
        <v>0</v>
      </c>
      <c r="K254" s="11">
        <v>0</v>
      </c>
      <c r="L254" s="11">
        <v>3000</v>
      </c>
      <c r="M254" s="9" t="s">
        <v>788</v>
      </c>
    </row>
    <row r="255" spans="1:13" ht="20.100000000000001" customHeight="1" x14ac:dyDescent="0.2">
      <c r="A255" s="9">
        <f>ROW()-3</f>
        <v>252</v>
      </c>
      <c r="B255" s="9">
        <v>1251</v>
      </c>
      <c r="C255" s="9"/>
      <c r="D255" s="9" t="s">
        <v>1404</v>
      </c>
      <c r="E255" s="9" t="s">
        <v>1401</v>
      </c>
      <c r="F255" s="9" t="s">
        <v>178</v>
      </c>
      <c r="G255" s="11">
        <v>1500</v>
      </c>
      <c r="H255" s="11">
        <v>0</v>
      </c>
      <c r="I255" s="11" t="s">
        <v>42</v>
      </c>
      <c r="J255" s="11">
        <v>0</v>
      </c>
      <c r="K255" s="11">
        <v>0</v>
      </c>
      <c r="L255" s="11">
        <v>1500</v>
      </c>
      <c r="M255" s="9" t="s">
        <v>788</v>
      </c>
    </row>
    <row r="256" spans="1:13" ht="20.100000000000001" customHeight="1" x14ac:dyDescent="0.2">
      <c r="A256" s="9">
        <f>ROW()-3</f>
        <v>253</v>
      </c>
      <c r="B256" s="9">
        <v>1252</v>
      </c>
      <c r="C256" s="9">
        <v>2528211788</v>
      </c>
      <c r="D256" s="9" t="s">
        <v>3519</v>
      </c>
      <c r="E256" s="9" t="s">
        <v>1406</v>
      </c>
      <c r="F256" s="9" t="s">
        <v>154</v>
      </c>
      <c r="G256" s="11">
        <v>1200</v>
      </c>
      <c r="H256" s="11" t="s">
        <v>42</v>
      </c>
      <c r="I256" s="11" t="s">
        <v>42</v>
      </c>
      <c r="J256" s="11" t="s">
        <v>42</v>
      </c>
      <c r="K256" s="11">
        <v>600</v>
      </c>
      <c r="L256" s="11">
        <v>1800</v>
      </c>
      <c r="M256" s="9" t="s">
        <v>3506</v>
      </c>
    </row>
    <row r="257" spans="1:13" ht="20.100000000000001" customHeight="1" x14ac:dyDescent="0.2">
      <c r="A257" s="9" t="s">
        <v>3102</v>
      </c>
      <c r="B257" s="9">
        <v>1253</v>
      </c>
      <c r="C257" s="9">
        <v>4809505482</v>
      </c>
      <c r="D257" s="9"/>
      <c r="E257" s="9" t="s">
        <v>3103</v>
      </c>
      <c r="F257" s="9" t="s">
        <v>475</v>
      </c>
      <c r="G257" s="11">
        <v>1200</v>
      </c>
      <c r="H257" s="11" t="s">
        <v>42</v>
      </c>
      <c r="I257" s="11" t="s">
        <v>42</v>
      </c>
      <c r="J257" s="11" t="s">
        <v>42</v>
      </c>
      <c r="K257" s="11">
        <v>700</v>
      </c>
      <c r="L257" s="11">
        <v>1900</v>
      </c>
      <c r="M257" s="9" t="s">
        <v>471</v>
      </c>
    </row>
    <row r="258" spans="1:13" ht="20.100000000000001" customHeight="1" x14ac:dyDescent="0.2">
      <c r="A258" s="9">
        <f>ROW()-3</f>
        <v>255</v>
      </c>
      <c r="B258" s="9">
        <v>1254</v>
      </c>
      <c r="C258" s="9">
        <v>1084424330</v>
      </c>
      <c r="D258" s="9" t="s">
        <v>3519</v>
      </c>
      <c r="E258" s="9" t="s">
        <v>1413</v>
      </c>
      <c r="F258" s="9" t="s">
        <v>45</v>
      </c>
      <c r="G258" s="11">
        <v>4000</v>
      </c>
      <c r="H258" s="11" t="s">
        <v>42</v>
      </c>
      <c r="I258" s="11" t="s">
        <v>42</v>
      </c>
      <c r="J258" s="11" t="s">
        <v>42</v>
      </c>
      <c r="K258" s="11">
        <v>0</v>
      </c>
      <c r="L258" s="11">
        <v>4000</v>
      </c>
      <c r="M258" s="9" t="s">
        <v>65</v>
      </c>
    </row>
    <row r="259" spans="1:13" ht="20.100000000000001" customHeight="1" x14ac:dyDescent="0.2">
      <c r="A259" s="9" t="s">
        <v>3106</v>
      </c>
      <c r="B259" s="9">
        <v>1255</v>
      </c>
      <c r="C259" s="9">
        <v>1123652461</v>
      </c>
      <c r="D259" s="9"/>
      <c r="E259" s="9" t="s">
        <v>3107</v>
      </c>
      <c r="F259" s="9" t="s">
        <v>59</v>
      </c>
      <c r="G259" s="11">
        <v>4000</v>
      </c>
      <c r="H259" s="11" t="s">
        <v>42</v>
      </c>
      <c r="I259" s="11" t="s">
        <v>42</v>
      </c>
      <c r="J259" s="11" t="s">
        <v>42</v>
      </c>
      <c r="K259" s="11">
        <v>0</v>
      </c>
      <c r="L259" s="11">
        <v>4000</v>
      </c>
      <c r="M259" s="9" t="s">
        <v>65</v>
      </c>
    </row>
    <row r="260" spans="1:13" ht="20.100000000000001" customHeight="1" x14ac:dyDescent="0.2">
      <c r="A260" s="9" t="s">
        <v>3112</v>
      </c>
      <c r="B260" s="9">
        <v>1256</v>
      </c>
      <c r="C260" s="9">
        <v>1087442123</v>
      </c>
      <c r="D260" s="9"/>
      <c r="E260" s="9" t="s">
        <v>3113</v>
      </c>
      <c r="F260" s="9" t="s">
        <v>166</v>
      </c>
      <c r="G260" s="11">
        <v>4000</v>
      </c>
      <c r="H260" s="11" t="s">
        <v>42</v>
      </c>
      <c r="I260" s="11" t="s">
        <v>42</v>
      </c>
      <c r="J260" s="11" t="s">
        <v>42</v>
      </c>
      <c r="K260" s="11">
        <v>0</v>
      </c>
      <c r="L260" s="11">
        <v>4000</v>
      </c>
      <c r="M260" s="9" t="s">
        <v>65</v>
      </c>
    </row>
    <row r="261" spans="1:13" ht="20.100000000000001" customHeight="1" x14ac:dyDescent="0.2">
      <c r="A261" s="9" t="s">
        <v>3118</v>
      </c>
      <c r="B261" s="9">
        <v>1257</v>
      </c>
      <c r="C261" s="9">
        <v>2271917474</v>
      </c>
      <c r="D261" s="9"/>
      <c r="E261" s="9" t="s">
        <v>3119</v>
      </c>
      <c r="F261" s="9" t="s">
        <v>431</v>
      </c>
      <c r="G261" s="11">
        <v>1200</v>
      </c>
      <c r="H261" s="11" t="s">
        <v>42</v>
      </c>
      <c r="I261" s="11" t="s">
        <v>42</v>
      </c>
      <c r="J261" s="11" t="s">
        <v>42</v>
      </c>
      <c r="K261" s="11">
        <v>1300</v>
      </c>
      <c r="L261" s="11">
        <v>2500</v>
      </c>
      <c r="M261" s="9"/>
    </row>
    <row r="262" spans="1:13" ht="20.100000000000001" customHeight="1" x14ac:dyDescent="0.2">
      <c r="A262" s="9">
        <f>ROW()-3</f>
        <v>259</v>
      </c>
      <c r="B262" s="9">
        <v>1258</v>
      </c>
      <c r="C262" s="9">
        <v>2527261321</v>
      </c>
      <c r="D262" s="9" t="s">
        <v>3519</v>
      </c>
      <c r="E262" s="9" t="s">
        <v>1420</v>
      </c>
      <c r="F262" s="9" t="s">
        <v>431</v>
      </c>
      <c r="G262" s="11">
        <v>1200</v>
      </c>
      <c r="H262" s="11">
        <v>0</v>
      </c>
      <c r="I262" s="11" t="s">
        <v>42</v>
      </c>
      <c r="J262" s="11" t="s">
        <v>42</v>
      </c>
      <c r="K262" s="11">
        <v>800</v>
      </c>
      <c r="L262" s="11">
        <v>2000</v>
      </c>
      <c r="M262" s="9" t="s">
        <v>103</v>
      </c>
    </row>
    <row r="263" spans="1:13" ht="20.100000000000001" customHeight="1" x14ac:dyDescent="0.2">
      <c r="A263" s="9">
        <f>ROW()-3</f>
        <v>260</v>
      </c>
      <c r="B263" s="9">
        <v>1259</v>
      </c>
      <c r="C263" s="9">
        <v>2529330140</v>
      </c>
      <c r="D263" s="9" t="s">
        <v>3519</v>
      </c>
      <c r="E263" s="9" t="s">
        <v>1041</v>
      </c>
      <c r="F263" s="9" t="s">
        <v>431</v>
      </c>
      <c r="G263" s="11">
        <v>1200</v>
      </c>
      <c r="H263" s="11">
        <v>0</v>
      </c>
      <c r="I263" s="11" t="s">
        <v>42</v>
      </c>
      <c r="J263" s="11" t="s">
        <v>42</v>
      </c>
      <c r="K263" s="11">
        <v>700</v>
      </c>
      <c r="L263" s="11">
        <v>1900</v>
      </c>
      <c r="M263" s="9" t="s">
        <v>103</v>
      </c>
    </row>
    <row r="264" spans="1:13" ht="20.100000000000001" customHeight="1" x14ac:dyDescent="0.2">
      <c r="A264" s="9">
        <f>ROW()-3</f>
        <v>261</v>
      </c>
      <c r="B264" s="9">
        <v>1260</v>
      </c>
      <c r="C264" s="9">
        <v>2527261222</v>
      </c>
      <c r="D264" s="9" t="s">
        <v>3519</v>
      </c>
      <c r="E264" s="9" t="s">
        <v>1431</v>
      </c>
      <c r="F264" s="9" t="s">
        <v>431</v>
      </c>
      <c r="G264" s="11">
        <v>1200</v>
      </c>
      <c r="H264" s="11">
        <v>0</v>
      </c>
      <c r="I264" s="11" t="s">
        <v>42</v>
      </c>
      <c r="J264" s="11" t="s">
        <v>42</v>
      </c>
      <c r="K264" s="11">
        <v>650</v>
      </c>
      <c r="L264" s="11">
        <v>1850</v>
      </c>
      <c r="M264" s="9" t="s">
        <v>103</v>
      </c>
    </row>
    <row r="265" spans="1:13" ht="20.100000000000001" customHeight="1" x14ac:dyDescent="0.2">
      <c r="A265" s="9">
        <f>ROW()-3</f>
        <v>262</v>
      </c>
      <c r="B265" s="9">
        <v>1261</v>
      </c>
      <c r="C265" s="9">
        <v>2529318855</v>
      </c>
      <c r="D265" s="9" t="s">
        <v>3519</v>
      </c>
      <c r="E265" s="9" t="s">
        <v>1437</v>
      </c>
      <c r="F265" s="9" t="s">
        <v>431</v>
      </c>
      <c r="G265" s="11">
        <v>1200</v>
      </c>
      <c r="H265" s="11" t="s">
        <v>42</v>
      </c>
      <c r="I265" s="11" t="s">
        <v>42</v>
      </c>
      <c r="J265" s="11" t="s">
        <v>42</v>
      </c>
      <c r="K265" s="11">
        <v>600</v>
      </c>
      <c r="L265" s="11">
        <v>1800</v>
      </c>
      <c r="M265" s="9" t="s">
        <v>103</v>
      </c>
    </row>
    <row r="266" spans="1:13" ht="20.100000000000001" customHeight="1" x14ac:dyDescent="0.2">
      <c r="A266" s="9" t="s">
        <v>3123</v>
      </c>
      <c r="B266" s="9">
        <v>1262</v>
      </c>
      <c r="C266" s="9">
        <v>1107354001</v>
      </c>
      <c r="D266" s="9" t="s">
        <v>3519</v>
      </c>
      <c r="E266" s="9" t="s">
        <v>3124</v>
      </c>
      <c r="F266" s="9" t="s">
        <v>431</v>
      </c>
      <c r="G266" s="11">
        <v>4000</v>
      </c>
      <c r="H266" s="11" t="s">
        <v>42</v>
      </c>
      <c r="I266" s="11" t="s">
        <v>42</v>
      </c>
      <c r="J266" s="11" t="s">
        <v>42</v>
      </c>
      <c r="K266" s="11">
        <v>500</v>
      </c>
      <c r="L266" s="11">
        <v>4500</v>
      </c>
      <c r="M266" s="9" t="s">
        <v>103</v>
      </c>
    </row>
    <row r="267" spans="1:13" ht="20.100000000000001" customHeight="1" x14ac:dyDescent="0.2">
      <c r="A267" s="9">
        <f>ROW()-3</f>
        <v>264</v>
      </c>
      <c r="B267" s="9">
        <v>1263</v>
      </c>
      <c r="C267" s="9">
        <v>2529318863</v>
      </c>
      <c r="D267" s="9" t="s">
        <v>3519</v>
      </c>
      <c r="E267" s="9" t="s">
        <v>1444</v>
      </c>
      <c r="F267" s="9" t="s">
        <v>431</v>
      </c>
      <c r="G267" s="11">
        <v>1200</v>
      </c>
      <c r="H267" s="11">
        <v>0</v>
      </c>
      <c r="I267" s="11" t="s">
        <v>42</v>
      </c>
      <c r="J267" s="11" t="s">
        <v>42</v>
      </c>
      <c r="K267" s="11">
        <v>700</v>
      </c>
      <c r="L267" s="11">
        <v>1900</v>
      </c>
      <c r="M267" s="9" t="s">
        <v>103</v>
      </c>
    </row>
    <row r="268" spans="1:13" ht="20.100000000000001" customHeight="1" x14ac:dyDescent="0.2">
      <c r="A268" s="9" t="s">
        <v>3129</v>
      </c>
      <c r="B268" s="9">
        <v>1264</v>
      </c>
      <c r="C268" s="9">
        <v>2151980667</v>
      </c>
      <c r="D268" s="9"/>
      <c r="E268" s="9" t="s">
        <v>3130</v>
      </c>
      <c r="F268" s="9" t="s">
        <v>431</v>
      </c>
      <c r="G268" s="11">
        <v>1200</v>
      </c>
      <c r="H268" s="11" t="s">
        <v>42</v>
      </c>
      <c r="I268" s="11" t="s">
        <v>42</v>
      </c>
      <c r="J268" s="11" t="s">
        <v>42</v>
      </c>
      <c r="K268" s="11">
        <v>2400</v>
      </c>
      <c r="L268" s="11">
        <v>3600</v>
      </c>
      <c r="M268" s="9"/>
    </row>
    <row r="269" spans="1:13" ht="20.100000000000001" customHeight="1" x14ac:dyDescent="0.2">
      <c r="A269" s="9">
        <f>ROW()-3</f>
        <v>266</v>
      </c>
      <c r="B269" s="9">
        <v>1265</v>
      </c>
      <c r="C269" s="9">
        <v>2532609720</v>
      </c>
      <c r="D269" s="9" t="s">
        <v>3520</v>
      </c>
      <c r="E269" s="9" t="s">
        <v>1450</v>
      </c>
      <c r="F269" s="9" t="s">
        <v>899</v>
      </c>
      <c r="G269" s="11">
        <v>1200</v>
      </c>
      <c r="H269" s="11" t="s">
        <v>42</v>
      </c>
      <c r="I269" s="11" t="s">
        <v>42</v>
      </c>
      <c r="J269" s="11" t="s">
        <v>42</v>
      </c>
      <c r="K269" s="11">
        <v>1000</v>
      </c>
      <c r="L269" s="11">
        <v>2200</v>
      </c>
      <c r="M269" s="9" t="s">
        <v>903</v>
      </c>
    </row>
    <row r="270" spans="1:13" ht="20.100000000000001" customHeight="1" x14ac:dyDescent="0.2">
      <c r="A270" s="9" t="s">
        <v>3136</v>
      </c>
      <c r="B270" s="9">
        <v>1266</v>
      </c>
      <c r="C270" s="9">
        <v>1118795614</v>
      </c>
      <c r="D270" s="9"/>
      <c r="E270" s="9" t="s">
        <v>3137</v>
      </c>
      <c r="F270" s="9" t="s">
        <v>203</v>
      </c>
      <c r="G270" s="11">
        <v>4000</v>
      </c>
      <c r="H270" s="11" t="s">
        <v>42</v>
      </c>
      <c r="I270" s="11" t="s">
        <v>42</v>
      </c>
      <c r="J270" s="11" t="s">
        <v>42</v>
      </c>
      <c r="K270" s="11">
        <v>0</v>
      </c>
      <c r="L270" s="11">
        <v>4000</v>
      </c>
      <c r="M270" s="9" t="s">
        <v>65</v>
      </c>
    </row>
    <row r="271" spans="1:13" ht="20.100000000000001" customHeight="1" x14ac:dyDescent="0.2">
      <c r="A271" s="9">
        <f>ROW()-3</f>
        <v>268</v>
      </c>
      <c r="B271" s="9">
        <v>1267</v>
      </c>
      <c r="C271" s="9">
        <v>2495925618</v>
      </c>
      <c r="D271" s="9" t="s">
        <v>3519</v>
      </c>
      <c r="E271" s="9" t="s">
        <v>1456</v>
      </c>
      <c r="F271" s="9" t="s">
        <v>178</v>
      </c>
      <c r="G271" s="11">
        <v>4000</v>
      </c>
      <c r="H271" s="11" t="s">
        <v>42</v>
      </c>
      <c r="I271" s="11" t="s">
        <v>42</v>
      </c>
      <c r="J271" s="11">
        <v>0</v>
      </c>
      <c r="K271" s="11">
        <v>2500</v>
      </c>
      <c r="L271" s="11">
        <v>6500</v>
      </c>
      <c r="M271" s="9" t="s">
        <v>567</v>
      </c>
    </row>
    <row r="272" spans="1:13" ht="20.100000000000001" customHeight="1" x14ac:dyDescent="0.2">
      <c r="A272" s="9">
        <f>ROW()-3</f>
        <v>269</v>
      </c>
      <c r="B272" s="9">
        <v>1268</v>
      </c>
      <c r="C272" s="9">
        <v>2400293862</v>
      </c>
      <c r="D272" s="9" t="s">
        <v>3519</v>
      </c>
      <c r="E272" s="9" t="s">
        <v>1462</v>
      </c>
      <c r="F272" s="9" t="s">
        <v>178</v>
      </c>
      <c r="G272" s="11">
        <v>6000</v>
      </c>
      <c r="H272" s="11">
        <v>0</v>
      </c>
      <c r="I272" s="11">
        <v>0</v>
      </c>
      <c r="J272" s="11">
        <v>0</v>
      </c>
      <c r="K272" s="11">
        <v>2000</v>
      </c>
      <c r="L272" s="11">
        <v>8000</v>
      </c>
      <c r="M272" s="9" t="s">
        <v>567</v>
      </c>
    </row>
    <row r="273" spans="1:13" ht="20.100000000000001" customHeight="1" x14ac:dyDescent="0.2">
      <c r="A273" s="9" t="s">
        <v>3142</v>
      </c>
      <c r="B273" s="9">
        <v>1269</v>
      </c>
      <c r="C273" s="9">
        <v>1125139327</v>
      </c>
      <c r="D273" s="9"/>
      <c r="E273" s="9" t="s">
        <v>3143</v>
      </c>
      <c r="F273" s="9" t="s">
        <v>431</v>
      </c>
      <c r="G273" s="11">
        <v>4000</v>
      </c>
      <c r="H273" s="11" t="s">
        <v>42</v>
      </c>
      <c r="I273" s="11" t="s">
        <v>42</v>
      </c>
      <c r="J273" s="11" t="s">
        <v>42</v>
      </c>
      <c r="K273" s="11">
        <v>0</v>
      </c>
      <c r="L273" s="11">
        <v>4000</v>
      </c>
      <c r="M273" s="9" t="s">
        <v>103</v>
      </c>
    </row>
    <row r="274" spans="1:13" ht="20.100000000000001" customHeight="1" x14ac:dyDescent="0.2">
      <c r="A274" s="9" t="s">
        <v>3147</v>
      </c>
      <c r="B274" s="9">
        <v>1270</v>
      </c>
      <c r="C274" s="9">
        <v>2215761525</v>
      </c>
      <c r="D274" s="9"/>
      <c r="E274" s="9" t="s">
        <v>3148</v>
      </c>
      <c r="F274" s="9" t="s">
        <v>178</v>
      </c>
      <c r="G274" s="11">
        <v>1500</v>
      </c>
      <c r="H274" s="11" t="s">
        <v>42</v>
      </c>
      <c r="I274" s="11" t="s">
        <v>42</v>
      </c>
      <c r="J274" s="11" t="s">
        <v>42</v>
      </c>
      <c r="K274" s="11">
        <v>0</v>
      </c>
      <c r="L274" s="11">
        <v>1500</v>
      </c>
      <c r="M274" s="9"/>
    </row>
    <row r="275" spans="1:13" ht="20.100000000000001" customHeight="1" x14ac:dyDescent="0.2">
      <c r="A275" s="9" t="s">
        <v>3151</v>
      </c>
      <c r="B275" s="9">
        <v>1271</v>
      </c>
      <c r="C275" s="9">
        <v>1117087815</v>
      </c>
      <c r="D275" s="9"/>
      <c r="E275" s="9" t="s">
        <v>3152</v>
      </c>
      <c r="F275" s="9" t="s">
        <v>178</v>
      </c>
      <c r="G275" s="11">
        <v>1500</v>
      </c>
      <c r="H275" s="11" t="s">
        <v>42</v>
      </c>
      <c r="I275" s="11" t="s">
        <v>42</v>
      </c>
      <c r="J275" s="11" t="s">
        <v>42</v>
      </c>
      <c r="K275" s="11">
        <v>0</v>
      </c>
      <c r="L275" s="11">
        <v>1500</v>
      </c>
      <c r="M275" s="9"/>
    </row>
    <row r="276" spans="1:13" ht="20.100000000000001" customHeight="1" x14ac:dyDescent="0.2">
      <c r="A276" s="9">
        <f>ROW()-3</f>
        <v>273</v>
      </c>
      <c r="B276" s="9">
        <v>1272</v>
      </c>
      <c r="C276" s="9">
        <v>1030121915</v>
      </c>
      <c r="D276" s="9" t="s">
        <v>3519</v>
      </c>
      <c r="E276" s="9" t="s">
        <v>1469</v>
      </c>
      <c r="F276" s="9" t="s">
        <v>178</v>
      </c>
      <c r="G276" s="11">
        <v>4000</v>
      </c>
      <c r="H276" s="11">
        <v>0</v>
      </c>
      <c r="I276" s="11" t="s">
        <v>42</v>
      </c>
      <c r="J276" s="11">
        <v>0</v>
      </c>
      <c r="K276" s="11">
        <v>4000</v>
      </c>
      <c r="L276" s="11">
        <v>8000</v>
      </c>
      <c r="M276" s="9" t="s">
        <v>1475</v>
      </c>
    </row>
    <row r="277" spans="1:13" ht="20.100000000000001" customHeight="1" x14ac:dyDescent="0.2">
      <c r="A277" s="9" t="s">
        <v>3154</v>
      </c>
      <c r="B277" s="9">
        <v>1273</v>
      </c>
      <c r="C277" s="9">
        <v>2530280730</v>
      </c>
      <c r="D277" s="9"/>
      <c r="E277" s="9" t="s">
        <v>3155</v>
      </c>
      <c r="F277" s="9" t="s">
        <v>475</v>
      </c>
      <c r="G277" s="11">
        <v>1200</v>
      </c>
      <c r="H277" s="11" t="s">
        <v>42</v>
      </c>
      <c r="I277" s="11" t="s">
        <v>42</v>
      </c>
      <c r="J277" s="11" t="s">
        <v>42</v>
      </c>
      <c r="K277" s="11">
        <v>400</v>
      </c>
      <c r="L277" s="11">
        <v>1600</v>
      </c>
      <c r="M277" s="9"/>
    </row>
    <row r="278" spans="1:13" ht="20.100000000000001" customHeight="1" x14ac:dyDescent="0.2">
      <c r="A278" s="9">
        <f>ROW()-3</f>
        <v>275</v>
      </c>
      <c r="B278" s="9">
        <v>1274</v>
      </c>
      <c r="C278" s="9">
        <v>1122136961</v>
      </c>
      <c r="D278" s="9" t="s">
        <v>3519</v>
      </c>
      <c r="E278" s="9" t="s">
        <v>1477</v>
      </c>
      <c r="F278" s="9" t="s">
        <v>45</v>
      </c>
      <c r="G278" s="11">
        <v>4000</v>
      </c>
      <c r="H278" s="11" t="s">
        <v>42</v>
      </c>
      <c r="I278" s="11" t="s">
        <v>42</v>
      </c>
      <c r="J278" s="11" t="s">
        <v>42</v>
      </c>
      <c r="K278" s="11">
        <v>0</v>
      </c>
      <c r="L278" s="11">
        <v>4000</v>
      </c>
      <c r="M278" s="9" t="s">
        <v>65</v>
      </c>
    </row>
    <row r="279" spans="1:13" ht="20.100000000000001" customHeight="1" x14ac:dyDescent="0.2">
      <c r="A279" s="9" t="s">
        <v>3157</v>
      </c>
      <c r="B279" s="9">
        <v>1275</v>
      </c>
      <c r="C279" s="9">
        <v>2185998156</v>
      </c>
      <c r="D279" s="9" t="s">
        <v>3519</v>
      </c>
      <c r="E279" s="9" t="s">
        <v>3158</v>
      </c>
      <c r="F279" s="9" t="s">
        <v>431</v>
      </c>
      <c r="G279" s="11">
        <v>1200</v>
      </c>
      <c r="H279" s="11" t="s">
        <v>42</v>
      </c>
      <c r="I279" s="11" t="s">
        <v>42</v>
      </c>
      <c r="J279" s="11" t="s">
        <v>42</v>
      </c>
      <c r="K279" s="11">
        <v>1800</v>
      </c>
      <c r="L279" s="11">
        <v>3000</v>
      </c>
      <c r="M279" s="9"/>
    </row>
    <row r="280" spans="1:13" ht="20.100000000000001" customHeight="1" x14ac:dyDescent="0.2">
      <c r="A280" s="9">
        <f>ROW()-3</f>
        <v>277</v>
      </c>
      <c r="B280" s="9">
        <v>1276</v>
      </c>
      <c r="C280" s="9">
        <v>2440678429</v>
      </c>
      <c r="D280" s="9" t="s">
        <v>3519</v>
      </c>
      <c r="E280" s="9" t="s">
        <v>1482</v>
      </c>
      <c r="F280" s="9" t="s">
        <v>45</v>
      </c>
      <c r="G280" s="11">
        <v>1200</v>
      </c>
      <c r="H280" s="11">
        <v>0</v>
      </c>
      <c r="I280" s="11">
        <v>0</v>
      </c>
      <c r="J280" s="11" t="s">
        <v>42</v>
      </c>
      <c r="K280" s="11">
        <v>4300</v>
      </c>
      <c r="L280" s="11">
        <v>5500</v>
      </c>
      <c r="M280" s="9" t="s">
        <v>103</v>
      </c>
    </row>
    <row r="281" spans="1:13" ht="20.100000000000001" customHeight="1" x14ac:dyDescent="0.2">
      <c r="A281" s="9">
        <f>ROW()-3</f>
        <v>278</v>
      </c>
      <c r="B281" s="9">
        <v>1277</v>
      </c>
      <c r="C281" s="9">
        <v>1110338900</v>
      </c>
      <c r="D281" s="9" t="s">
        <v>3519</v>
      </c>
      <c r="E281" s="9" t="s">
        <v>1489</v>
      </c>
      <c r="F281" s="9" t="s">
        <v>45</v>
      </c>
      <c r="G281" s="11">
        <v>4000</v>
      </c>
      <c r="H281" s="11">
        <v>0</v>
      </c>
      <c r="I281" s="11" t="s">
        <v>42</v>
      </c>
      <c r="J281" s="11" t="s">
        <v>42</v>
      </c>
      <c r="K281" s="11" t="s">
        <v>42</v>
      </c>
      <c r="L281" s="11">
        <v>4000</v>
      </c>
      <c r="M281" s="9" t="s">
        <v>65</v>
      </c>
    </row>
    <row r="282" spans="1:13" ht="20.100000000000001" customHeight="1" x14ac:dyDescent="0.2">
      <c r="A282" s="9" t="s">
        <v>3162</v>
      </c>
      <c r="B282" s="9">
        <v>1278</v>
      </c>
      <c r="C282" s="9">
        <v>1079819510</v>
      </c>
      <c r="D282" s="9"/>
      <c r="E282" s="9" t="s">
        <v>3163</v>
      </c>
      <c r="F282" s="9" t="s">
        <v>431</v>
      </c>
      <c r="G282" s="11">
        <v>4000</v>
      </c>
      <c r="H282" s="11" t="s">
        <v>42</v>
      </c>
      <c r="I282" s="11" t="s">
        <v>42</v>
      </c>
      <c r="J282" s="11" t="s">
        <v>42</v>
      </c>
      <c r="K282" s="11" t="s">
        <v>42</v>
      </c>
      <c r="L282" s="11">
        <v>4000</v>
      </c>
      <c r="M282" s="9" t="s">
        <v>103</v>
      </c>
    </row>
    <row r="283" spans="1:13" ht="20.100000000000001" customHeight="1" x14ac:dyDescent="0.2">
      <c r="A283" s="9" t="s">
        <v>3168</v>
      </c>
      <c r="B283" s="9">
        <v>1279</v>
      </c>
      <c r="C283" s="9">
        <v>1119770392</v>
      </c>
      <c r="D283" s="9" t="s">
        <v>3519</v>
      </c>
      <c r="E283" s="9" t="s">
        <v>3169</v>
      </c>
      <c r="F283" s="9" t="s">
        <v>431</v>
      </c>
      <c r="G283" s="11">
        <v>4000</v>
      </c>
      <c r="H283" s="11" t="s">
        <v>42</v>
      </c>
      <c r="I283" s="11" t="s">
        <v>42</v>
      </c>
      <c r="J283" s="11" t="s">
        <v>42</v>
      </c>
      <c r="K283" s="11">
        <v>500</v>
      </c>
      <c r="L283" s="11">
        <v>4500</v>
      </c>
      <c r="M283" s="9" t="s">
        <v>103</v>
      </c>
    </row>
    <row r="284" spans="1:13" ht="20.100000000000001" customHeight="1" x14ac:dyDescent="0.2">
      <c r="A284" s="9">
        <f>ROW()-3</f>
        <v>281</v>
      </c>
      <c r="B284" s="9">
        <v>1280</v>
      </c>
      <c r="C284" s="9">
        <v>2532701600</v>
      </c>
      <c r="D284" s="9" t="s">
        <v>3521</v>
      </c>
      <c r="E284" s="9" t="s">
        <v>1493</v>
      </c>
      <c r="F284" s="9" t="s">
        <v>1497</v>
      </c>
      <c r="G284" s="11">
        <v>0</v>
      </c>
      <c r="H284" s="11" t="s">
        <v>42</v>
      </c>
      <c r="I284" s="11" t="s">
        <v>42</v>
      </c>
      <c r="J284" s="11" t="s">
        <v>42</v>
      </c>
      <c r="K284" s="11" t="s">
        <v>42</v>
      </c>
      <c r="L284" s="11">
        <v>0</v>
      </c>
      <c r="M284" s="9" t="s">
        <v>1498</v>
      </c>
    </row>
    <row r="285" spans="1:13" ht="20.100000000000001" customHeight="1" x14ac:dyDescent="0.2">
      <c r="A285" s="9">
        <f>ROW()-3</f>
        <v>282</v>
      </c>
      <c r="B285" s="9">
        <v>1281</v>
      </c>
      <c r="C285" s="9">
        <v>2537368140</v>
      </c>
      <c r="D285" s="9" t="s">
        <v>3519</v>
      </c>
      <c r="E285" s="9" t="s">
        <v>1500</v>
      </c>
      <c r="F285" s="9" t="s">
        <v>899</v>
      </c>
      <c r="G285" s="11">
        <v>1200</v>
      </c>
      <c r="H285" s="11" t="s">
        <v>42</v>
      </c>
      <c r="I285" s="11" t="s">
        <v>42</v>
      </c>
      <c r="J285" s="11" t="s">
        <v>42</v>
      </c>
      <c r="K285" s="11">
        <v>1300</v>
      </c>
      <c r="L285" s="11">
        <v>2500</v>
      </c>
      <c r="M285" s="9" t="s">
        <v>903</v>
      </c>
    </row>
    <row r="286" spans="1:13" ht="20.100000000000001" customHeight="1" x14ac:dyDescent="0.2">
      <c r="A286" s="9" t="s">
        <v>3174</v>
      </c>
      <c r="B286" s="9">
        <v>1282</v>
      </c>
      <c r="C286" s="9">
        <v>2532879794</v>
      </c>
      <c r="D286" s="9" t="s">
        <v>3519</v>
      </c>
      <c r="E286" s="9" t="s">
        <v>3175</v>
      </c>
      <c r="F286" s="9" t="s">
        <v>222</v>
      </c>
      <c r="G286" s="11">
        <v>3500</v>
      </c>
      <c r="H286" s="11">
        <v>1000</v>
      </c>
      <c r="I286" s="11" t="s">
        <v>42</v>
      </c>
      <c r="J286" s="11">
        <v>300</v>
      </c>
      <c r="K286" s="11">
        <v>200</v>
      </c>
      <c r="L286" s="11">
        <v>5000</v>
      </c>
      <c r="M286" s="9" t="s">
        <v>567</v>
      </c>
    </row>
    <row r="287" spans="1:13" ht="20.100000000000001" customHeight="1" x14ac:dyDescent="0.2">
      <c r="A287" s="9" t="s">
        <v>3181</v>
      </c>
      <c r="B287" s="9">
        <v>1283</v>
      </c>
      <c r="C287" s="9">
        <v>1116913185</v>
      </c>
      <c r="D287" s="9"/>
      <c r="E287" s="9" t="s">
        <v>3182</v>
      </c>
      <c r="F287" s="9" t="s">
        <v>203</v>
      </c>
      <c r="G287" s="11">
        <v>4000</v>
      </c>
      <c r="H287" s="11" t="s">
        <v>42</v>
      </c>
      <c r="I287" s="11" t="s">
        <v>42</v>
      </c>
      <c r="J287" s="11" t="s">
        <v>42</v>
      </c>
      <c r="K287" s="11" t="s">
        <v>42</v>
      </c>
      <c r="L287" s="11">
        <v>4000</v>
      </c>
      <c r="M287" s="9" t="s">
        <v>65</v>
      </c>
    </row>
    <row r="288" spans="1:13" ht="20.100000000000001" customHeight="1" x14ac:dyDescent="0.2">
      <c r="A288" s="9">
        <f>ROW()-3</f>
        <v>285</v>
      </c>
      <c r="B288" s="9">
        <v>1284</v>
      </c>
      <c r="C288" s="9">
        <v>1101949806</v>
      </c>
      <c r="D288" s="9" t="s">
        <v>3519</v>
      </c>
      <c r="E288" s="9" t="s">
        <v>1505</v>
      </c>
      <c r="F288" s="9" t="s">
        <v>45</v>
      </c>
      <c r="G288" s="11">
        <v>4000</v>
      </c>
      <c r="H288" s="11">
        <v>0</v>
      </c>
      <c r="I288" s="11" t="s">
        <v>42</v>
      </c>
      <c r="J288" s="11" t="s">
        <v>42</v>
      </c>
      <c r="K288" s="11" t="s">
        <v>42</v>
      </c>
      <c r="L288" s="11">
        <v>4000</v>
      </c>
      <c r="M288" s="9" t="s">
        <v>65</v>
      </c>
    </row>
    <row r="289" spans="1:13" ht="20.100000000000001" customHeight="1" x14ac:dyDescent="0.2">
      <c r="A289" s="9" t="s">
        <v>3187</v>
      </c>
      <c r="B289" s="9">
        <v>1285</v>
      </c>
      <c r="C289" s="9">
        <v>1125855195</v>
      </c>
      <c r="D289" s="9"/>
      <c r="E289" s="9" t="s">
        <v>3188</v>
      </c>
      <c r="F289" s="9" t="s">
        <v>466</v>
      </c>
      <c r="G289" s="11">
        <v>4000</v>
      </c>
      <c r="H289" s="11" t="s">
        <v>42</v>
      </c>
      <c r="I289" s="11" t="s">
        <v>42</v>
      </c>
      <c r="J289" s="11" t="s">
        <v>42</v>
      </c>
      <c r="K289" s="11" t="s">
        <v>42</v>
      </c>
      <c r="L289" s="11">
        <v>4000</v>
      </c>
      <c r="M289" s="9" t="s">
        <v>471</v>
      </c>
    </row>
    <row r="290" spans="1:13" ht="20.100000000000001" customHeight="1" x14ac:dyDescent="0.2">
      <c r="A290" s="9" t="s">
        <v>3193</v>
      </c>
      <c r="B290" s="9">
        <v>1286</v>
      </c>
      <c r="C290" s="9">
        <v>1090784131</v>
      </c>
      <c r="D290" s="9"/>
      <c r="E290" s="9" t="s">
        <v>3194</v>
      </c>
      <c r="F290" s="9" t="s">
        <v>475</v>
      </c>
      <c r="G290" s="11">
        <v>4000</v>
      </c>
      <c r="H290" s="11" t="s">
        <v>42</v>
      </c>
      <c r="I290" s="11" t="s">
        <v>42</v>
      </c>
      <c r="J290" s="11" t="s">
        <v>42</v>
      </c>
      <c r="K290" s="11" t="s">
        <v>42</v>
      </c>
      <c r="L290" s="11">
        <v>4000</v>
      </c>
      <c r="M290" s="9" t="s">
        <v>471</v>
      </c>
    </row>
    <row r="291" spans="1:13" ht="20.100000000000001" customHeight="1" x14ac:dyDescent="0.2">
      <c r="A291" s="9" t="s">
        <v>3197</v>
      </c>
      <c r="B291" s="9">
        <v>1287</v>
      </c>
      <c r="C291" s="9">
        <v>1115444729</v>
      </c>
      <c r="D291" s="9"/>
      <c r="E291" s="9" t="s">
        <v>3198</v>
      </c>
      <c r="F291" s="9" t="s">
        <v>475</v>
      </c>
      <c r="G291" s="11">
        <v>4000</v>
      </c>
      <c r="H291" s="11" t="s">
        <v>42</v>
      </c>
      <c r="I291" s="11" t="s">
        <v>42</v>
      </c>
      <c r="J291" s="11" t="s">
        <v>42</v>
      </c>
      <c r="K291" s="11" t="s">
        <v>42</v>
      </c>
      <c r="L291" s="11">
        <v>4000</v>
      </c>
      <c r="M291" s="9" t="s">
        <v>471</v>
      </c>
    </row>
    <row r="292" spans="1:13" ht="20.100000000000001" customHeight="1" x14ac:dyDescent="0.2">
      <c r="A292" s="9" t="s">
        <v>3203</v>
      </c>
      <c r="B292" s="9">
        <v>1288</v>
      </c>
      <c r="C292" s="9">
        <v>2430333225</v>
      </c>
      <c r="D292" s="9" t="s">
        <v>3519</v>
      </c>
      <c r="E292" s="9" t="s">
        <v>3204</v>
      </c>
      <c r="F292" s="9" t="s">
        <v>45</v>
      </c>
      <c r="G292" s="11">
        <v>1200</v>
      </c>
      <c r="H292" s="11" t="s">
        <v>42</v>
      </c>
      <c r="I292" s="11" t="s">
        <v>42</v>
      </c>
      <c r="J292" s="11" t="s">
        <v>42</v>
      </c>
      <c r="K292" s="11">
        <v>800</v>
      </c>
      <c r="L292" s="11">
        <v>2000</v>
      </c>
      <c r="M292" s="9"/>
    </row>
    <row r="293" spans="1:13" ht="20.100000000000001" customHeight="1" x14ac:dyDescent="0.2">
      <c r="A293" s="9" t="s">
        <v>3206</v>
      </c>
      <c r="B293" s="9">
        <v>1289</v>
      </c>
      <c r="C293" s="9">
        <v>2508818388</v>
      </c>
      <c r="D293" s="9" t="s">
        <v>3519</v>
      </c>
      <c r="E293" s="9" t="s">
        <v>3207</v>
      </c>
      <c r="F293" s="9" t="s">
        <v>431</v>
      </c>
      <c r="G293" s="11">
        <v>5000</v>
      </c>
      <c r="H293" s="11" t="s">
        <v>42</v>
      </c>
      <c r="I293" s="11" t="s">
        <v>42</v>
      </c>
      <c r="J293" s="11" t="s">
        <v>42</v>
      </c>
      <c r="K293" s="11">
        <v>500</v>
      </c>
      <c r="L293" s="11">
        <v>5500</v>
      </c>
      <c r="M293" s="9" t="s">
        <v>103</v>
      </c>
    </row>
    <row r="294" spans="1:13" ht="20.100000000000001" customHeight="1" x14ac:dyDescent="0.2">
      <c r="A294" s="9">
        <f>ROW()-3</f>
        <v>291</v>
      </c>
      <c r="B294" s="9">
        <v>1290</v>
      </c>
      <c r="C294" s="9">
        <v>2520050721</v>
      </c>
      <c r="D294" s="9" t="s">
        <v>3519</v>
      </c>
      <c r="E294" s="9" t="s">
        <v>1511</v>
      </c>
      <c r="F294" s="9" t="s">
        <v>222</v>
      </c>
      <c r="G294" s="11">
        <v>1200</v>
      </c>
      <c r="H294" s="11">
        <v>0</v>
      </c>
      <c r="I294" s="11" t="s">
        <v>42</v>
      </c>
      <c r="J294" s="11" t="s">
        <v>42</v>
      </c>
      <c r="K294" s="11">
        <v>1800</v>
      </c>
      <c r="L294" s="11">
        <v>3000</v>
      </c>
      <c r="M294" s="9" t="s">
        <v>567</v>
      </c>
    </row>
    <row r="295" spans="1:13" ht="20.100000000000001" customHeight="1" x14ac:dyDescent="0.2">
      <c r="A295" s="9">
        <f>ROW()-3</f>
        <v>292</v>
      </c>
      <c r="B295" s="9">
        <v>1291</v>
      </c>
      <c r="C295" s="9">
        <v>2342543580</v>
      </c>
      <c r="D295" s="9" t="s">
        <v>3519</v>
      </c>
      <c r="E295" s="9" t="s">
        <v>1518</v>
      </c>
      <c r="F295" s="9" t="s">
        <v>154</v>
      </c>
      <c r="G295" s="11">
        <v>4000</v>
      </c>
      <c r="H295" s="11">
        <v>0</v>
      </c>
      <c r="I295" s="11">
        <v>0</v>
      </c>
      <c r="J295" s="11">
        <v>0</v>
      </c>
      <c r="K295" s="11">
        <v>500</v>
      </c>
      <c r="L295" s="11">
        <v>4500</v>
      </c>
      <c r="M295" s="9" t="s">
        <v>103</v>
      </c>
    </row>
    <row r="296" spans="1:13" ht="20.100000000000001" customHeight="1" x14ac:dyDescent="0.2">
      <c r="A296" s="9">
        <f>ROW()-3</f>
        <v>293</v>
      </c>
      <c r="B296" s="9">
        <v>1292</v>
      </c>
      <c r="C296" s="9">
        <v>2533569550</v>
      </c>
      <c r="D296" s="9" t="s">
        <v>3519</v>
      </c>
      <c r="E296" s="9" t="s">
        <v>1525</v>
      </c>
      <c r="F296" s="9" t="s">
        <v>45</v>
      </c>
      <c r="G296" s="11">
        <v>1200</v>
      </c>
      <c r="H296" s="11">
        <v>0</v>
      </c>
      <c r="I296" s="11">
        <v>0</v>
      </c>
      <c r="J296" s="11">
        <v>0</v>
      </c>
      <c r="K296" s="11">
        <v>800</v>
      </c>
      <c r="L296" s="11">
        <v>2000</v>
      </c>
      <c r="M296" s="9" t="s">
        <v>65</v>
      </c>
    </row>
    <row r="297" spans="1:13" ht="20.100000000000001" customHeight="1" x14ac:dyDescent="0.2">
      <c r="A297" s="9">
        <f>ROW()-3</f>
        <v>294</v>
      </c>
      <c r="B297" s="9">
        <v>1293</v>
      </c>
      <c r="C297" s="9">
        <v>2533839151</v>
      </c>
      <c r="D297" s="9" t="s">
        <v>3519</v>
      </c>
      <c r="E297" s="9" t="s">
        <v>1530</v>
      </c>
      <c r="F297" s="9" t="s">
        <v>744</v>
      </c>
      <c r="G297" s="11">
        <v>1200</v>
      </c>
      <c r="H297" s="11" t="s">
        <v>42</v>
      </c>
      <c r="I297" s="11" t="s">
        <v>42</v>
      </c>
      <c r="J297" s="11" t="s">
        <v>42</v>
      </c>
      <c r="K297" s="11">
        <v>1000</v>
      </c>
      <c r="L297" s="11">
        <v>2200</v>
      </c>
      <c r="M297" s="9" t="s">
        <v>3506</v>
      </c>
    </row>
    <row r="298" spans="1:13" ht="20.100000000000001" customHeight="1" x14ac:dyDescent="0.2">
      <c r="A298" s="9" t="s">
        <v>3214</v>
      </c>
      <c r="B298" s="9">
        <v>1294</v>
      </c>
      <c r="C298" s="9">
        <v>1128327937</v>
      </c>
      <c r="D298" s="9" t="s">
        <v>3519</v>
      </c>
      <c r="E298" s="9" t="s">
        <v>3215</v>
      </c>
      <c r="F298" s="9" t="s">
        <v>431</v>
      </c>
      <c r="G298" s="11">
        <v>4000</v>
      </c>
      <c r="H298" s="11" t="s">
        <v>42</v>
      </c>
      <c r="I298" s="11" t="s">
        <v>42</v>
      </c>
      <c r="J298" s="11" t="s">
        <v>42</v>
      </c>
      <c r="K298" s="11">
        <v>0</v>
      </c>
      <c r="L298" s="11">
        <v>4000</v>
      </c>
      <c r="M298" s="9" t="s">
        <v>103</v>
      </c>
    </row>
    <row r="299" spans="1:13" ht="20.100000000000001" customHeight="1" x14ac:dyDescent="0.2">
      <c r="A299" s="9">
        <f>ROW()-3</f>
        <v>296</v>
      </c>
      <c r="B299" s="9">
        <v>1295</v>
      </c>
      <c r="C299" s="9">
        <v>2534441148</v>
      </c>
      <c r="D299" s="9" t="s">
        <v>3519</v>
      </c>
      <c r="E299" s="9" t="s">
        <v>1536</v>
      </c>
      <c r="F299" s="9" t="s">
        <v>154</v>
      </c>
      <c r="G299" s="11">
        <v>7650</v>
      </c>
      <c r="H299" s="11">
        <v>0</v>
      </c>
      <c r="I299" s="11">
        <v>0</v>
      </c>
      <c r="J299" s="11">
        <v>0</v>
      </c>
      <c r="K299" s="11">
        <v>4350</v>
      </c>
      <c r="L299" s="11">
        <v>12000</v>
      </c>
      <c r="M299" s="9" t="s">
        <v>103</v>
      </c>
    </row>
    <row r="300" spans="1:13" ht="20.100000000000001" customHeight="1" x14ac:dyDescent="0.2">
      <c r="A300" s="9" t="s">
        <v>3220</v>
      </c>
      <c r="B300" s="9">
        <v>1296</v>
      </c>
      <c r="C300" s="9">
        <v>1112293145</v>
      </c>
      <c r="D300" s="9"/>
      <c r="E300" s="9" t="s">
        <v>3221</v>
      </c>
      <c r="F300" s="9" t="s">
        <v>431</v>
      </c>
      <c r="G300" s="11">
        <v>4000</v>
      </c>
      <c r="H300" s="11" t="s">
        <v>42</v>
      </c>
      <c r="I300" s="11" t="s">
        <v>42</v>
      </c>
      <c r="J300" s="11" t="s">
        <v>42</v>
      </c>
      <c r="K300" s="11" t="s">
        <v>42</v>
      </c>
      <c r="L300" s="11">
        <v>4000</v>
      </c>
      <c r="M300" s="9" t="s">
        <v>103</v>
      </c>
    </row>
    <row r="301" spans="1:13" ht="20.100000000000001" customHeight="1" x14ac:dyDescent="0.2">
      <c r="A301" s="9" t="s">
        <v>3226</v>
      </c>
      <c r="B301" s="9">
        <v>1297</v>
      </c>
      <c r="C301" s="9">
        <v>1123786079</v>
      </c>
      <c r="D301" s="9" t="s">
        <v>3519</v>
      </c>
      <c r="E301" s="9" t="s">
        <v>3227</v>
      </c>
      <c r="F301" s="9" t="s">
        <v>306</v>
      </c>
      <c r="G301" s="11">
        <v>4000</v>
      </c>
      <c r="H301" s="11" t="s">
        <v>42</v>
      </c>
      <c r="I301" s="11" t="s">
        <v>42</v>
      </c>
      <c r="J301" s="11" t="s">
        <v>42</v>
      </c>
      <c r="K301" s="11" t="s">
        <v>42</v>
      </c>
      <c r="L301" s="11">
        <v>4000</v>
      </c>
      <c r="M301" s="9" t="s">
        <v>3506</v>
      </c>
    </row>
    <row r="302" spans="1:13" ht="20.100000000000001" customHeight="1" x14ac:dyDescent="0.2">
      <c r="A302" s="9">
        <f>ROW()-3</f>
        <v>299</v>
      </c>
      <c r="B302" s="9">
        <v>1298</v>
      </c>
      <c r="C302" s="9">
        <v>1088653322</v>
      </c>
      <c r="D302" s="9" t="s">
        <v>3519</v>
      </c>
      <c r="E302" s="9" t="s">
        <v>1544</v>
      </c>
      <c r="F302" s="9" t="s">
        <v>45</v>
      </c>
      <c r="G302" s="11">
        <v>4000</v>
      </c>
      <c r="H302" s="11" t="s">
        <v>42</v>
      </c>
      <c r="I302" s="11" t="s">
        <v>42</v>
      </c>
      <c r="J302" s="11" t="s">
        <v>42</v>
      </c>
      <c r="K302" s="11" t="s">
        <v>42</v>
      </c>
      <c r="L302" s="11">
        <v>4000</v>
      </c>
      <c r="M302" s="9" t="s">
        <v>65</v>
      </c>
    </row>
    <row r="303" spans="1:13" ht="20.100000000000001" customHeight="1" x14ac:dyDescent="0.2">
      <c r="A303" s="9">
        <f>ROW()-3</f>
        <v>300</v>
      </c>
      <c r="B303" s="9">
        <v>1299</v>
      </c>
      <c r="C303" s="9">
        <v>2492074675</v>
      </c>
      <c r="D303" s="9" t="s">
        <v>3519</v>
      </c>
      <c r="E303" s="9" t="s">
        <v>1550</v>
      </c>
      <c r="F303" s="9" t="s">
        <v>66</v>
      </c>
      <c r="G303" s="11">
        <v>1200</v>
      </c>
      <c r="H303" s="11">
        <v>0</v>
      </c>
      <c r="I303" s="11" t="s">
        <v>42</v>
      </c>
      <c r="J303" s="11">
        <v>0</v>
      </c>
      <c r="K303" s="11">
        <v>1600</v>
      </c>
      <c r="L303" s="11">
        <v>2800</v>
      </c>
      <c r="M303" s="9" t="s">
        <v>65</v>
      </c>
    </row>
    <row r="304" spans="1:13" ht="20.100000000000001" customHeight="1" x14ac:dyDescent="0.2">
      <c r="A304" s="9" t="s">
        <v>3232</v>
      </c>
      <c r="B304" s="9">
        <v>1300</v>
      </c>
      <c r="C304" s="9">
        <v>1112481609</v>
      </c>
      <c r="D304" s="9" t="s">
        <v>3519</v>
      </c>
      <c r="E304" s="9" t="s">
        <v>3233</v>
      </c>
      <c r="F304" s="9" t="s">
        <v>466</v>
      </c>
      <c r="G304" s="11">
        <v>4000</v>
      </c>
      <c r="H304" s="11" t="s">
        <v>42</v>
      </c>
      <c r="I304" s="11" t="s">
        <v>42</v>
      </c>
      <c r="J304" s="11" t="s">
        <v>42</v>
      </c>
      <c r="K304" s="11" t="s">
        <v>42</v>
      </c>
      <c r="L304" s="11">
        <v>4000</v>
      </c>
      <c r="M304" s="9" t="s">
        <v>471</v>
      </c>
    </row>
    <row r="305" spans="1:13" ht="20.100000000000001" customHeight="1" x14ac:dyDescent="0.2">
      <c r="A305" s="9" t="s">
        <v>3238</v>
      </c>
      <c r="B305" s="9">
        <v>1301</v>
      </c>
      <c r="C305" s="9">
        <v>1095096119</v>
      </c>
      <c r="D305" s="9" t="s">
        <v>3519</v>
      </c>
      <c r="E305" s="9" t="s">
        <v>3239</v>
      </c>
      <c r="F305" s="9" t="s">
        <v>408</v>
      </c>
      <c r="G305" s="11">
        <v>4000</v>
      </c>
      <c r="H305" s="11" t="s">
        <v>42</v>
      </c>
      <c r="I305" s="11" t="s">
        <v>42</v>
      </c>
      <c r="J305" s="11" t="s">
        <v>42</v>
      </c>
      <c r="K305" s="11" t="s">
        <v>42</v>
      </c>
      <c r="L305" s="11">
        <v>4000</v>
      </c>
      <c r="M305" s="9" t="s">
        <v>65</v>
      </c>
    </row>
    <row r="306" spans="1:13" ht="20.100000000000001" customHeight="1" x14ac:dyDescent="0.2">
      <c r="A306" s="9">
        <f>ROW()-3</f>
        <v>303</v>
      </c>
      <c r="B306" s="9">
        <v>1302</v>
      </c>
      <c r="C306" s="9">
        <v>1030367765</v>
      </c>
      <c r="D306" s="9" t="s">
        <v>3519</v>
      </c>
      <c r="E306" s="9" t="s">
        <v>1557</v>
      </c>
      <c r="F306" s="9" t="s">
        <v>45</v>
      </c>
      <c r="G306" s="11">
        <v>4000</v>
      </c>
      <c r="H306" s="11">
        <v>0</v>
      </c>
      <c r="I306" s="11" t="s">
        <v>42</v>
      </c>
      <c r="J306" s="11" t="s">
        <v>42</v>
      </c>
      <c r="K306" s="11" t="s">
        <v>42</v>
      </c>
      <c r="L306" s="11">
        <v>4000</v>
      </c>
      <c r="M306" s="9" t="s">
        <v>65</v>
      </c>
    </row>
    <row r="307" spans="1:13" ht="20.100000000000001" customHeight="1" x14ac:dyDescent="0.2">
      <c r="A307" s="9" t="s">
        <v>3244</v>
      </c>
      <c r="B307" s="9">
        <v>1303</v>
      </c>
      <c r="C307" s="9">
        <v>1123968206</v>
      </c>
      <c r="D307" s="9"/>
      <c r="E307" s="9" t="s">
        <v>3245</v>
      </c>
      <c r="F307" s="9" t="s">
        <v>466</v>
      </c>
      <c r="G307" s="11">
        <v>4000</v>
      </c>
      <c r="H307" s="11" t="s">
        <v>42</v>
      </c>
      <c r="I307" s="11" t="s">
        <v>42</v>
      </c>
      <c r="J307" s="11" t="s">
        <v>42</v>
      </c>
      <c r="K307" s="11" t="s">
        <v>42</v>
      </c>
      <c r="L307" s="11">
        <v>4000</v>
      </c>
      <c r="M307" s="9" t="s">
        <v>471</v>
      </c>
    </row>
    <row r="308" spans="1:13" ht="20.100000000000001" customHeight="1" x14ac:dyDescent="0.2">
      <c r="A308" s="9">
        <f>ROW()-3</f>
        <v>305</v>
      </c>
      <c r="B308" s="9">
        <v>1304</v>
      </c>
      <c r="C308" s="9">
        <v>1124303833</v>
      </c>
      <c r="D308" s="9" t="s">
        <v>3519</v>
      </c>
      <c r="E308" s="9" t="s">
        <v>1563</v>
      </c>
      <c r="F308" s="9" t="s">
        <v>475</v>
      </c>
      <c r="G308" s="11">
        <v>4000</v>
      </c>
      <c r="H308" s="11">
        <v>0</v>
      </c>
      <c r="I308" s="11">
        <v>0</v>
      </c>
      <c r="J308" s="11">
        <v>0</v>
      </c>
      <c r="K308" s="11">
        <v>500</v>
      </c>
      <c r="L308" s="11">
        <v>4500</v>
      </c>
      <c r="M308" s="9" t="s">
        <v>471</v>
      </c>
    </row>
    <row r="309" spans="1:13" ht="20.100000000000001" customHeight="1" x14ac:dyDescent="0.2">
      <c r="A309" s="9" t="s">
        <v>3250</v>
      </c>
      <c r="B309" s="9">
        <v>1305</v>
      </c>
      <c r="C309" s="9">
        <v>1093773438</v>
      </c>
      <c r="D309" s="9"/>
      <c r="E309" s="9" t="s">
        <v>3251</v>
      </c>
      <c r="F309" s="9" t="s">
        <v>203</v>
      </c>
      <c r="G309" s="11">
        <v>4000</v>
      </c>
      <c r="H309" s="11" t="s">
        <v>42</v>
      </c>
      <c r="I309" s="11" t="s">
        <v>42</v>
      </c>
      <c r="J309" s="11" t="s">
        <v>42</v>
      </c>
      <c r="K309" s="11" t="s">
        <v>42</v>
      </c>
      <c r="L309" s="11">
        <v>4000</v>
      </c>
      <c r="M309" s="9" t="s">
        <v>65</v>
      </c>
    </row>
    <row r="310" spans="1:13" ht="20.100000000000001" customHeight="1" x14ac:dyDescent="0.2">
      <c r="A310" s="9">
        <f>ROW()-3</f>
        <v>307</v>
      </c>
      <c r="B310" s="9">
        <v>1306</v>
      </c>
      <c r="C310" s="9">
        <v>1036881496</v>
      </c>
      <c r="D310" s="9" t="s">
        <v>3519</v>
      </c>
      <c r="E310" s="9" t="s">
        <v>1569</v>
      </c>
      <c r="F310" s="9" t="s">
        <v>45</v>
      </c>
      <c r="G310" s="11">
        <v>4000</v>
      </c>
      <c r="H310" s="11">
        <v>0</v>
      </c>
      <c r="I310" s="11" t="s">
        <v>42</v>
      </c>
      <c r="J310" s="11" t="s">
        <v>42</v>
      </c>
      <c r="K310" s="11" t="s">
        <v>42</v>
      </c>
      <c r="L310" s="11">
        <v>4000</v>
      </c>
      <c r="M310" s="9" t="s">
        <v>65</v>
      </c>
    </row>
    <row r="311" spans="1:13" ht="20.100000000000001" customHeight="1" x14ac:dyDescent="0.2">
      <c r="A311" s="9">
        <f>ROW()-3</f>
        <v>308</v>
      </c>
      <c r="B311" s="9">
        <v>1307</v>
      </c>
      <c r="C311" s="9">
        <v>1030367724</v>
      </c>
      <c r="D311" s="9" t="s">
        <v>3519</v>
      </c>
      <c r="E311" s="9" t="s">
        <v>1575</v>
      </c>
      <c r="F311" s="9" t="s">
        <v>45</v>
      </c>
      <c r="G311" s="11">
        <v>4000</v>
      </c>
      <c r="H311" s="11">
        <v>0</v>
      </c>
      <c r="I311" s="11" t="s">
        <v>42</v>
      </c>
      <c r="J311" s="11" t="s">
        <v>42</v>
      </c>
      <c r="K311" s="11" t="s">
        <v>42</v>
      </c>
      <c r="L311" s="11">
        <v>4000</v>
      </c>
      <c r="M311" s="9" t="s">
        <v>65</v>
      </c>
    </row>
    <row r="312" spans="1:13" ht="20.100000000000001" customHeight="1" x14ac:dyDescent="0.2">
      <c r="A312" s="9">
        <f>ROW()-3</f>
        <v>309</v>
      </c>
      <c r="B312" s="9">
        <v>1308</v>
      </c>
      <c r="C312" s="9">
        <v>1097503104</v>
      </c>
      <c r="D312" s="9" t="s">
        <v>3519</v>
      </c>
      <c r="E312" s="9" t="s">
        <v>1581</v>
      </c>
      <c r="F312" s="9" t="s">
        <v>45</v>
      </c>
      <c r="G312" s="11">
        <v>4000</v>
      </c>
      <c r="H312" s="11">
        <v>0</v>
      </c>
      <c r="I312" s="11" t="s">
        <v>42</v>
      </c>
      <c r="J312" s="11" t="s">
        <v>42</v>
      </c>
      <c r="K312" s="11" t="s">
        <v>42</v>
      </c>
      <c r="L312" s="11">
        <v>4000</v>
      </c>
      <c r="M312" s="9" t="s">
        <v>65</v>
      </c>
    </row>
    <row r="313" spans="1:13" ht="20.100000000000001" customHeight="1" x14ac:dyDescent="0.2">
      <c r="A313" s="9">
        <f>ROW()-3</f>
        <v>310</v>
      </c>
      <c r="B313" s="9">
        <v>1309</v>
      </c>
      <c r="C313" s="9">
        <v>2540728058</v>
      </c>
      <c r="D313" s="9" t="s">
        <v>3519</v>
      </c>
      <c r="E313" s="9" t="s">
        <v>1587</v>
      </c>
      <c r="F313" s="9" t="s">
        <v>578</v>
      </c>
      <c r="G313" s="11">
        <v>1200</v>
      </c>
      <c r="H313" s="11">
        <v>0</v>
      </c>
      <c r="I313" s="11">
        <v>0</v>
      </c>
      <c r="J313" s="11">
        <v>0</v>
      </c>
      <c r="K313" s="11">
        <v>800</v>
      </c>
      <c r="L313" s="11">
        <v>2000</v>
      </c>
      <c r="M313" s="9" t="s">
        <v>443</v>
      </c>
    </row>
    <row r="314" spans="1:13" ht="20.100000000000001" customHeight="1" x14ac:dyDescent="0.2">
      <c r="A314" s="9" t="s">
        <v>3255</v>
      </c>
      <c r="B314" s="9">
        <v>1310</v>
      </c>
      <c r="C314" s="9">
        <v>2483555880</v>
      </c>
      <c r="D314" s="9" t="s">
        <v>3105</v>
      </c>
      <c r="E314" s="9" t="s">
        <v>3256</v>
      </c>
      <c r="F314" s="9" t="s">
        <v>222</v>
      </c>
      <c r="G314" s="11">
        <v>4000</v>
      </c>
      <c r="H314" s="11" t="s">
        <v>42</v>
      </c>
      <c r="I314" s="11" t="s">
        <v>42</v>
      </c>
      <c r="J314" s="11" t="s">
        <v>42</v>
      </c>
      <c r="K314" s="11" t="s">
        <v>42</v>
      </c>
      <c r="L314" s="11">
        <v>4000</v>
      </c>
      <c r="M314" s="9"/>
    </row>
    <row r="315" spans="1:13" ht="20.100000000000001" customHeight="1" x14ac:dyDescent="0.2">
      <c r="A315" s="9">
        <f>ROW()-3</f>
        <v>312</v>
      </c>
      <c r="B315" s="9">
        <v>1311</v>
      </c>
      <c r="C315" s="9">
        <v>2480986641</v>
      </c>
      <c r="D315" s="9" t="s">
        <v>3519</v>
      </c>
      <c r="E315" s="9" t="s">
        <v>1594</v>
      </c>
      <c r="F315" s="9" t="s">
        <v>431</v>
      </c>
      <c r="G315" s="11">
        <v>3000</v>
      </c>
      <c r="H315" s="11">
        <v>0</v>
      </c>
      <c r="I315" s="11" t="s">
        <v>42</v>
      </c>
      <c r="J315" s="11" t="s">
        <v>42</v>
      </c>
      <c r="K315" s="11">
        <v>1000</v>
      </c>
      <c r="L315" s="11">
        <v>4000</v>
      </c>
      <c r="M315" s="9" t="s">
        <v>103</v>
      </c>
    </row>
    <row r="316" spans="1:13" ht="20.100000000000001" customHeight="1" x14ac:dyDescent="0.2">
      <c r="A316" s="9" t="s">
        <v>3262</v>
      </c>
      <c r="B316" s="9">
        <v>1312</v>
      </c>
      <c r="C316" s="9">
        <v>1014165946</v>
      </c>
      <c r="D316" s="9"/>
      <c r="E316" s="9" t="s">
        <v>3263</v>
      </c>
      <c r="F316" s="9" t="s">
        <v>466</v>
      </c>
      <c r="G316" s="11">
        <v>4000</v>
      </c>
      <c r="H316" s="11" t="s">
        <v>42</v>
      </c>
      <c r="I316" s="11" t="s">
        <v>42</v>
      </c>
      <c r="J316" s="11" t="s">
        <v>42</v>
      </c>
      <c r="K316" s="11" t="s">
        <v>42</v>
      </c>
      <c r="L316" s="11">
        <v>4000</v>
      </c>
      <c r="M316" s="9" t="s">
        <v>471</v>
      </c>
    </row>
    <row r="317" spans="1:13" ht="20.100000000000001" customHeight="1" x14ac:dyDescent="0.2">
      <c r="A317" s="9" t="s">
        <v>3266</v>
      </c>
      <c r="B317" s="9">
        <v>1313</v>
      </c>
      <c r="C317" s="9">
        <v>1117945699</v>
      </c>
      <c r="D317" s="9"/>
      <c r="E317" s="9" t="s">
        <v>3267</v>
      </c>
      <c r="F317" s="9" t="s">
        <v>466</v>
      </c>
      <c r="G317" s="11">
        <v>4000</v>
      </c>
      <c r="H317" s="11" t="s">
        <v>42</v>
      </c>
      <c r="I317" s="11" t="s">
        <v>42</v>
      </c>
      <c r="J317" s="11" t="s">
        <v>42</v>
      </c>
      <c r="K317" s="11" t="s">
        <v>42</v>
      </c>
      <c r="L317" s="11">
        <v>4000</v>
      </c>
      <c r="M317" s="9" t="s">
        <v>471</v>
      </c>
    </row>
    <row r="318" spans="1:13" ht="20.100000000000001" customHeight="1" x14ac:dyDescent="0.2">
      <c r="A318" s="9" t="s">
        <v>3270</v>
      </c>
      <c r="B318" s="9">
        <v>1314</v>
      </c>
      <c r="C318" s="9">
        <v>1114290362</v>
      </c>
      <c r="D318" s="9" t="s">
        <v>3519</v>
      </c>
      <c r="E318" s="9" t="s">
        <v>3271</v>
      </c>
      <c r="F318" s="9" t="s">
        <v>166</v>
      </c>
      <c r="G318" s="11">
        <v>4000</v>
      </c>
      <c r="H318" s="11" t="s">
        <v>42</v>
      </c>
      <c r="I318" s="11" t="s">
        <v>42</v>
      </c>
      <c r="J318" s="11" t="s">
        <v>42</v>
      </c>
      <c r="K318" s="11" t="s">
        <v>42</v>
      </c>
      <c r="L318" s="11">
        <v>4000</v>
      </c>
      <c r="M318" s="9" t="s">
        <v>65</v>
      </c>
    </row>
    <row r="319" spans="1:13" ht="20.100000000000001" customHeight="1" x14ac:dyDescent="0.2">
      <c r="A319" s="9">
        <f>ROW()-3</f>
        <v>316</v>
      </c>
      <c r="B319" s="9">
        <v>1315</v>
      </c>
      <c r="C319" s="9">
        <v>2443570425</v>
      </c>
      <c r="D319" s="9" t="s">
        <v>3519</v>
      </c>
      <c r="E319" s="9" t="s">
        <v>1601</v>
      </c>
      <c r="F319" s="9" t="s">
        <v>222</v>
      </c>
      <c r="G319" s="11">
        <v>2000</v>
      </c>
      <c r="H319" s="11">
        <v>0</v>
      </c>
      <c r="I319" s="11" t="s">
        <v>42</v>
      </c>
      <c r="J319" s="11" t="s">
        <v>42</v>
      </c>
      <c r="K319" s="11">
        <v>1500</v>
      </c>
      <c r="L319" s="11">
        <v>3500</v>
      </c>
      <c r="M319" s="9" t="s">
        <v>567</v>
      </c>
    </row>
    <row r="320" spans="1:13" ht="20.100000000000001" customHeight="1" x14ac:dyDescent="0.2">
      <c r="A320" s="9">
        <f>ROW()-3</f>
        <v>317</v>
      </c>
      <c r="B320" s="9">
        <v>1316</v>
      </c>
      <c r="C320" s="9">
        <v>1086376421</v>
      </c>
      <c r="D320" s="9" t="s">
        <v>3519</v>
      </c>
      <c r="E320" s="9" t="s">
        <v>1608</v>
      </c>
      <c r="F320" s="9" t="s">
        <v>178</v>
      </c>
      <c r="G320" s="11">
        <v>4000</v>
      </c>
      <c r="H320" s="11">
        <v>0</v>
      </c>
      <c r="I320" s="11" t="s">
        <v>42</v>
      </c>
      <c r="J320" s="11">
        <v>0</v>
      </c>
      <c r="K320" s="11">
        <v>1500</v>
      </c>
      <c r="L320" s="11">
        <v>5500</v>
      </c>
      <c r="M320" s="9" t="s">
        <v>103</v>
      </c>
    </row>
    <row r="321" spans="1:13" ht="20.100000000000001" customHeight="1" x14ac:dyDescent="0.2">
      <c r="A321" s="9" t="s">
        <v>3276</v>
      </c>
      <c r="B321" s="9">
        <v>1317</v>
      </c>
      <c r="C321" s="9">
        <v>2522723804</v>
      </c>
      <c r="D321" s="9"/>
      <c r="E321" s="9" t="s">
        <v>3277</v>
      </c>
      <c r="F321" s="9" t="s">
        <v>899</v>
      </c>
      <c r="G321" s="11" t="s">
        <v>42</v>
      </c>
      <c r="H321" s="11" t="s">
        <v>42</v>
      </c>
      <c r="I321" s="11" t="s">
        <v>42</v>
      </c>
      <c r="J321" s="11" t="s">
        <v>42</v>
      </c>
      <c r="K321" s="11" t="s">
        <v>42</v>
      </c>
      <c r="L321" s="11">
        <v>0</v>
      </c>
      <c r="M321" s="9"/>
    </row>
    <row r="322" spans="1:13" ht="20.100000000000001" customHeight="1" x14ac:dyDescent="0.2">
      <c r="A322" s="9" t="s">
        <v>3281</v>
      </c>
      <c r="B322" s="9">
        <v>1318</v>
      </c>
      <c r="C322" s="9">
        <v>2503815330</v>
      </c>
      <c r="D322" s="9" t="s">
        <v>3519</v>
      </c>
      <c r="E322" s="9" t="s">
        <v>3282</v>
      </c>
      <c r="F322" s="9" t="s">
        <v>744</v>
      </c>
      <c r="G322" s="11">
        <v>1200</v>
      </c>
      <c r="H322" s="11" t="s">
        <v>42</v>
      </c>
      <c r="I322" s="11" t="s">
        <v>42</v>
      </c>
      <c r="J322" s="11" t="s">
        <v>42</v>
      </c>
      <c r="K322" s="11">
        <v>400</v>
      </c>
      <c r="L322" s="11">
        <v>1600</v>
      </c>
      <c r="M322" s="9" t="s">
        <v>103</v>
      </c>
    </row>
    <row r="323" spans="1:13" ht="20.100000000000001" customHeight="1" x14ac:dyDescent="0.2">
      <c r="A323" s="9">
        <f>ROW()-3</f>
        <v>320</v>
      </c>
      <c r="B323" s="9">
        <v>1319</v>
      </c>
      <c r="C323" s="9">
        <v>2532687825</v>
      </c>
      <c r="D323" s="9" t="s">
        <v>3519</v>
      </c>
      <c r="E323" s="9" t="s">
        <v>1615</v>
      </c>
      <c r="F323" s="9" t="s">
        <v>431</v>
      </c>
      <c r="G323" s="11">
        <v>1200</v>
      </c>
      <c r="H323" s="11">
        <v>0</v>
      </c>
      <c r="I323" s="11" t="s">
        <v>42</v>
      </c>
      <c r="J323" s="11" t="s">
        <v>42</v>
      </c>
      <c r="K323" s="11">
        <v>600</v>
      </c>
      <c r="L323" s="11">
        <v>1800</v>
      </c>
      <c r="M323" s="9" t="s">
        <v>103</v>
      </c>
    </row>
    <row r="324" spans="1:13" ht="20.100000000000001" customHeight="1" x14ac:dyDescent="0.2">
      <c r="A324" s="9">
        <f>ROW()-3</f>
        <v>321</v>
      </c>
      <c r="B324" s="9">
        <v>1320</v>
      </c>
      <c r="C324" s="9">
        <v>2532145436</v>
      </c>
      <c r="D324" s="9" t="s">
        <v>3519</v>
      </c>
      <c r="E324" s="9" t="s">
        <v>1622</v>
      </c>
      <c r="F324" s="9" t="s">
        <v>431</v>
      </c>
      <c r="G324" s="11">
        <v>1200</v>
      </c>
      <c r="H324" s="11">
        <v>0</v>
      </c>
      <c r="I324" s="11" t="s">
        <v>42</v>
      </c>
      <c r="J324" s="11" t="s">
        <v>42</v>
      </c>
      <c r="K324" s="11">
        <v>600</v>
      </c>
      <c r="L324" s="11">
        <v>1800</v>
      </c>
      <c r="M324" s="9" t="s">
        <v>103</v>
      </c>
    </row>
    <row r="325" spans="1:13" ht="20.100000000000001" customHeight="1" x14ac:dyDescent="0.2">
      <c r="A325" s="9" t="s">
        <v>3288</v>
      </c>
      <c r="B325" s="9">
        <v>1321</v>
      </c>
      <c r="C325" s="9">
        <v>1073486779</v>
      </c>
      <c r="D325" s="9"/>
      <c r="E325" s="9" t="s">
        <v>3289</v>
      </c>
      <c r="F325" s="9" t="s">
        <v>203</v>
      </c>
      <c r="G325" s="11">
        <v>4000</v>
      </c>
      <c r="H325" s="11" t="s">
        <v>42</v>
      </c>
      <c r="I325" s="11" t="s">
        <v>42</v>
      </c>
      <c r="J325" s="11" t="s">
        <v>42</v>
      </c>
      <c r="K325" s="11" t="s">
        <v>42</v>
      </c>
      <c r="L325" s="11">
        <v>4000</v>
      </c>
      <c r="M325" s="9" t="s">
        <v>65</v>
      </c>
    </row>
    <row r="326" spans="1:13" ht="20.100000000000001" customHeight="1" x14ac:dyDescent="0.2">
      <c r="A326" s="9">
        <f t="shared" ref="A326:A331" si="11">ROW()-3</f>
        <v>323</v>
      </c>
      <c r="B326" s="9">
        <v>1322</v>
      </c>
      <c r="C326" s="9">
        <v>1101186086</v>
      </c>
      <c r="D326" s="9" t="s">
        <v>3519</v>
      </c>
      <c r="E326" s="9" t="s">
        <v>1628</v>
      </c>
      <c r="F326" s="9" t="s">
        <v>203</v>
      </c>
      <c r="G326" s="11">
        <v>4000</v>
      </c>
      <c r="H326" s="11">
        <v>0</v>
      </c>
      <c r="I326" s="11">
        <v>0</v>
      </c>
      <c r="J326" s="11">
        <v>0</v>
      </c>
      <c r="K326" s="11">
        <v>300</v>
      </c>
      <c r="L326" s="11">
        <v>4300</v>
      </c>
      <c r="M326" s="9" t="s">
        <v>65</v>
      </c>
    </row>
    <row r="327" spans="1:13" ht="20.100000000000001" customHeight="1" x14ac:dyDescent="0.2">
      <c r="A327" s="9">
        <f t="shared" si="11"/>
        <v>324</v>
      </c>
      <c r="B327" s="9">
        <v>1323</v>
      </c>
      <c r="C327" s="9">
        <v>2538656543</v>
      </c>
      <c r="D327" s="9" t="s">
        <v>3519</v>
      </c>
      <c r="E327" s="9" t="s">
        <v>1634</v>
      </c>
      <c r="F327" s="9" t="s">
        <v>107</v>
      </c>
      <c r="G327" s="11">
        <v>1200</v>
      </c>
      <c r="H327" s="11" t="s">
        <v>42</v>
      </c>
      <c r="I327" s="11" t="s">
        <v>42</v>
      </c>
      <c r="J327" s="11" t="s">
        <v>42</v>
      </c>
      <c r="K327" s="11">
        <v>1300</v>
      </c>
      <c r="L327" s="11">
        <v>2500</v>
      </c>
      <c r="M327" s="9" t="s">
        <v>3506</v>
      </c>
    </row>
    <row r="328" spans="1:13" ht="20.100000000000001" customHeight="1" x14ac:dyDescent="0.2">
      <c r="A328" s="9">
        <f t="shared" si="11"/>
        <v>325</v>
      </c>
      <c r="B328" s="9">
        <v>1324</v>
      </c>
      <c r="C328" s="9">
        <v>2498911995</v>
      </c>
      <c r="D328" s="9" t="s">
        <v>3519</v>
      </c>
      <c r="E328" s="9" t="s">
        <v>1638</v>
      </c>
      <c r="F328" s="9" t="s">
        <v>222</v>
      </c>
      <c r="G328" s="11">
        <v>1200</v>
      </c>
      <c r="H328" s="11">
        <v>1125</v>
      </c>
      <c r="I328" s="11">
        <v>500</v>
      </c>
      <c r="J328" s="11" t="s">
        <v>42</v>
      </c>
      <c r="K328" s="11">
        <v>1675</v>
      </c>
      <c r="L328" s="11">
        <v>4500</v>
      </c>
      <c r="M328" s="9" t="s">
        <v>903</v>
      </c>
    </row>
    <row r="329" spans="1:13" ht="20.100000000000001" customHeight="1" x14ac:dyDescent="0.2">
      <c r="A329" s="9">
        <f t="shared" si="11"/>
        <v>326</v>
      </c>
      <c r="B329" s="9">
        <v>1325</v>
      </c>
      <c r="C329" s="9">
        <v>2536753755</v>
      </c>
      <c r="D329" s="9" t="s">
        <v>3519</v>
      </c>
      <c r="E329" s="9" t="s">
        <v>1644</v>
      </c>
      <c r="F329" s="9" t="s">
        <v>154</v>
      </c>
      <c r="G329" s="11">
        <v>1200</v>
      </c>
      <c r="H329" s="11">
        <v>0</v>
      </c>
      <c r="I329" s="11" t="s">
        <v>42</v>
      </c>
      <c r="J329" s="11" t="s">
        <v>42</v>
      </c>
      <c r="K329" s="11">
        <v>600</v>
      </c>
      <c r="L329" s="11">
        <v>1800</v>
      </c>
      <c r="M329" s="9" t="s">
        <v>103</v>
      </c>
    </row>
    <row r="330" spans="1:13" ht="20.100000000000001" customHeight="1" x14ac:dyDescent="0.2">
      <c r="A330" s="9">
        <f t="shared" si="11"/>
        <v>327</v>
      </c>
      <c r="B330" s="9">
        <v>1326</v>
      </c>
      <c r="C330" s="9">
        <v>2536662022</v>
      </c>
      <c r="D330" s="9" t="s">
        <v>3519</v>
      </c>
      <c r="E330" s="9" t="s">
        <v>1650</v>
      </c>
      <c r="F330" s="9" t="s">
        <v>431</v>
      </c>
      <c r="G330" s="11">
        <v>1200</v>
      </c>
      <c r="H330" s="11">
        <v>0</v>
      </c>
      <c r="I330" s="11" t="s">
        <v>42</v>
      </c>
      <c r="J330" s="11" t="s">
        <v>42</v>
      </c>
      <c r="K330" s="11">
        <v>600</v>
      </c>
      <c r="L330" s="11">
        <v>1800</v>
      </c>
      <c r="M330" s="9" t="s">
        <v>103</v>
      </c>
    </row>
    <row r="331" spans="1:13" ht="20.100000000000001" customHeight="1" x14ac:dyDescent="0.2">
      <c r="A331" s="9">
        <f t="shared" si="11"/>
        <v>328</v>
      </c>
      <c r="B331" s="9">
        <v>1327</v>
      </c>
      <c r="C331" s="9">
        <v>2528275064</v>
      </c>
      <c r="D331" s="9" t="s">
        <v>3519</v>
      </c>
      <c r="E331" s="9" t="s">
        <v>1657</v>
      </c>
      <c r="F331" s="9" t="s">
        <v>431</v>
      </c>
      <c r="G331" s="11">
        <v>1200</v>
      </c>
      <c r="H331" s="11">
        <v>0</v>
      </c>
      <c r="I331" s="11" t="s">
        <v>42</v>
      </c>
      <c r="J331" s="11" t="s">
        <v>42</v>
      </c>
      <c r="K331" s="11">
        <v>600</v>
      </c>
      <c r="L331" s="11">
        <v>1800</v>
      </c>
      <c r="M331" s="9" t="s">
        <v>103</v>
      </c>
    </row>
    <row r="332" spans="1:13" ht="20.100000000000001" customHeight="1" x14ac:dyDescent="0.2">
      <c r="A332" s="9" t="s">
        <v>3293</v>
      </c>
      <c r="B332" s="9">
        <v>1328</v>
      </c>
      <c r="C332" s="9">
        <v>2527992065</v>
      </c>
      <c r="D332" s="9"/>
      <c r="E332" s="9" t="s">
        <v>3294</v>
      </c>
      <c r="F332" s="9" t="s">
        <v>431</v>
      </c>
      <c r="G332" s="11">
        <v>1200</v>
      </c>
      <c r="H332" s="11" t="s">
        <v>42</v>
      </c>
      <c r="I332" s="11" t="s">
        <v>42</v>
      </c>
      <c r="J332" s="11" t="s">
        <v>42</v>
      </c>
      <c r="K332" s="11">
        <v>400</v>
      </c>
      <c r="L332" s="11">
        <v>1600</v>
      </c>
      <c r="M332" s="9"/>
    </row>
    <row r="333" spans="1:13" ht="20.100000000000001" customHeight="1" x14ac:dyDescent="0.2">
      <c r="A333" s="9">
        <f t="shared" ref="A333:A341" si="12">ROW()-3</f>
        <v>330</v>
      </c>
      <c r="B333" s="9">
        <v>1329</v>
      </c>
      <c r="C333" s="9">
        <v>2527261669</v>
      </c>
      <c r="D333" s="9" t="s">
        <v>3519</v>
      </c>
      <c r="E333" s="9" t="s">
        <v>1664</v>
      </c>
      <c r="F333" s="9" t="s">
        <v>431</v>
      </c>
      <c r="G333" s="11">
        <v>1200</v>
      </c>
      <c r="H333" s="11" t="s">
        <v>42</v>
      </c>
      <c r="I333" s="11" t="s">
        <v>42</v>
      </c>
      <c r="J333" s="11" t="s">
        <v>42</v>
      </c>
      <c r="K333" s="11">
        <v>650</v>
      </c>
      <c r="L333" s="11">
        <v>1850</v>
      </c>
      <c r="M333" s="9" t="s">
        <v>103</v>
      </c>
    </row>
    <row r="334" spans="1:13" ht="20.100000000000001" customHeight="1" x14ac:dyDescent="0.2">
      <c r="A334" s="9">
        <f t="shared" si="12"/>
        <v>331</v>
      </c>
      <c r="B334" s="9">
        <v>1330</v>
      </c>
      <c r="C334" s="9">
        <v>2525705451</v>
      </c>
      <c r="D334" s="9" t="s">
        <v>3519</v>
      </c>
      <c r="E334" s="9" t="s">
        <v>1670</v>
      </c>
      <c r="F334" s="9" t="s">
        <v>292</v>
      </c>
      <c r="G334" s="11">
        <v>1200</v>
      </c>
      <c r="H334" s="11">
        <v>0</v>
      </c>
      <c r="I334" s="11" t="s">
        <v>42</v>
      </c>
      <c r="J334" s="11" t="s">
        <v>42</v>
      </c>
      <c r="K334" s="11">
        <v>600</v>
      </c>
      <c r="L334" s="11">
        <v>1800</v>
      </c>
      <c r="M334" s="9" t="s">
        <v>103</v>
      </c>
    </row>
    <row r="335" spans="1:13" ht="20.100000000000001" customHeight="1" x14ac:dyDescent="0.2">
      <c r="A335" s="9">
        <f t="shared" si="12"/>
        <v>332</v>
      </c>
      <c r="B335" s="9">
        <v>1331</v>
      </c>
      <c r="C335" s="9">
        <v>1044099990</v>
      </c>
      <c r="D335" s="9" t="s">
        <v>3519</v>
      </c>
      <c r="E335" s="9" t="s">
        <v>1677</v>
      </c>
      <c r="F335" s="9" t="s">
        <v>178</v>
      </c>
      <c r="G335" s="11">
        <v>4000</v>
      </c>
      <c r="H335" s="11">
        <v>0</v>
      </c>
      <c r="I335" s="11" t="s">
        <v>42</v>
      </c>
      <c r="J335" s="11">
        <v>0</v>
      </c>
      <c r="K335" s="11">
        <v>2500</v>
      </c>
      <c r="L335" s="11">
        <v>6500</v>
      </c>
      <c r="M335" s="9" t="s">
        <v>788</v>
      </c>
    </row>
    <row r="336" spans="1:13" ht="20.100000000000001" customHeight="1" x14ac:dyDescent="0.2">
      <c r="A336" s="9">
        <f t="shared" si="12"/>
        <v>333</v>
      </c>
      <c r="B336" s="9">
        <v>1332</v>
      </c>
      <c r="C336" s="9">
        <v>1121485021</v>
      </c>
      <c r="D336" s="9" t="s">
        <v>3519</v>
      </c>
      <c r="E336" s="9" t="s">
        <v>1684</v>
      </c>
      <c r="F336" s="9" t="s">
        <v>178</v>
      </c>
      <c r="G336" s="11">
        <v>4000</v>
      </c>
      <c r="H336" s="11">
        <v>0</v>
      </c>
      <c r="I336" s="11" t="s">
        <v>42</v>
      </c>
      <c r="J336" s="11">
        <v>0</v>
      </c>
      <c r="K336" s="11">
        <v>500</v>
      </c>
      <c r="L336" s="11">
        <v>4500</v>
      </c>
      <c r="M336" s="9" t="s">
        <v>103</v>
      </c>
    </row>
    <row r="337" spans="1:13" ht="20.100000000000001" customHeight="1" x14ac:dyDescent="0.2">
      <c r="A337" s="9">
        <f t="shared" si="12"/>
        <v>334</v>
      </c>
      <c r="B337" s="9">
        <v>1333</v>
      </c>
      <c r="C337" s="9">
        <v>1062387806</v>
      </c>
      <c r="D337" s="9" t="s">
        <v>3519</v>
      </c>
      <c r="E337" s="9" t="s">
        <v>1691</v>
      </c>
      <c r="F337" s="9" t="s">
        <v>178</v>
      </c>
      <c r="G337" s="11">
        <v>4000</v>
      </c>
      <c r="H337" s="11">
        <v>0</v>
      </c>
      <c r="I337" s="11" t="s">
        <v>42</v>
      </c>
      <c r="J337" s="11">
        <v>0</v>
      </c>
      <c r="K337" s="11">
        <v>500</v>
      </c>
      <c r="L337" s="11">
        <v>4500</v>
      </c>
      <c r="M337" s="9" t="s">
        <v>103</v>
      </c>
    </row>
    <row r="338" spans="1:13" ht="20.100000000000001" customHeight="1" x14ac:dyDescent="0.2">
      <c r="A338" s="9">
        <f t="shared" si="12"/>
        <v>335</v>
      </c>
      <c r="B338" s="9">
        <v>1334</v>
      </c>
      <c r="C338" s="9">
        <v>1104998362</v>
      </c>
      <c r="D338" s="9" t="s">
        <v>3519</v>
      </c>
      <c r="E338" s="9" t="s">
        <v>1698</v>
      </c>
      <c r="F338" s="9" t="s">
        <v>178</v>
      </c>
      <c r="G338" s="11">
        <v>4000</v>
      </c>
      <c r="H338" s="11">
        <v>0</v>
      </c>
      <c r="I338" s="11" t="s">
        <v>42</v>
      </c>
      <c r="J338" s="11">
        <v>0</v>
      </c>
      <c r="K338" s="11">
        <v>1000</v>
      </c>
      <c r="L338" s="11">
        <v>5000</v>
      </c>
      <c r="M338" s="9" t="s">
        <v>103</v>
      </c>
    </row>
    <row r="339" spans="1:13" ht="20.100000000000001" customHeight="1" x14ac:dyDescent="0.2">
      <c r="A339" s="9">
        <f t="shared" si="12"/>
        <v>336</v>
      </c>
      <c r="B339" s="9">
        <v>1335</v>
      </c>
      <c r="C339" s="9">
        <v>1125186740</v>
      </c>
      <c r="D339" s="9" t="s">
        <v>3519</v>
      </c>
      <c r="E339" s="9" t="s">
        <v>1705</v>
      </c>
      <c r="F339" s="9" t="s">
        <v>466</v>
      </c>
      <c r="G339" s="11">
        <v>4000</v>
      </c>
      <c r="H339" s="11">
        <v>0</v>
      </c>
      <c r="I339" s="11">
        <v>0</v>
      </c>
      <c r="J339" s="11">
        <v>0</v>
      </c>
      <c r="K339" s="11">
        <v>500</v>
      </c>
      <c r="L339" s="11">
        <v>4500</v>
      </c>
      <c r="M339" s="9" t="s">
        <v>471</v>
      </c>
    </row>
    <row r="340" spans="1:13" ht="20.100000000000001" customHeight="1" x14ac:dyDescent="0.2">
      <c r="A340" s="9">
        <f t="shared" si="12"/>
        <v>337</v>
      </c>
      <c r="B340" s="9">
        <v>1336</v>
      </c>
      <c r="C340" s="9">
        <v>1123444588</v>
      </c>
      <c r="D340" s="9" t="s">
        <v>3519</v>
      </c>
      <c r="E340" s="9" t="s">
        <v>1711</v>
      </c>
      <c r="F340" s="9" t="s">
        <v>466</v>
      </c>
      <c r="G340" s="11">
        <v>4000</v>
      </c>
      <c r="H340" s="11">
        <v>0</v>
      </c>
      <c r="I340" s="11">
        <v>0</v>
      </c>
      <c r="J340" s="11">
        <v>0</v>
      </c>
      <c r="K340" s="11">
        <v>500</v>
      </c>
      <c r="L340" s="11">
        <v>4500</v>
      </c>
      <c r="M340" s="9" t="s">
        <v>471</v>
      </c>
    </row>
    <row r="341" spans="1:13" ht="20.100000000000001" customHeight="1" x14ac:dyDescent="0.2">
      <c r="A341" s="9">
        <f t="shared" si="12"/>
        <v>338</v>
      </c>
      <c r="B341" s="9">
        <v>1337</v>
      </c>
      <c r="C341" s="9">
        <v>2344876285</v>
      </c>
      <c r="D341" s="9" t="s">
        <v>3519</v>
      </c>
      <c r="E341" s="9" t="s">
        <v>1717</v>
      </c>
      <c r="F341" s="9" t="s">
        <v>222</v>
      </c>
      <c r="G341" s="11">
        <v>1200</v>
      </c>
      <c r="H341" s="11">
        <v>0</v>
      </c>
      <c r="I341" s="11" t="s">
        <v>42</v>
      </c>
      <c r="J341" s="11" t="s">
        <v>42</v>
      </c>
      <c r="K341" s="11">
        <v>2800</v>
      </c>
      <c r="L341" s="11">
        <v>4000</v>
      </c>
      <c r="M341" s="9" t="s">
        <v>567</v>
      </c>
    </row>
    <row r="342" spans="1:13" ht="20.100000000000001" customHeight="1" x14ac:dyDescent="0.2">
      <c r="A342" s="9" t="s">
        <v>3298</v>
      </c>
      <c r="B342" s="9">
        <v>1338</v>
      </c>
      <c r="C342" s="9">
        <v>2510562966</v>
      </c>
      <c r="D342" s="9" t="s">
        <v>3519</v>
      </c>
      <c r="E342" s="9" t="s">
        <v>3299</v>
      </c>
      <c r="F342" s="9" t="s">
        <v>431</v>
      </c>
      <c r="G342" s="11">
        <v>1200</v>
      </c>
      <c r="H342" s="11" t="s">
        <v>42</v>
      </c>
      <c r="I342" s="11" t="s">
        <v>42</v>
      </c>
      <c r="J342" s="11" t="s">
        <v>42</v>
      </c>
      <c r="K342" s="11">
        <v>400</v>
      </c>
      <c r="L342" s="11">
        <v>1600</v>
      </c>
      <c r="M342" s="9" t="s">
        <v>788</v>
      </c>
    </row>
    <row r="343" spans="1:13" ht="20.100000000000001" customHeight="1" x14ac:dyDescent="0.2">
      <c r="A343" s="9">
        <f>ROW()-3</f>
        <v>340</v>
      </c>
      <c r="B343" s="9">
        <v>1339</v>
      </c>
      <c r="C343" s="9">
        <v>2518092552</v>
      </c>
      <c r="D343" s="9" t="s">
        <v>3520</v>
      </c>
      <c r="E343" s="9" t="s">
        <v>1723</v>
      </c>
      <c r="F343" s="9" t="s">
        <v>899</v>
      </c>
      <c r="G343" s="11">
        <v>1200</v>
      </c>
      <c r="H343" s="11" t="s">
        <v>42</v>
      </c>
      <c r="I343" s="11" t="s">
        <v>42</v>
      </c>
      <c r="J343" s="11" t="s">
        <v>42</v>
      </c>
      <c r="K343" s="11">
        <v>800</v>
      </c>
      <c r="L343" s="11">
        <v>2000</v>
      </c>
      <c r="M343" s="9" t="s">
        <v>788</v>
      </c>
    </row>
    <row r="344" spans="1:13" ht="20.100000000000001" customHeight="1" x14ac:dyDescent="0.2">
      <c r="A344" s="9">
        <f>ROW()-3</f>
        <v>341</v>
      </c>
      <c r="B344" s="9">
        <v>1340</v>
      </c>
      <c r="C344" s="9">
        <v>2538656550</v>
      </c>
      <c r="D344" s="9" t="s">
        <v>3519</v>
      </c>
      <c r="E344" s="9" t="s">
        <v>1729</v>
      </c>
      <c r="F344" s="9" t="s">
        <v>135</v>
      </c>
      <c r="G344" s="11">
        <v>1200</v>
      </c>
      <c r="H344" s="11" t="s">
        <v>42</v>
      </c>
      <c r="I344" s="11" t="s">
        <v>42</v>
      </c>
      <c r="J344" s="11" t="s">
        <v>42</v>
      </c>
      <c r="K344" s="11">
        <v>1600</v>
      </c>
      <c r="L344" s="11">
        <v>2800</v>
      </c>
      <c r="M344" s="9" t="s">
        <v>3506</v>
      </c>
    </row>
    <row r="345" spans="1:13" ht="20.100000000000001" customHeight="1" x14ac:dyDescent="0.2">
      <c r="A345" s="9" t="s">
        <v>3302</v>
      </c>
      <c r="B345" s="9">
        <v>1341</v>
      </c>
      <c r="C345" s="9">
        <v>2508652456</v>
      </c>
      <c r="D345" s="9"/>
      <c r="E345" s="9" t="s">
        <v>3303</v>
      </c>
      <c r="F345" s="9" t="s">
        <v>178</v>
      </c>
      <c r="G345" s="11">
        <v>1200</v>
      </c>
      <c r="H345" s="11" t="s">
        <v>42</v>
      </c>
      <c r="I345" s="11" t="s">
        <v>42</v>
      </c>
      <c r="J345" s="11" t="s">
        <v>42</v>
      </c>
      <c r="K345" s="11">
        <v>1800</v>
      </c>
      <c r="L345" s="11">
        <v>3000</v>
      </c>
      <c r="M345" s="9"/>
    </row>
    <row r="346" spans="1:13" ht="20.100000000000001" customHeight="1" x14ac:dyDescent="0.2">
      <c r="A346" s="9">
        <f>ROW()-3</f>
        <v>343</v>
      </c>
      <c r="B346" s="9">
        <v>1342</v>
      </c>
      <c r="C346" s="9">
        <v>2432636310</v>
      </c>
      <c r="D346" s="9" t="s">
        <v>3520</v>
      </c>
      <c r="E346" s="9" t="s">
        <v>1735</v>
      </c>
      <c r="F346" s="9" t="s">
        <v>1043</v>
      </c>
      <c r="G346" s="11">
        <v>0</v>
      </c>
      <c r="H346" s="11" t="s">
        <v>42</v>
      </c>
      <c r="I346" s="11" t="s">
        <v>42</v>
      </c>
      <c r="J346" s="11" t="s">
        <v>42</v>
      </c>
      <c r="K346" s="11" t="s">
        <v>42</v>
      </c>
      <c r="L346" s="11">
        <v>0</v>
      </c>
      <c r="M346" s="9" t="s">
        <v>247</v>
      </c>
    </row>
    <row r="347" spans="1:13" ht="20.100000000000001" customHeight="1" x14ac:dyDescent="0.2">
      <c r="A347" s="9" t="s">
        <v>3308</v>
      </c>
      <c r="B347" s="9">
        <v>1343</v>
      </c>
      <c r="C347" s="9">
        <v>2531142392</v>
      </c>
      <c r="D347" s="9" t="s">
        <v>3519</v>
      </c>
      <c r="E347" s="9" t="s">
        <v>3309</v>
      </c>
      <c r="F347" s="9" t="s">
        <v>203</v>
      </c>
      <c r="G347" s="11">
        <v>1200</v>
      </c>
      <c r="H347" s="11" t="s">
        <v>42</v>
      </c>
      <c r="I347" s="11" t="s">
        <v>42</v>
      </c>
      <c r="J347" s="11" t="s">
        <v>42</v>
      </c>
      <c r="K347" s="11">
        <v>400</v>
      </c>
      <c r="L347" s="11">
        <v>1600</v>
      </c>
      <c r="M347" s="9"/>
    </row>
    <row r="348" spans="1:13" ht="20.100000000000001" customHeight="1" x14ac:dyDescent="0.2">
      <c r="A348" s="9">
        <f t="shared" ref="A348:A355" si="13">ROW()-3</f>
        <v>345</v>
      </c>
      <c r="B348" s="9">
        <v>1344</v>
      </c>
      <c r="C348" s="9">
        <v>2529380178</v>
      </c>
      <c r="D348" s="9" t="s">
        <v>3519</v>
      </c>
      <c r="E348" s="9" t="s">
        <v>1738</v>
      </c>
      <c r="F348" s="9" t="s">
        <v>178</v>
      </c>
      <c r="G348" s="11">
        <v>1500</v>
      </c>
      <c r="H348" s="11">
        <v>0</v>
      </c>
      <c r="I348" s="11" t="s">
        <v>42</v>
      </c>
      <c r="J348" s="11">
        <v>0</v>
      </c>
      <c r="K348" s="11">
        <v>4000</v>
      </c>
      <c r="L348" s="11">
        <v>5500</v>
      </c>
      <c r="M348" s="9" t="s">
        <v>103</v>
      </c>
    </row>
    <row r="349" spans="1:13" ht="20.100000000000001" customHeight="1" x14ac:dyDescent="0.2">
      <c r="A349" s="9">
        <f t="shared" si="13"/>
        <v>346</v>
      </c>
      <c r="B349" s="9">
        <v>1345</v>
      </c>
      <c r="C349" s="9">
        <v>2540550064</v>
      </c>
      <c r="D349" s="9" t="s">
        <v>3519</v>
      </c>
      <c r="E349" s="9" t="s">
        <v>1745</v>
      </c>
      <c r="F349" s="9" t="s">
        <v>431</v>
      </c>
      <c r="G349" s="11">
        <v>1200</v>
      </c>
      <c r="H349" s="11" t="s">
        <v>42</v>
      </c>
      <c r="I349" s="11" t="s">
        <v>42</v>
      </c>
      <c r="J349" s="11" t="s">
        <v>42</v>
      </c>
      <c r="K349" s="11">
        <v>1300</v>
      </c>
      <c r="L349" s="11">
        <v>2500</v>
      </c>
      <c r="M349" s="9" t="s">
        <v>3506</v>
      </c>
    </row>
    <row r="350" spans="1:13" ht="20.100000000000001" customHeight="1" x14ac:dyDescent="0.2">
      <c r="A350" s="9">
        <f t="shared" si="13"/>
        <v>347</v>
      </c>
      <c r="B350" s="9">
        <v>1346</v>
      </c>
      <c r="C350" s="9">
        <v>2545834760</v>
      </c>
      <c r="D350" s="9" t="s">
        <v>3520</v>
      </c>
      <c r="E350" s="9" t="s">
        <v>1751</v>
      </c>
      <c r="F350" s="9" t="s">
        <v>45</v>
      </c>
      <c r="G350" s="11">
        <v>1200</v>
      </c>
      <c r="H350" s="11" t="s">
        <v>42</v>
      </c>
      <c r="I350" s="11" t="s">
        <v>42</v>
      </c>
      <c r="J350" s="11" t="s">
        <v>42</v>
      </c>
      <c r="K350" s="11">
        <v>1300</v>
      </c>
      <c r="L350" s="11">
        <v>2500</v>
      </c>
      <c r="M350" s="9" t="s">
        <v>903</v>
      </c>
    </row>
    <row r="351" spans="1:13" ht="20.100000000000001" customHeight="1" x14ac:dyDescent="0.2">
      <c r="A351" s="9">
        <f t="shared" si="13"/>
        <v>348</v>
      </c>
      <c r="B351" s="9">
        <v>1347</v>
      </c>
      <c r="C351" s="9">
        <v>2549549323</v>
      </c>
      <c r="D351" s="9" t="s">
        <v>3520</v>
      </c>
      <c r="E351" s="9" t="s">
        <v>1758</v>
      </c>
      <c r="F351" s="9" t="s">
        <v>142</v>
      </c>
      <c r="G351" s="11">
        <v>1200</v>
      </c>
      <c r="H351" s="11" t="s">
        <v>42</v>
      </c>
      <c r="I351" s="11" t="s">
        <v>42</v>
      </c>
      <c r="J351" s="11" t="s">
        <v>42</v>
      </c>
      <c r="K351" s="11">
        <v>800</v>
      </c>
      <c r="L351" s="11">
        <v>2000</v>
      </c>
      <c r="M351" s="9" t="s">
        <v>3506</v>
      </c>
    </row>
    <row r="352" spans="1:13" ht="20.100000000000001" customHeight="1" x14ac:dyDescent="0.2">
      <c r="A352" s="9">
        <f t="shared" si="13"/>
        <v>349</v>
      </c>
      <c r="B352" s="9">
        <v>1348</v>
      </c>
      <c r="C352" s="9">
        <v>1101526802</v>
      </c>
      <c r="D352" s="9" t="s">
        <v>3519</v>
      </c>
      <c r="E352" s="9" t="s">
        <v>1761</v>
      </c>
      <c r="F352" s="9" t="s">
        <v>178</v>
      </c>
      <c r="G352" s="11">
        <v>4000</v>
      </c>
      <c r="H352" s="11">
        <v>0</v>
      </c>
      <c r="I352" s="11" t="s">
        <v>42</v>
      </c>
      <c r="J352" s="11">
        <v>0</v>
      </c>
      <c r="K352" s="11">
        <v>500</v>
      </c>
      <c r="L352" s="11">
        <v>4500</v>
      </c>
      <c r="M352" s="9" t="s">
        <v>567</v>
      </c>
    </row>
    <row r="353" spans="1:13" ht="20.100000000000001" customHeight="1" x14ac:dyDescent="0.2">
      <c r="A353" s="9">
        <f t="shared" si="13"/>
        <v>350</v>
      </c>
      <c r="B353" s="9">
        <v>1349</v>
      </c>
      <c r="C353" s="9">
        <v>2542194382</v>
      </c>
      <c r="D353" s="9" t="s">
        <v>3519</v>
      </c>
      <c r="E353" s="9" t="s">
        <v>1768</v>
      </c>
      <c r="F353" s="9" t="s">
        <v>1333</v>
      </c>
      <c r="G353" s="11">
        <v>1200</v>
      </c>
      <c r="H353" s="11" t="s">
        <v>42</v>
      </c>
      <c r="I353" s="11" t="s">
        <v>42</v>
      </c>
      <c r="J353" s="11" t="s">
        <v>42</v>
      </c>
      <c r="K353" s="11">
        <v>800</v>
      </c>
      <c r="L353" s="11">
        <v>2000</v>
      </c>
      <c r="M353" s="9" t="s">
        <v>3506</v>
      </c>
    </row>
    <row r="354" spans="1:13" ht="20.100000000000001" customHeight="1" x14ac:dyDescent="0.2">
      <c r="A354" s="9">
        <f t="shared" si="13"/>
        <v>351</v>
      </c>
      <c r="B354" s="9">
        <v>1350</v>
      </c>
      <c r="C354" s="9">
        <v>1100801966</v>
      </c>
      <c r="D354" s="9" t="s">
        <v>3519</v>
      </c>
      <c r="E354" s="9" t="s">
        <v>1774</v>
      </c>
      <c r="F354" s="9" t="s">
        <v>408</v>
      </c>
      <c r="G354" s="11">
        <v>4000</v>
      </c>
      <c r="H354" s="11">
        <v>0</v>
      </c>
      <c r="I354" s="11" t="s">
        <v>42</v>
      </c>
      <c r="J354" s="11" t="s">
        <v>42</v>
      </c>
      <c r="K354" s="11" t="s">
        <v>42</v>
      </c>
      <c r="L354" s="11">
        <v>4000</v>
      </c>
      <c r="M354" s="9" t="s">
        <v>103</v>
      </c>
    </row>
    <row r="355" spans="1:13" ht="20.100000000000001" customHeight="1" x14ac:dyDescent="0.2">
      <c r="A355" s="9">
        <f t="shared" si="13"/>
        <v>352</v>
      </c>
      <c r="B355" s="9">
        <v>1351</v>
      </c>
      <c r="C355" s="9"/>
      <c r="D355" s="9" t="s">
        <v>3520</v>
      </c>
      <c r="E355" s="9" t="s">
        <v>1779</v>
      </c>
      <c r="F355" s="9" t="s">
        <v>899</v>
      </c>
      <c r="G355" s="11">
        <v>1200</v>
      </c>
      <c r="H355" s="11" t="s">
        <v>42</v>
      </c>
      <c r="I355" s="11" t="s">
        <v>42</v>
      </c>
      <c r="J355" s="11" t="s">
        <v>42</v>
      </c>
      <c r="K355" s="11">
        <v>800</v>
      </c>
      <c r="L355" s="11">
        <v>2000</v>
      </c>
      <c r="M355" s="9" t="s">
        <v>788</v>
      </c>
    </row>
    <row r="356" spans="1:13" ht="20.100000000000001" customHeight="1" x14ac:dyDescent="0.2">
      <c r="A356" s="9" t="s">
        <v>3311</v>
      </c>
      <c r="B356" s="9">
        <v>1352</v>
      </c>
      <c r="C356" s="9">
        <v>1120811821</v>
      </c>
      <c r="D356" s="9" t="s">
        <v>3519</v>
      </c>
      <c r="E356" s="9" t="s">
        <v>3312</v>
      </c>
      <c r="F356" s="9" t="s">
        <v>306</v>
      </c>
      <c r="G356" s="11">
        <v>4000</v>
      </c>
      <c r="H356" s="11" t="s">
        <v>42</v>
      </c>
      <c r="I356" s="11" t="s">
        <v>42</v>
      </c>
      <c r="J356" s="11" t="s">
        <v>42</v>
      </c>
      <c r="K356" s="11" t="s">
        <v>42</v>
      </c>
      <c r="L356" s="11">
        <v>4000</v>
      </c>
      <c r="M356" s="9" t="s">
        <v>3506</v>
      </c>
    </row>
    <row r="357" spans="1:13" ht="20.100000000000001" customHeight="1" x14ac:dyDescent="0.2">
      <c r="A357" s="9">
        <f>ROW()-3</f>
        <v>354</v>
      </c>
      <c r="B357" s="9">
        <v>1353</v>
      </c>
      <c r="C357" s="9">
        <v>1122972456</v>
      </c>
      <c r="D357" s="9" t="s">
        <v>3519</v>
      </c>
      <c r="E357" s="9" t="s">
        <v>1781</v>
      </c>
      <c r="F357" s="9" t="s">
        <v>475</v>
      </c>
      <c r="G357" s="11">
        <v>4000</v>
      </c>
      <c r="H357" s="11">
        <v>0</v>
      </c>
      <c r="I357" s="11">
        <v>0</v>
      </c>
      <c r="J357" s="11">
        <v>0</v>
      </c>
      <c r="K357" s="11">
        <v>500</v>
      </c>
      <c r="L357" s="11">
        <v>4500</v>
      </c>
      <c r="M357" s="9" t="s">
        <v>471</v>
      </c>
    </row>
    <row r="358" spans="1:13" ht="20.100000000000001" customHeight="1" x14ac:dyDescent="0.2">
      <c r="A358" s="9" t="s">
        <v>3317</v>
      </c>
      <c r="B358" s="9">
        <v>1354</v>
      </c>
      <c r="C358" s="9">
        <v>1114023367</v>
      </c>
      <c r="D358" s="9" t="s">
        <v>3519</v>
      </c>
      <c r="E358" s="9" t="s">
        <v>3318</v>
      </c>
      <c r="F358" s="9" t="s">
        <v>431</v>
      </c>
      <c r="G358" s="11">
        <v>4000</v>
      </c>
      <c r="H358" s="11" t="s">
        <v>42</v>
      </c>
      <c r="I358" s="11" t="s">
        <v>42</v>
      </c>
      <c r="J358" s="11" t="s">
        <v>42</v>
      </c>
      <c r="K358" s="11">
        <v>500</v>
      </c>
      <c r="L358" s="11">
        <v>4500</v>
      </c>
      <c r="M358" s="9" t="s">
        <v>103</v>
      </c>
    </row>
    <row r="359" spans="1:13" ht="20.100000000000001" customHeight="1" x14ac:dyDescent="0.2">
      <c r="A359" s="9">
        <f>ROW()-3</f>
        <v>356</v>
      </c>
      <c r="B359" s="9">
        <v>1355</v>
      </c>
      <c r="C359" s="9">
        <v>1110778030</v>
      </c>
      <c r="D359" s="9" t="s">
        <v>3519</v>
      </c>
      <c r="E359" s="9" t="s">
        <v>1787</v>
      </c>
      <c r="F359" s="9" t="s">
        <v>45</v>
      </c>
      <c r="G359" s="11">
        <v>4000</v>
      </c>
      <c r="H359" s="11">
        <v>0</v>
      </c>
      <c r="I359" s="11" t="s">
        <v>42</v>
      </c>
      <c r="J359" s="11" t="s">
        <v>42</v>
      </c>
      <c r="K359" s="11" t="s">
        <v>42</v>
      </c>
      <c r="L359" s="11">
        <v>4000</v>
      </c>
      <c r="M359" s="9" t="s">
        <v>103</v>
      </c>
    </row>
    <row r="360" spans="1:13" ht="20.100000000000001" customHeight="1" x14ac:dyDescent="0.2">
      <c r="A360" s="9">
        <f>ROW()-3</f>
        <v>357</v>
      </c>
      <c r="B360" s="9">
        <v>1356</v>
      </c>
      <c r="C360" s="9">
        <v>1080876889</v>
      </c>
      <c r="D360" s="9" t="s">
        <v>3519</v>
      </c>
      <c r="E360" s="9" t="s">
        <v>1793</v>
      </c>
      <c r="F360" s="9" t="s">
        <v>45</v>
      </c>
      <c r="G360" s="11">
        <v>4000</v>
      </c>
      <c r="H360" s="11">
        <v>0</v>
      </c>
      <c r="I360" s="11" t="s">
        <v>42</v>
      </c>
      <c r="J360" s="11" t="s">
        <v>42</v>
      </c>
      <c r="K360" s="11" t="s">
        <v>42</v>
      </c>
      <c r="L360" s="11">
        <v>4000</v>
      </c>
      <c r="M360" s="9" t="s">
        <v>567</v>
      </c>
    </row>
    <row r="361" spans="1:13" ht="20.100000000000001" customHeight="1" x14ac:dyDescent="0.2">
      <c r="A361" s="9">
        <f>ROW()-3</f>
        <v>358</v>
      </c>
      <c r="B361" s="9">
        <v>1357</v>
      </c>
      <c r="C361" s="9">
        <v>1071460826</v>
      </c>
      <c r="D361" s="9" t="s">
        <v>3519</v>
      </c>
      <c r="E361" s="9" t="s">
        <v>1799</v>
      </c>
      <c r="F361" s="9" t="s">
        <v>45</v>
      </c>
      <c r="G361" s="11">
        <v>4000</v>
      </c>
      <c r="H361" s="11">
        <v>0</v>
      </c>
      <c r="I361" s="11" t="s">
        <v>42</v>
      </c>
      <c r="J361" s="11" t="s">
        <v>42</v>
      </c>
      <c r="K361" s="11" t="s">
        <v>42</v>
      </c>
      <c r="L361" s="11">
        <v>4000</v>
      </c>
      <c r="M361" s="9" t="s">
        <v>103</v>
      </c>
    </row>
    <row r="362" spans="1:13" ht="20.100000000000001" customHeight="1" x14ac:dyDescent="0.2">
      <c r="A362" s="9">
        <f>ROW()-3</f>
        <v>359</v>
      </c>
      <c r="B362" s="9">
        <v>1358</v>
      </c>
      <c r="C362" s="9">
        <v>1112370810</v>
      </c>
      <c r="D362" s="9" t="s">
        <v>3519</v>
      </c>
      <c r="E362" s="9" t="s">
        <v>1804</v>
      </c>
      <c r="F362" s="9" t="s">
        <v>45</v>
      </c>
      <c r="G362" s="11">
        <v>4000</v>
      </c>
      <c r="H362" s="11">
        <v>0</v>
      </c>
      <c r="I362" s="11" t="s">
        <v>42</v>
      </c>
      <c r="J362" s="11" t="s">
        <v>42</v>
      </c>
      <c r="K362" s="11" t="s">
        <v>42</v>
      </c>
      <c r="L362" s="11">
        <v>4000</v>
      </c>
      <c r="M362" s="9" t="s">
        <v>103</v>
      </c>
    </row>
    <row r="363" spans="1:13" ht="20.100000000000001" customHeight="1" x14ac:dyDescent="0.2">
      <c r="A363" s="9">
        <f>ROW()-3</f>
        <v>360</v>
      </c>
      <c r="B363" s="9">
        <v>1359</v>
      </c>
      <c r="C363" s="9">
        <v>1110338884</v>
      </c>
      <c r="D363" s="9" t="s">
        <v>3519</v>
      </c>
      <c r="E363" s="9" t="s">
        <v>1810</v>
      </c>
      <c r="F363" s="9" t="s">
        <v>45</v>
      </c>
      <c r="G363" s="11">
        <v>4000</v>
      </c>
      <c r="H363" s="11">
        <v>0</v>
      </c>
      <c r="I363" s="11" t="s">
        <v>42</v>
      </c>
      <c r="J363" s="11" t="s">
        <v>42</v>
      </c>
      <c r="K363" s="11" t="s">
        <v>42</v>
      </c>
      <c r="L363" s="11">
        <v>4000</v>
      </c>
      <c r="M363" s="9" t="s">
        <v>103</v>
      </c>
    </row>
    <row r="364" spans="1:13" ht="20.100000000000001" customHeight="1" x14ac:dyDescent="0.2">
      <c r="A364" s="9" t="s">
        <v>3323</v>
      </c>
      <c r="B364" s="9">
        <v>1360</v>
      </c>
      <c r="C364" s="9">
        <v>2534760141</v>
      </c>
      <c r="D364" s="9" t="s">
        <v>3105</v>
      </c>
      <c r="E364" s="9" t="s">
        <v>3324</v>
      </c>
      <c r="F364" s="9" t="s">
        <v>722</v>
      </c>
      <c r="G364" s="11">
        <v>1200</v>
      </c>
      <c r="H364" s="11" t="s">
        <v>42</v>
      </c>
      <c r="I364" s="11" t="s">
        <v>42</v>
      </c>
      <c r="J364" s="11" t="s">
        <v>42</v>
      </c>
      <c r="K364" s="11">
        <v>400</v>
      </c>
      <c r="L364" s="11">
        <v>1600</v>
      </c>
      <c r="M364" s="9" t="s">
        <v>788</v>
      </c>
    </row>
    <row r="365" spans="1:13" ht="20.100000000000001" customHeight="1" x14ac:dyDescent="0.2">
      <c r="A365" s="9">
        <f>ROW()-3</f>
        <v>362</v>
      </c>
      <c r="B365" s="9">
        <v>1361</v>
      </c>
      <c r="C365" s="9">
        <v>2511228443</v>
      </c>
      <c r="D365" s="9" t="s">
        <v>3519</v>
      </c>
      <c r="E365" s="9" t="s">
        <v>1816</v>
      </c>
      <c r="F365" s="9" t="s">
        <v>744</v>
      </c>
      <c r="G365" s="11">
        <v>1200</v>
      </c>
      <c r="H365" s="11" t="s">
        <v>42</v>
      </c>
      <c r="I365" s="11" t="s">
        <v>42</v>
      </c>
      <c r="J365" s="11" t="s">
        <v>42</v>
      </c>
      <c r="K365" s="11">
        <v>600</v>
      </c>
      <c r="L365" s="11">
        <v>1800</v>
      </c>
      <c r="M365" s="9" t="s">
        <v>3506</v>
      </c>
    </row>
    <row r="366" spans="1:13" ht="20.100000000000001" customHeight="1" x14ac:dyDescent="0.2">
      <c r="A366" s="9" t="s">
        <v>3330</v>
      </c>
      <c r="B366" s="9">
        <v>1362</v>
      </c>
      <c r="C366" s="9">
        <v>2533300105</v>
      </c>
      <c r="D366" s="9" t="s">
        <v>3520</v>
      </c>
      <c r="E366" s="9" t="s">
        <v>3331</v>
      </c>
      <c r="F366" s="9" t="s">
        <v>59</v>
      </c>
      <c r="G366" s="11">
        <v>1200</v>
      </c>
      <c r="H366" s="11" t="s">
        <v>42</v>
      </c>
      <c r="I366" s="11" t="s">
        <v>42</v>
      </c>
      <c r="J366" s="11" t="s">
        <v>42</v>
      </c>
      <c r="K366" s="11">
        <v>400</v>
      </c>
      <c r="L366" s="11">
        <v>1600</v>
      </c>
      <c r="M366" s="9" t="s">
        <v>103</v>
      </c>
    </row>
    <row r="367" spans="1:13" ht="20.100000000000001" customHeight="1" x14ac:dyDescent="0.2">
      <c r="A367" s="9">
        <f t="shared" ref="A367:A381" si="14">ROW()-3</f>
        <v>364</v>
      </c>
      <c r="B367" s="9">
        <v>1363</v>
      </c>
      <c r="C367" s="9">
        <v>2535213090</v>
      </c>
      <c r="D367" s="9" t="s">
        <v>3519</v>
      </c>
      <c r="E367" s="9" t="s">
        <v>1823</v>
      </c>
      <c r="F367" s="9" t="s">
        <v>431</v>
      </c>
      <c r="G367" s="11">
        <v>1200</v>
      </c>
      <c r="H367" s="11" t="s">
        <v>42</v>
      </c>
      <c r="I367" s="11" t="s">
        <v>42</v>
      </c>
      <c r="J367" s="11" t="s">
        <v>42</v>
      </c>
      <c r="K367" s="11">
        <v>600</v>
      </c>
      <c r="L367" s="11">
        <v>1800</v>
      </c>
      <c r="M367" s="9" t="s">
        <v>3506</v>
      </c>
    </row>
    <row r="368" spans="1:13" ht="20.100000000000001" customHeight="1" x14ac:dyDescent="0.2">
      <c r="A368" s="9">
        <f t="shared" si="14"/>
        <v>365</v>
      </c>
      <c r="B368" s="9">
        <v>1364</v>
      </c>
      <c r="C368" s="9">
        <v>2535213124</v>
      </c>
      <c r="D368" s="9" t="s">
        <v>3519</v>
      </c>
      <c r="E368" s="9" t="s">
        <v>1829</v>
      </c>
      <c r="F368" s="9" t="s">
        <v>1333</v>
      </c>
      <c r="G368" s="11">
        <v>1200</v>
      </c>
      <c r="H368" s="11" t="s">
        <v>42</v>
      </c>
      <c r="I368" s="11" t="s">
        <v>42</v>
      </c>
      <c r="J368" s="11" t="s">
        <v>42</v>
      </c>
      <c r="K368" s="11">
        <v>650</v>
      </c>
      <c r="L368" s="11">
        <v>1850</v>
      </c>
      <c r="M368" s="9" t="s">
        <v>3506</v>
      </c>
    </row>
    <row r="369" spans="1:13" ht="20.100000000000001" customHeight="1" x14ac:dyDescent="0.2">
      <c r="A369" s="9">
        <f t="shared" si="14"/>
        <v>366</v>
      </c>
      <c r="B369" s="9">
        <v>1365</v>
      </c>
      <c r="C369" s="9">
        <v>2534253832</v>
      </c>
      <c r="D369" s="9" t="s">
        <v>3519</v>
      </c>
      <c r="E369" s="9" t="s">
        <v>1835</v>
      </c>
      <c r="F369" s="9" t="s">
        <v>1309</v>
      </c>
      <c r="G369" s="11">
        <v>1200</v>
      </c>
      <c r="H369" s="11">
        <v>0</v>
      </c>
      <c r="I369" s="11" t="s">
        <v>42</v>
      </c>
      <c r="J369" s="11" t="s">
        <v>42</v>
      </c>
      <c r="K369" s="11">
        <v>600</v>
      </c>
      <c r="L369" s="11">
        <v>1800</v>
      </c>
      <c r="M369" s="9" t="s">
        <v>103</v>
      </c>
    </row>
    <row r="370" spans="1:13" ht="20.100000000000001" customHeight="1" x14ac:dyDescent="0.2">
      <c r="A370" s="9">
        <f t="shared" si="14"/>
        <v>367</v>
      </c>
      <c r="B370" s="9">
        <v>1366</v>
      </c>
      <c r="C370" s="9">
        <v>2431861596</v>
      </c>
      <c r="D370" s="9" t="s">
        <v>3519</v>
      </c>
      <c r="E370" s="9" t="s">
        <v>1839</v>
      </c>
      <c r="F370" s="9" t="s">
        <v>178</v>
      </c>
      <c r="G370" s="11">
        <v>1200</v>
      </c>
      <c r="H370" s="11">
        <v>0</v>
      </c>
      <c r="I370" s="11" t="s">
        <v>42</v>
      </c>
      <c r="J370" s="11">
        <v>0</v>
      </c>
      <c r="K370" s="11">
        <v>1000</v>
      </c>
      <c r="L370" s="11">
        <v>2200</v>
      </c>
      <c r="M370" s="9" t="s">
        <v>103</v>
      </c>
    </row>
    <row r="371" spans="1:13" ht="20.100000000000001" customHeight="1" x14ac:dyDescent="0.2">
      <c r="A371" s="9">
        <f t="shared" si="14"/>
        <v>368</v>
      </c>
      <c r="B371" s="9">
        <v>1367</v>
      </c>
      <c r="C371" s="9">
        <v>1110223326</v>
      </c>
      <c r="D371" s="9" t="s">
        <v>3519</v>
      </c>
      <c r="E371" s="9" t="s">
        <v>1846</v>
      </c>
      <c r="F371" s="9" t="s">
        <v>45</v>
      </c>
      <c r="G371" s="11">
        <v>4000</v>
      </c>
      <c r="H371" s="11">
        <v>0</v>
      </c>
      <c r="I371" s="11" t="s">
        <v>42</v>
      </c>
      <c r="J371" s="11" t="s">
        <v>42</v>
      </c>
      <c r="K371" s="11" t="s">
        <v>42</v>
      </c>
      <c r="L371" s="11">
        <v>4000</v>
      </c>
      <c r="M371" s="9" t="s">
        <v>103</v>
      </c>
    </row>
    <row r="372" spans="1:13" ht="20.100000000000001" customHeight="1" x14ac:dyDescent="0.2">
      <c r="A372" s="9">
        <f t="shared" si="14"/>
        <v>369</v>
      </c>
      <c r="B372" s="9">
        <v>1368</v>
      </c>
      <c r="C372" s="9">
        <v>1113058711</v>
      </c>
      <c r="D372" s="9" t="s">
        <v>3519</v>
      </c>
      <c r="E372" s="9" t="s">
        <v>1852</v>
      </c>
      <c r="F372" s="9" t="s">
        <v>45</v>
      </c>
      <c r="G372" s="11">
        <v>4000</v>
      </c>
      <c r="H372" s="11">
        <v>0</v>
      </c>
      <c r="I372" s="11" t="s">
        <v>42</v>
      </c>
      <c r="J372" s="11" t="s">
        <v>42</v>
      </c>
      <c r="K372" s="11" t="s">
        <v>42</v>
      </c>
      <c r="L372" s="11">
        <v>4000</v>
      </c>
      <c r="M372" s="9" t="s">
        <v>103</v>
      </c>
    </row>
    <row r="373" spans="1:13" ht="20.100000000000001" customHeight="1" x14ac:dyDescent="0.2">
      <c r="A373" s="9">
        <f t="shared" si="14"/>
        <v>370</v>
      </c>
      <c r="B373" s="9">
        <v>1369</v>
      </c>
      <c r="C373" s="9">
        <v>2538185592</v>
      </c>
      <c r="D373" s="9" t="s">
        <v>3519</v>
      </c>
      <c r="E373" s="9" t="s">
        <v>1856</v>
      </c>
      <c r="F373" s="9" t="s">
        <v>899</v>
      </c>
      <c r="G373" s="11">
        <v>1200</v>
      </c>
      <c r="H373" s="11" t="s">
        <v>42</v>
      </c>
      <c r="I373" s="11" t="s">
        <v>42</v>
      </c>
      <c r="J373" s="11" t="s">
        <v>42</v>
      </c>
      <c r="K373" s="11">
        <v>2300</v>
      </c>
      <c r="L373" s="11">
        <v>3500</v>
      </c>
      <c r="M373" s="9" t="s">
        <v>903</v>
      </c>
    </row>
    <row r="374" spans="1:13" ht="20.100000000000001" customHeight="1" x14ac:dyDescent="0.2">
      <c r="A374" s="9">
        <f t="shared" si="14"/>
        <v>371</v>
      </c>
      <c r="B374" s="9">
        <v>1370</v>
      </c>
      <c r="C374" s="9">
        <v>1126532223</v>
      </c>
      <c r="D374" s="9" t="s">
        <v>3519</v>
      </c>
      <c r="E374" s="9" t="s">
        <v>1863</v>
      </c>
      <c r="F374" s="9" t="s">
        <v>45</v>
      </c>
      <c r="G374" s="11">
        <v>4000</v>
      </c>
      <c r="H374" s="11">
        <v>0</v>
      </c>
      <c r="I374" s="11" t="s">
        <v>42</v>
      </c>
      <c r="J374" s="11" t="s">
        <v>42</v>
      </c>
      <c r="K374" s="11" t="s">
        <v>42</v>
      </c>
      <c r="L374" s="11">
        <v>4000</v>
      </c>
      <c r="M374" s="9" t="s">
        <v>103</v>
      </c>
    </row>
    <row r="375" spans="1:13" ht="20.100000000000001" customHeight="1" x14ac:dyDescent="0.2">
      <c r="A375" s="9">
        <f t="shared" si="14"/>
        <v>372</v>
      </c>
      <c r="B375" s="9">
        <v>1371</v>
      </c>
      <c r="C375" s="9">
        <v>1067807683</v>
      </c>
      <c r="D375" s="9" t="s">
        <v>3519</v>
      </c>
      <c r="E375" s="9" t="s">
        <v>1869</v>
      </c>
      <c r="F375" s="9" t="s">
        <v>45</v>
      </c>
      <c r="G375" s="11">
        <v>4000</v>
      </c>
      <c r="H375" s="11" t="s">
        <v>42</v>
      </c>
      <c r="I375" s="11" t="s">
        <v>42</v>
      </c>
      <c r="J375" s="11" t="s">
        <v>42</v>
      </c>
      <c r="K375" s="11" t="s">
        <v>42</v>
      </c>
      <c r="L375" s="11">
        <v>4000</v>
      </c>
      <c r="M375" s="9" t="s">
        <v>3506</v>
      </c>
    </row>
    <row r="376" spans="1:13" ht="20.100000000000001" customHeight="1" x14ac:dyDescent="0.2">
      <c r="A376" s="9">
        <f t="shared" si="14"/>
        <v>373</v>
      </c>
      <c r="B376" s="9">
        <v>1372</v>
      </c>
      <c r="C376" s="9">
        <v>1064820994</v>
      </c>
      <c r="D376" s="9" t="s">
        <v>3519</v>
      </c>
      <c r="E376" s="9" t="s">
        <v>1875</v>
      </c>
      <c r="F376" s="9" t="s">
        <v>45</v>
      </c>
      <c r="G376" s="11">
        <v>4000</v>
      </c>
      <c r="H376" s="11" t="s">
        <v>42</v>
      </c>
      <c r="I376" s="11" t="s">
        <v>42</v>
      </c>
      <c r="J376" s="11" t="s">
        <v>42</v>
      </c>
      <c r="K376" s="11" t="s">
        <v>42</v>
      </c>
      <c r="L376" s="11">
        <v>4000</v>
      </c>
      <c r="M376" s="9" t="s">
        <v>3506</v>
      </c>
    </row>
    <row r="377" spans="1:13" ht="20.100000000000001" customHeight="1" x14ac:dyDescent="0.2">
      <c r="A377" s="9">
        <f t="shared" si="14"/>
        <v>374</v>
      </c>
      <c r="B377" s="9">
        <v>1373</v>
      </c>
      <c r="C377" s="9">
        <v>2502033851</v>
      </c>
      <c r="D377" s="9" t="s">
        <v>3520</v>
      </c>
      <c r="E377" s="9" t="s">
        <v>1881</v>
      </c>
      <c r="F377" s="9" t="s">
        <v>203</v>
      </c>
      <c r="G377" s="11">
        <v>1200</v>
      </c>
      <c r="H377" s="11">
        <v>0</v>
      </c>
      <c r="I377" s="11">
        <v>0</v>
      </c>
      <c r="J377" s="11">
        <v>0</v>
      </c>
      <c r="K377" s="11">
        <v>600</v>
      </c>
      <c r="L377" s="11">
        <v>1800</v>
      </c>
      <c r="M377" s="9" t="s">
        <v>65</v>
      </c>
    </row>
    <row r="378" spans="1:13" ht="20.100000000000001" customHeight="1" x14ac:dyDescent="0.2">
      <c r="A378" s="9">
        <f t="shared" si="14"/>
        <v>375</v>
      </c>
      <c r="B378" s="9">
        <v>1374</v>
      </c>
      <c r="C378" s="9">
        <v>1087777478</v>
      </c>
      <c r="D378" s="9" t="s">
        <v>3519</v>
      </c>
      <c r="E378" s="9" t="s">
        <v>1886</v>
      </c>
      <c r="F378" s="9" t="s">
        <v>45</v>
      </c>
      <c r="G378" s="11">
        <v>4000</v>
      </c>
      <c r="H378" s="11" t="s">
        <v>42</v>
      </c>
      <c r="I378" s="11" t="s">
        <v>42</v>
      </c>
      <c r="J378" s="11" t="s">
        <v>42</v>
      </c>
      <c r="K378" s="11" t="s">
        <v>42</v>
      </c>
      <c r="L378" s="11">
        <v>4000</v>
      </c>
      <c r="M378" s="9" t="s">
        <v>3506</v>
      </c>
    </row>
    <row r="379" spans="1:13" ht="20.100000000000001" customHeight="1" x14ac:dyDescent="0.2">
      <c r="A379" s="9">
        <f t="shared" si="14"/>
        <v>376</v>
      </c>
      <c r="B379" s="9">
        <v>1375</v>
      </c>
      <c r="C379" s="9">
        <v>1018588754</v>
      </c>
      <c r="D379" s="9" t="s">
        <v>3519</v>
      </c>
      <c r="E379" s="9" t="s">
        <v>1892</v>
      </c>
      <c r="F379" s="9" t="s">
        <v>45</v>
      </c>
      <c r="G379" s="11">
        <v>4000</v>
      </c>
      <c r="H379" s="11">
        <v>0</v>
      </c>
      <c r="I379" s="11" t="s">
        <v>42</v>
      </c>
      <c r="J379" s="11" t="s">
        <v>42</v>
      </c>
      <c r="K379" s="11" t="s">
        <v>42</v>
      </c>
      <c r="L379" s="11">
        <v>4000</v>
      </c>
      <c r="M379" s="9" t="s">
        <v>103</v>
      </c>
    </row>
    <row r="380" spans="1:13" ht="20.100000000000001" customHeight="1" x14ac:dyDescent="0.2">
      <c r="A380" s="9">
        <f t="shared" si="14"/>
        <v>377</v>
      </c>
      <c r="B380" s="9">
        <v>1376</v>
      </c>
      <c r="C380" s="9">
        <v>1114109760</v>
      </c>
      <c r="D380" s="9" t="s">
        <v>3519</v>
      </c>
      <c r="E380" s="9" t="s">
        <v>1898</v>
      </c>
      <c r="F380" s="9" t="s">
        <v>45</v>
      </c>
      <c r="G380" s="11">
        <v>4000</v>
      </c>
      <c r="H380" s="11">
        <v>0</v>
      </c>
      <c r="I380" s="11" t="s">
        <v>42</v>
      </c>
      <c r="J380" s="11" t="s">
        <v>42</v>
      </c>
      <c r="K380" s="11" t="s">
        <v>42</v>
      </c>
      <c r="L380" s="11">
        <v>4000</v>
      </c>
      <c r="M380" s="9" t="s">
        <v>103</v>
      </c>
    </row>
    <row r="381" spans="1:13" ht="20.100000000000001" customHeight="1" x14ac:dyDescent="0.2">
      <c r="A381" s="9">
        <f t="shared" si="14"/>
        <v>378</v>
      </c>
      <c r="B381" s="9">
        <v>1377</v>
      </c>
      <c r="C381" s="9">
        <v>1074403583</v>
      </c>
      <c r="D381" s="9" t="s">
        <v>3519</v>
      </c>
      <c r="E381" s="9" t="s">
        <v>1904</v>
      </c>
      <c r="F381" s="9" t="s">
        <v>45</v>
      </c>
      <c r="G381" s="11">
        <v>4000</v>
      </c>
      <c r="H381" s="11" t="s">
        <v>42</v>
      </c>
      <c r="I381" s="11" t="s">
        <v>42</v>
      </c>
      <c r="J381" s="11" t="s">
        <v>42</v>
      </c>
      <c r="K381" s="11" t="s">
        <v>42</v>
      </c>
      <c r="L381" s="11">
        <v>4000</v>
      </c>
      <c r="M381" s="9" t="s">
        <v>3506</v>
      </c>
    </row>
    <row r="382" spans="1:13" ht="20.100000000000001" customHeight="1" x14ac:dyDescent="0.2">
      <c r="A382" s="9" t="s">
        <v>3335</v>
      </c>
      <c r="B382" s="9">
        <v>1378</v>
      </c>
      <c r="C382" s="9">
        <v>1067616571</v>
      </c>
      <c r="D382" s="9"/>
      <c r="E382" s="9" t="s">
        <v>3336</v>
      </c>
      <c r="F382" s="9" t="s">
        <v>203</v>
      </c>
      <c r="G382" s="11">
        <v>4000</v>
      </c>
      <c r="H382" s="11" t="s">
        <v>42</v>
      </c>
      <c r="I382" s="11" t="s">
        <v>42</v>
      </c>
      <c r="J382" s="11" t="s">
        <v>42</v>
      </c>
      <c r="K382" s="11" t="s">
        <v>42</v>
      </c>
      <c r="L382" s="11">
        <v>4000</v>
      </c>
      <c r="M382" s="9" t="s">
        <v>65</v>
      </c>
    </row>
    <row r="383" spans="1:13" ht="20.100000000000001" customHeight="1" x14ac:dyDescent="0.2">
      <c r="A383" s="9">
        <f>ROW()-3</f>
        <v>380</v>
      </c>
      <c r="B383" s="9">
        <v>1379</v>
      </c>
      <c r="C383" s="9">
        <v>1032324368</v>
      </c>
      <c r="D383" s="9" t="s">
        <v>3519</v>
      </c>
      <c r="E383" s="9" t="s">
        <v>1908</v>
      </c>
      <c r="F383" s="9" t="s">
        <v>45</v>
      </c>
      <c r="G383" s="11">
        <v>4000</v>
      </c>
      <c r="H383" s="11" t="s">
        <v>42</v>
      </c>
      <c r="I383" s="11" t="s">
        <v>42</v>
      </c>
      <c r="J383" s="11" t="s">
        <v>42</v>
      </c>
      <c r="K383" s="11" t="s">
        <v>42</v>
      </c>
      <c r="L383" s="11">
        <v>4000</v>
      </c>
      <c r="M383" s="9" t="s">
        <v>65</v>
      </c>
    </row>
    <row r="384" spans="1:13" ht="20.100000000000001" customHeight="1" x14ac:dyDescent="0.2">
      <c r="A384" s="9">
        <f>ROW()-3</f>
        <v>381</v>
      </c>
      <c r="B384" s="9">
        <v>1380</v>
      </c>
      <c r="C384" s="9">
        <v>1092354776</v>
      </c>
      <c r="D384" s="9" t="s">
        <v>3519</v>
      </c>
      <c r="E384" s="9" t="s">
        <v>1914</v>
      </c>
      <c r="F384" s="9" t="s">
        <v>45</v>
      </c>
      <c r="G384" s="11">
        <v>4000</v>
      </c>
      <c r="H384" s="11">
        <v>0</v>
      </c>
      <c r="I384" s="11" t="s">
        <v>42</v>
      </c>
      <c r="J384" s="11" t="s">
        <v>42</v>
      </c>
      <c r="K384" s="11" t="s">
        <v>42</v>
      </c>
      <c r="L384" s="11">
        <v>4000</v>
      </c>
      <c r="M384" s="9" t="s">
        <v>65</v>
      </c>
    </row>
    <row r="385" spans="1:13" ht="20.100000000000001" customHeight="1" x14ac:dyDescent="0.2">
      <c r="A385" s="9" t="s">
        <v>3339</v>
      </c>
      <c r="B385" s="9">
        <v>1381</v>
      </c>
      <c r="C385" s="9">
        <v>2130131069</v>
      </c>
      <c r="D385" s="9" t="s">
        <v>3105</v>
      </c>
      <c r="E385" s="9" t="s">
        <v>3340</v>
      </c>
      <c r="F385" s="9" t="s">
        <v>178</v>
      </c>
      <c r="G385" s="11">
        <v>1200</v>
      </c>
      <c r="H385" s="11" t="s">
        <v>42</v>
      </c>
      <c r="I385" s="11" t="s">
        <v>42</v>
      </c>
      <c r="J385" s="11" t="s">
        <v>42</v>
      </c>
      <c r="K385" s="11">
        <v>1800</v>
      </c>
      <c r="L385" s="11">
        <v>3000</v>
      </c>
      <c r="M385" s="9" t="s">
        <v>788</v>
      </c>
    </row>
    <row r="386" spans="1:13" ht="20.100000000000001" customHeight="1" x14ac:dyDescent="0.2">
      <c r="A386" s="9" t="s">
        <v>3346</v>
      </c>
      <c r="B386" s="9">
        <v>1382</v>
      </c>
      <c r="C386" s="9">
        <v>10356344722</v>
      </c>
      <c r="D386" s="9"/>
      <c r="E386" s="9" t="s">
        <v>3347</v>
      </c>
      <c r="F386" s="9" t="s">
        <v>203</v>
      </c>
      <c r="G386" s="11">
        <v>4000</v>
      </c>
      <c r="H386" s="11" t="s">
        <v>42</v>
      </c>
      <c r="I386" s="11" t="s">
        <v>42</v>
      </c>
      <c r="J386" s="11" t="s">
        <v>42</v>
      </c>
      <c r="K386" s="11" t="s">
        <v>42</v>
      </c>
      <c r="L386" s="11">
        <v>4000</v>
      </c>
      <c r="M386" s="9"/>
    </row>
    <row r="387" spans="1:13" ht="20.100000000000001" customHeight="1" x14ac:dyDescent="0.2">
      <c r="A387" s="9" t="s">
        <v>3349</v>
      </c>
      <c r="B387" s="9">
        <v>1383</v>
      </c>
      <c r="C387" s="9">
        <v>1126507092</v>
      </c>
      <c r="D387" s="9"/>
      <c r="E387" s="9" t="s">
        <v>3350</v>
      </c>
      <c r="F387" s="9" t="s">
        <v>466</v>
      </c>
      <c r="G387" s="11">
        <v>4000</v>
      </c>
      <c r="H387" s="11" t="s">
        <v>42</v>
      </c>
      <c r="I387" s="11" t="s">
        <v>42</v>
      </c>
      <c r="J387" s="11" t="s">
        <v>42</v>
      </c>
      <c r="K387" s="11" t="s">
        <v>42</v>
      </c>
      <c r="L387" s="11">
        <v>4000</v>
      </c>
      <c r="M387" s="9"/>
    </row>
    <row r="388" spans="1:13" ht="20.100000000000001" customHeight="1" x14ac:dyDescent="0.2">
      <c r="A388" s="9">
        <f>ROW()-3</f>
        <v>385</v>
      </c>
      <c r="B388" s="9">
        <v>1384</v>
      </c>
      <c r="C388" s="9">
        <v>1025757327</v>
      </c>
      <c r="D388" s="9" t="s">
        <v>3519</v>
      </c>
      <c r="E388" s="9" t="s">
        <v>1920</v>
      </c>
      <c r="F388" s="9" t="s">
        <v>45</v>
      </c>
      <c r="G388" s="11">
        <v>4000</v>
      </c>
      <c r="H388" s="11">
        <v>0</v>
      </c>
      <c r="I388" s="11" t="s">
        <v>42</v>
      </c>
      <c r="J388" s="11" t="s">
        <v>42</v>
      </c>
      <c r="K388" s="11" t="s">
        <v>42</v>
      </c>
      <c r="L388" s="11">
        <v>4000</v>
      </c>
      <c r="M388" s="9" t="s">
        <v>103</v>
      </c>
    </row>
    <row r="389" spans="1:13" ht="20.100000000000001" customHeight="1" x14ac:dyDescent="0.2">
      <c r="A389" s="9">
        <f>ROW()-3</f>
        <v>386</v>
      </c>
      <c r="B389" s="9">
        <v>1385</v>
      </c>
      <c r="C389" s="9">
        <v>1093230496</v>
      </c>
      <c r="D389" s="9" t="s">
        <v>3519</v>
      </c>
      <c r="E389" s="9" t="s">
        <v>1924</v>
      </c>
      <c r="F389" s="9" t="s">
        <v>45</v>
      </c>
      <c r="G389" s="11">
        <v>4000</v>
      </c>
      <c r="H389" s="11">
        <v>0</v>
      </c>
      <c r="I389" s="11" t="s">
        <v>42</v>
      </c>
      <c r="J389" s="11" t="s">
        <v>42</v>
      </c>
      <c r="K389" s="11" t="s">
        <v>42</v>
      </c>
      <c r="L389" s="11">
        <v>4000</v>
      </c>
      <c r="M389" s="9" t="s">
        <v>103</v>
      </c>
    </row>
    <row r="390" spans="1:13" ht="20.100000000000001" customHeight="1" x14ac:dyDescent="0.2">
      <c r="A390" s="9">
        <f>ROW()-3</f>
        <v>387</v>
      </c>
      <c r="B390" s="9">
        <v>1386</v>
      </c>
      <c r="C390" s="9">
        <v>1110671128</v>
      </c>
      <c r="D390" s="9" t="s">
        <v>3519</v>
      </c>
      <c r="E390" s="9" t="s">
        <v>1929</v>
      </c>
      <c r="F390" s="9" t="s">
        <v>45</v>
      </c>
      <c r="G390" s="11">
        <v>4000</v>
      </c>
      <c r="H390" s="11" t="s">
        <v>42</v>
      </c>
      <c r="I390" s="11" t="s">
        <v>42</v>
      </c>
      <c r="J390" s="11" t="s">
        <v>42</v>
      </c>
      <c r="K390" s="11" t="s">
        <v>42</v>
      </c>
      <c r="L390" s="11">
        <v>4000</v>
      </c>
      <c r="M390" s="9" t="s">
        <v>3506</v>
      </c>
    </row>
    <row r="391" spans="1:13" ht="20.100000000000001" customHeight="1" x14ac:dyDescent="0.2">
      <c r="A391" s="9" t="s">
        <v>3353</v>
      </c>
      <c r="B391" s="9">
        <v>1387</v>
      </c>
      <c r="C391" s="9">
        <v>1097398216</v>
      </c>
      <c r="D391" s="9" t="s">
        <v>3519</v>
      </c>
      <c r="E391" s="9" t="s">
        <v>3354</v>
      </c>
      <c r="F391" s="9" t="s">
        <v>306</v>
      </c>
      <c r="G391" s="11">
        <v>4000</v>
      </c>
      <c r="H391" s="11" t="s">
        <v>42</v>
      </c>
      <c r="I391" s="11" t="s">
        <v>42</v>
      </c>
      <c r="J391" s="11" t="s">
        <v>42</v>
      </c>
      <c r="K391" s="11" t="s">
        <v>42</v>
      </c>
      <c r="L391" s="11">
        <v>4000</v>
      </c>
      <c r="M391" s="9" t="s">
        <v>3506</v>
      </c>
    </row>
    <row r="392" spans="1:13" ht="20.100000000000001" customHeight="1" x14ac:dyDescent="0.2">
      <c r="A392" s="9">
        <f>ROW()-3</f>
        <v>389</v>
      </c>
      <c r="B392" s="9">
        <v>1388</v>
      </c>
      <c r="C392" s="9">
        <v>1087777494</v>
      </c>
      <c r="D392" s="9" t="s">
        <v>3519</v>
      </c>
      <c r="E392" s="9" t="s">
        <v>1935</v>
      </c>
      <c r="F392" s="9" t="s">
        <v>45</v>
      </c>
      <c r="G392" s="11">
        <v>4000</v>
      </c>
      <c r="H392" s="11">
        <v>0</v>
      </c>
      <c r="I392" s="11">
        <v>0</v>
      </c>
      <c r="J392" s="11">
        <v>0</v>
      </c>
      <c r="K392" s="11">
        <v>0</v>
      </c>
      <c r="L392" s="11">
        <v>4000</v>
      </c>
      <c r="M392" s="9" t="s">
        <v>103</v>
      </c>
    </row>
    <row r="393" spans="1:13" ht="20.100000000000001" customHeight="1" x14ac:dyDescent="0.2">
      <c r="A393" s="9">
        <f>ROW()-3</f>
        <v>390</v>
      </c>
      <c r="B393" s="9">
        <v>1389</v>
      </c>
      <c r="C393" s="9">
        <v>1091129393</v>
      </c>
      <c r="D393" s="9" t="s">
        <v>3519</v>
      </c>
      <c r="E393" s="9" t="s">
        <v>1941</v>
      </c>
      <c r="F393" s="9" t="s">
        <v>45</v>
      </c>
      <c r="G393" s="11">
        <v>4000</v>
      </c>
      <c r="H393" s="11">
        <v>0</v>
      </c>
      <c r="I393" s="11" t="s">
        <v>42</v>
      </c>
      <c r="J393" s="11" t="s">
        <v>42</v>
      </c>
      <c r="K393" s="11" t="s">
        <v>42</v>
      </c>
      <c r="L393" s="11">
        <v>4000</v>
      </c>
      <c r="M393" s="9" t="s">
        <v>103</v>
      </c>
    </row>
    <row r="394" spans="1:13" ht="20.100000000000001" customHeight="1" x14ac:dyDescent="0.2">
      <c r="A394" s="9" t="s">
        <v>3359</v>
      </c>
      <c r="B394" s="9">
        <v>1390</v>
      </c>
      <c r="C394" s="9">
        <v>1048357428</v>
      </c>
      <c r="D394" s="9" t="s">
        <v>3519</v>
      </c>
      <c r="E394" s="9" t="s">
        <v>3360</v>
      </c>
      <c r="F394" s="9" t="s">
        <v>45</v>
      </c>
      <c r="G394" s="11">
        <v>4000</v>
      </c>
      <c r="H394" s="11" t="s">
        <v>42</v>
      </c>
      <c r="I394" s="11" t="s">
        <v>42</v>
      </c>
      <c r="J394" s="11" t="s">
        <v>42</v>
      </c>
      <c r="K394" s="11" t="s">
        <v>42</v>
      </c>
      <c r="L394" s="11">
        <v>4000</v>
      </c>
      <c r="M394" s="9" t="s">
        <v>3506</v>
      </c>
    </row>
    <row r="395" spans="1:13" ht="20.100000000000001" customHeight="1" x14ac:dyDescent="0.2">
      <c r="A395" s="9" t="s">
        <v>3364</v>
      </c>
      <c r="B395" s="9">
        <v>1391</v>
      </c>
      <c r="C395" s="9"/>
      <c r="D395" s="9" t="s">
        <v>3520</v>
      </c>
      <c r="E395" s="9" t="s">
        <v>3365</v>
      </c>
      <c r="F395" s="9" t="s">
        <v>475</v>
      </c>
      <c r="G395" s="11">
        <v>1200</v>
      </c>
      <c r="H395" s="11" t="s">
        <v>42</v>
      </c>
      <c r="I395" s="11" t="s">
        <v>42</v>
      </c>
      <c r="J395" s="11" t="s">
        <v>42</v>
      </c>
      <c r="K395" s="11">
        <v>700</v>
      </c>
      <c r="L395" s="11">
        <v>1900</v>
      </c>
      <c r="M395" s="9" t="s">
        <v>788</v>
      </c>
    </row>
    <row r="396" spans="1:13" ht="20.100000000000001" customHeight="1" x14ac:dyDescent="0.2">
      <c r="A396" s="9">
        <f>ROW()-3</f>
        <v>393</v>
      </c>
      <c r="B396" s="9">
        <v>1392</v>
      </c>
      <c r="C396" s="9">
        <v>1104987712</v>
      </c>
      <c r="D396" s="9" t="s">
        <v>3519</v>
      </c>
      <c r="E396" s="9" t="s">
        <v>1945</v>
      </c>
      <c r="F396" s="9" t="s">
        <v>45</v>
      </c>
      <c r="G396" s="11">
        <v>4000</v>
      </c>
      <c r="H396" s="11" t="s">
        <v>42</v>
      </c>
      <c r="I396" s="11" t="s">
        <v>42</v>
      </c>
      <c r="J396" s="11" t="s">
        <v>42</v>
      </c>
      <c r="K396" s="11" t="s">
        <v>42</v>
      </c>
      <c r="L396" s="11">
        <v>4000</v>
      </c>
      <c r="M396" s="9" t="s">
        <v>3506</v>
      </c>
    </row>
    <row r="397" spans="1:13" ht="20.100000000000001" customHeight="1" x14ac:dyDescent="0.2">
      <c r="A397" s="9">
        <f>ROW()-3</f>
        <v>394</v>
      </c>
      <c r="B397" s="9">
        <v>1393</v>
      </c>
      <c r="C397" s="9">
        <v>1132122902</v>
      </c>
      <c r="D397" s="9" t="s">
        <v>3519</v>
      </c>
      <c r="E397" s="9" t="s">
        <v>3367</v>
      </c>
      <c r="F397" s="9" t="s">
        <v>431</v>
      </c>
      <c r="G397" s="11">
        <v>4000</v>
      </c>
      <c r="H397" s="11" t="s">
        <v>42</v>
      </c>
      <c r="I397" s="11" t="s">
        <v>42</v>
      </c>
      <c r="J397" s="11" t="s">
        <v>42</v>
      </c>
      <c r="K397" s="11">
        <v>500</v>
      </c>
      <c r="L397" s="11">
        <v>4500</v>
      </c>
      <c r="M397" s="9" t="s">
        <v>103</v>
      </c>
    </row>
    <row r="398" spans="1:13" ht="20.100000000000001" customHeight="1" x14ac:dyDescent="0.2">
      <c r="A398" s="9">
        <f>ROW()-3</f>
        <v>395</v>
      </c>
      <c r="B398" s="9">
        <v>1394</v>
      </c>
      <c r="C398" s="9">
        <v>2554120093</v>
      </c>
      <c r="D398" s="9" t="s">
        <v>3519</v>
      </c>
      <c r="E398" s="9" t="s">
        <v>1951</v>
      </c>
      <c r="F398" s="9" t="s">
        <v>66</v>
      </c>
      <c r="G398" s="11">
        <v>2000</v>
      </c>
      <c r="H398" s="11">
        <v>0</v>
      </c>
      <c r="I398" s="11" t="s">
        <v>42</v>
      </c>
      <c r="J398" s="11" t="s">
        <v>42</v>
      </c>
      <c r="K398" s="11">
        <v>1500</v>
      </c>
      <c r="L398" s="11">
        <v>3500</v>
      </c>
      <c r="M398" s="9" t="s">
        <v>3506</v>
      </c>
    </row>
    <row r="399" spans="1:13" ht="20.100000000000001" customHeight="1" x14ac:dyDescent="0.2">
      <c r="A399" s="9">
        <f>ROW()-3</f>
        <v>396</v>
      </c>
      <c r="B399" s="9">
        <v>1395</v>
      </c>
      <c r="C399" s="9">
        <v>2222439271</v>
      </c>
      <c r="D399" s="9" t="s">
        <v>3105</v>
      </c>
      <c r="E399" s="9" t="s">
        <v>1958</v>
      </c>
      <c r="F399" s="9" t="s">
        <v>1961</v>
      </c>
      <c r="G399" s="11">
        <v>1200</v>
      </c>
      <c r="H399" s="11">
        <v>0</v>
      </c>
      <c r="I399" s="11" t="s">
        <v>42</v>
      </c>
      <c r="J399" s="11" t="s">
        <v>42</v>
      </c>
      <c r="K399" s="11">
        <v>1000</v>
      </c>
      <c r="L399" s="11">
        <v>2200</v>
      </c>
      <c r="M399" s="9" t="s">
        <v>788</v>
      </c>
    </row>
    <row r="400" spans="1:13" ht="20.100000000000001" customHeight="1" x14ac:dyDescent="0.2">
      <c r="A400" s="9" t="s">
        <v>3372</v>
      </c>
      <c r="B400" s="9">
        <v>1396</v>
      </c>
      <c r="C400" s="9"/>
      <c r="D400" s="9" t="s">
        <v>3520</v>
      </c>
      <c r="E400" s="9" t="s">
        <v>3373</v>
      </c>
      <c r="F400" s="9" t="s">
        <v>306</v>
      </c>
      <c r="G400" s="11">
        <v>1200</v>
      </c>
      <c r="H400" s="11" t="s">
        <v>42</v>
      </c>
      <c r="I400" s="11" t="s">
        <v>42</v>
      </c>
      <c r="J400" s="11" t="s">
        <v>42</v>
      </c>
      <c r="K400" s="11">
        <v>400</v>
      </c>
      <c r="L400" s="11">
        <v>1600</v>
      </c>
      <c r="M400" s="9" t="s">
        <v>788</v>
      </c>
    </row>
    <row r="401" spans="1:13" ht="20.100000000000001" customHeight="1" x14ac:dyDescent="0.2">
      <c r="A401" s="9">
        <f>ROW()-3</f>
        <v>398</v>
      </c>
      <c r="B401" s="9">
        <v>1397</v>
      </c>
      <c r="C401" s="9">
        <v>1114028358</v>
      </c>
      <c r="D401" s="9" t="s">
        <v>3519</v>
      </c>
      <c r="E401" s="9" t="s">
        <v>1966</v>
      </c>
      <c r="F401" s="9" t="s">
        <v>178</v>
      </c>
      <c r="G401" s="11">
        <v>4000</v>
      </c>
      <c r="H401" s="11">
        <v>0</v>
      </c>
      <c r="I401" s="11" t="s">
        <v>42</v>
      </c>
      <c r="J401" s="11">
        <v>0</v>
      </c>
      <c r="K401" s="11">
        <v>500</v>
      </c>
      <c r="L401" s="11">
        <v>4500</v>
      </c>
      <c r="M401" s="9" t="s">
        <v>567</v>
      </c>
    </row>
    <row r="402" spans="1:13" ht="20.100000000000001" customHeight="1" x14ac:dyDescent="0.2">
      <c r="A402" s="9">
        <f>ROW()-3</f>
        <v>399</v>
      </c>
      <c r="B402" s="9">
        <v>1398</v>
      </c>
      <c r="C402" s="9"/>
      <c r="D402" s="9" t="s">
        <v>3520</v>
      </c>
      <c r="E402" s="9" t="s">
        <v>3375</v>
      </c>
      <c r="F402" s="9"/>
      <c r="G402" s="11">
        <v>1200</v>
      </c>
      <c r="H402" s="11" t="s">
        <v>42</v>
      </c>
      <c r="I402" s="11" t="s">
        <v>42</v>
      </c>
      <c r="J402" s="11" t="s">
        <v>42</v>
      </c>
      <c r="K402" s="11">
        <v>400</v>
      </c>
      <c r="L402" s="11">
        <v>1600</v>
      </c>
      <c r="M402" s="9"/>
    </row>
    <row r="403" spans="1:13" ht="20.100000000000001" customHeight="1" x14ac:dyDescent="0.2">
      <c r="A403" s="9" t="s">
        <v>3376</v>
      </c>
      <c r="B403" s="9">
        <v>1399</v>
      </c>
      <c r="C403" s="9">
        <v>2521281135</v>
      </c>
      <c r="D403" s="9" t="s">
        <v>3520</v>
      </c>
      <c r="E403" s="9" t="s">
        <v>3377</v>
      </c>
      <c r="F403" s="9" t="s">
        <v>222</v>
      </c>
      <c r="G403" s="11">
        <v>1200</v>
      </c>
      <c r="H403" s="11" t="s">
        <v>42</v>
      </c>
      <c r="I403" s="11" t="s">
        <v>42</v>
      </c>
      <c r="J403" s="11" t="s">
        <v>42</v>
      </c>
      <c r="K403" s="11">
        <v>1100</v>
      </c>
      <c r="L403" s="11">
        <v>2300</v>
      </c>
      <c r="M403" s="9" t="s">
        <v>788</v>
      </c>
    </row>
    <row r="404" spans="1:13" ht="20.100000000000001" customHeight="1" x14ac:dyDescent="0.2">
      <c r="A404" s="9" t="s">
        <v>3381</v>
      </c>
      <c r="B404" s="9">
        <v>1400</v>
      </c>
      <c r="C404" s="9"/>
      <c r="D404" s="9" t="s">
        <v>3520</v>
      </c>
      <c r="E404" s="9" t="s">
        <v>3382</v>
      </c>
      <c r="F404" s="9" t="s">
        <v>222</v>
      </c>
      <c r="G404" s="11">
        <v>1200</v>
      </c>
      <c r="H404" s="11" t="s">
        <v>42</v>
      </c>
      <c r="I404" s="11" t="s">
        <v>42</v>
      </c>
      <c r="J404" s="11" t="s">
        <v>42</v>
      </c>
      <c r="K404" s="11">
        <v>400</v>
      </c>
      <c r="L404" s="11">
        <v>1600</v>
      </c>
      <c r="M404" s="9" t="s">
        <v>788</v>
      </c>
    </row>
    <row r="405" spans="1:13" ht="20.100000000000001" customHeight="1" x14ac:dyDescent="0.2">
      <c r="A405" s="9" t="s">
        <v>3385</v>
      </c>
      <c r="B405" s="9">
        <v>1401</v>
      </c>
      <c r="C405" s="9">
        <v>2344876285</v>
      </c>
      <c r="D405" s="9" t="s">
        <v>3520</v>
      </c>
      <c r="E405" s="9" t="s">
        <v>3386</v>
      </c>
      <c r="F405" s="9" t="s">
        <v>222</v>
      </c>
      <c r="G405" s="11">
        <v>1200</v>
      </c>
      <c r="H405" s="11" t="s">
        <v>42</v>
      </c>
      <c r="I405" s="11" t="s">
        <v>42</v>
      </c>
      <c r="J405" s="11" t="s">
        <v>42</v>
      </c>
      <c r="K405" s="11">
        <v>400</v>
      </c>
      <c r="L405" s="11">
        <v>1600</v>
      </c>
      <c r="M405" s="9" t="s">
        <v>788</v>
      </c>
    </row>
    <row r="406" spans="1:13" ht="20.100000000000001" customHeight="1" x14ac:dyDescent="0.2">
      <c r="A406" s="9">
        <f>ROW()-3</f>
        <v>403</v>
      </c>
      <c r="B406" s="9">
        <v>1402</v>
      </c>
      <c r="C406" s="9"/>
      <c r="D406" s="9" t="s">
        <v>3520</v>
      </c>
      <c r="E406" s="9" t="s">
        <v>1973</v>
      </c>
      <c r="F406" s="9" t="s">
        <v>222</v>
      </c>
      <c r="G406" s="11">
        <v>1200</v>
      </c>
      <c r="H406" s="11">
        <v>0</v>
      </c>
      <c r="I406" s="11" t="s">
        <v>42</v>
      </c>
      <c r="J406" s="11">
        <v>0</v>
      </c>
      <c r="K406" s="11">
        <v>600</v>
      </c>
      <c r="L406" s="11">
        <v>1800</v>
      </c>
      <c r="M406" s="9" t="s">
        <v>788</v>
      </c>
    </row>
    <row r="407" spans="1:13" ht="20.100000000000001" customHeight="1" x14ac:dyDescent="0.2">
      <c r="A407" s="9">
        <f>ROW()-3</f>
        <v>404</v>
      </c>
      <c r="B407" s="9">
        <v>1403</v>
      </c>
      <c r="C407" s="9">
        <v>2530871322</v>
      </c>
      <c r="D407" s="9" t="s">
        <v>3520</v>
      </c>
      <c r="E407" s="9" t="s">
        <v>1976</v>
      </c>
      <c r="F407" s="9" t="s">
        <v>203</v>
      </c>
      <c r="G407" s="11">
        <v>1200</v>
      </c>
      <c r="H407" s="11">
        <v>0</v>
      </c>
      <c r="I407" s="11">
        <v>0</v>
      </c>
      <c r="J407" s="11">
        <v>0</v>
      </c>
      <c r="K407" s="11">
        <v>650</v>
      </c>
      <c r="L407" s="11">
        <v>1850</v>
      </c>
      <c r="M407" s="9" t="s">
        <v>65</v>
      </c>
    </row>
    <row r="408" spans="1:13" ht="20.100000000000001" customHeight="1" x14ac:dyDescent="0.2">
      <c r="A408" s="9">
        <f>ROW()-3</f>
        <v>405</v>
      </c>
      <c r="B408" s="9">
        <v>1404</v>
      </c>
      <c r="C408" s="9">
        <v>2504125499</v>
      </c>
      <c r="D408" s="9" t="s">
        <v>3520</v>
      </c>
      <c r="E408" s="9" t="s">
        <v>1981</v>
      </c>
      <c r="F408" s="9" t="s">
        <v>1961</v>
      </c>
      <c r="G408" s="11">
        <v>1200</v>
      </c>
      <c r="H408" s="11">
        <v>0</v>
      </c>
      <c r="I408" s="11" t="s">
        <v>42</v>
      </c>
      <c r="J408" s="11" t="s">
        <v>42</v>
      </c>
      <c r="K408" s="11">
        <v>1300</v>
      </c>
      <c r="L408" s="11">
        <v>2500</v>
      </c>
      <c r="M408" s="9" t="s">
        <v>567</v>
      </c>
    </row>
    <row r="409" spans="1:13" ht="20.100000000000001" customHeight="1" x14ac:dyDescent="0.2">
      <c r="A409" s="9" t="s">
        <v>3388</v>
      </c>
      <c r="B409" s="9">
        <v>1405</v>
      </c>
      <c r="C409" s="9">
        <v>1129835540</v>
      </c>
      <c r="D409" s="9" t="s">
        <v>3519</v>
      </c>
      <c r="E409" s="9" t="s">
        <v>3389</v>
      </c>
      <c r="F409" s="9" t="s">
        <v>107</v>
      </c>
      <c r="G409" s="11">
        <v>4000</v>
      </c>
      <c r="H409" s="11" t="s">
        <v>42</v>
      </c>
      <c r="I409" s="11" t="s">
        <v>42</v>
      </c>
      <c r="J409" s="11" t="s">
        <v>42</v>
      </c>
      <c r="K409" s="11" t="s">
        <v>42</v>
      </c>
      <c r="L409" s="11">
        <v>4000</v>
      </c>
      <c r="M409" s="9" t="s">
        <v>3506</v>
      </c>
    </row>
    <row r="410" spans="1:13" ht="20.100000000000001" customHeight="1" x14ac:dyDescent="0.2">
      <c r="A410" s="9">
        <f t="shared" ref="A410:A416" si="15">ROW()-3</f>
        <v>407</v>
      </c>
      <c r="B410" s="9">
        <v>1406</v>
      </c>
      <c r="C410" s="9">
        <v>1074144369</v>
      </c>
      <c r="D410" s="9" t="s">
        <v>3519</v>
      </c>
      <c r="E410" s="9" t="s">
        <v>1987</v>
      </c>
      <c r="F410" s="9" t="s">
        <v>45</v>
      </c>
      <c r="G410" s="11">
        <v>4000</v>
      </c>
      <c r="H410" s="11">
        <v>0</v>
      </c>
      <c r="I410" s="11" t="s">
        <v>42</v>
      </c>
      <c r="J410" s="11" t="s">
        <v>42</v>
      </c>
      <c r="K410" s="11" t="s">
        <v>42</v>
      </c>
      <c r="L410" s="11">
        <v>4000</v>
      </c>
      <c r="M410" s="9" t="s">
        <v>65</v>
      </c>
    </row>
    <row r="411" spans="1:13" ht="20.100000000000001" customHeight="1" x14ac:dyDescent="0.2">
      <c r="A411" s="9">
        <f t="shared" si="15"/>
        <v>408</v>
      </c>
      <c r="B411" s="9">
        <v>1407</v>
      </c>
      <c r="C411" s="9">
        <v>2547315578</v>
      </c>
      <c r="D411" s="9" t="s">
        <v>3520</v>
      </c>
      <c r="E411" s="9" t="s">
        <v>1993</v>
      </c>
      <c r="F411" s="9" t="s">
        <v>107</v>
      </c>
      <c r="G411" s="11">
        <v>1200</v>
      </c>
      <c r="H411" s="11" t="s">
        <v>42</v>
      </c>
      <c r="I411" s="11" t="s">
        <v>42</v>
      </c>
      <c r="J411" s="11" t="s">
        <v>42</v>
      </c>
      <c r="K411" s="11">
        <v>800</v>
      </c>
      <c r="L411" s="11">
        <v>2000</v>
      </c>
      <c r="M411" s="9" t="s">
        <v>3506</v>
      </c>
    </row>
    <row r="412" spans="1:13" ht="20.100000000000001" customHeight="1" x14ac:dyDescent="0.2">
      <c r="A412" s="9">
        <f t="shared" si="15"/>
        <v>409</v>
      </c>
      <c r="B412" s="9">
        <v>1408</v>
      </c>
      <c r="C412" s="9">
        <v>2453345130</v>
      </c>
      <c r="D412" s="9" t="s">
        <v>3520</v>
      </c>
      <c r="E412" s="9" t="s">
        <v>1999</v>
      </c>
      <c r="F412" s="9" t="s">
        <v>466</v>
      </c>
      <c r="G412" s="11">
        <v>1200</v>
      </c>
      <c r="H412" s="11">
        <v>0</v>
      </c>
      <c r="I412" s="11">
        <v>0</v>
      </c>
      <c r="J412" s="11">
        <v>0</v>
      </c>
      <c r="K412" s="11">
        <v>1300</v>
      </c>
      <c r="L412" s="11">
        <v>2500</v>
      </c>
      <c r="M412" s="9" t="s">
        <v>788</v>
      </c>
    </row>
    <row r="413" spans="1:13" ht="20.100000000000001" customHeight="1" x14ac:dyDescent="0.2">
      <c r="A413" s="9">
        <f t="shared" si="15"/>
        <v>410</v>
      </c>
      <c r="B413" s="9">
        <v>1409</v>
      </c>
      <c r="C413" s="9"/>
      <c r="D413" s="9" t="s">
        <v>3522</v>
      </c>
      <c r="E413" s="9" t="s">
        <v>2004</v>
      </c>
      <c r="F413" s="9" t="s">
        <v>222</v>
      </c>
      <c r="G413" s="11">
        <v>1500</v>
      </c>
      <c r="H413" s="11">
        <v>800</v>
      </c>
      <c r="I413" s="11" t="s">
        <v>42</v>
      </c>
      <c r="J413" s="11" t="s">
        <v>42</v>
      </c>
      <c r="K413" s="11">
        <v>500</v>
      </c>
      <c r="L413" s="11">
        <v>2800</v>
      </c>
      <c r="M413" s="9" t="s">
        <v>103</v>
      </c>
    </row>
    <row r="414" spans="1:13" ht="20.100000000000001" customHeight="1" x14ac:dyDescent="0.2">
      <c r="A414" s="9">
        <f t="shared" si="15"/>
        <v>411</v>
      </c>
      <c r="B414" s="9">
        <v>1410</v>
      </c>
      <c r="C414" s="9">
        <v>2545832202</v>
      </c>
      <c r="D414" s="9" t="s">
        <v>3520</v>
      </c>
      <c r="E414" s="9" t="s">
        <v>2006</v>
      </c>
      <c r="F414" s="9" t="s">
        <v>431</v>
      </c>
      <c r="G414" s="11">
        <v>4000</v>
      </c>
      <c r="H414" s="11">
        <v>0</v>
      </c>
      <c r="I414" s="11" t="s">
        <v>42</v>
      </c>
      <c r="J414" s="11" t="s">
        <v>42</v>
      </c>
      <c r="K414" s="11">
        <v>0</v>
      </c>
      <c r="L414" s="11">
        <v>4000</v>
      </c>
      <c r="M414" s="9" t="s">
        <v>103</v>
      </c>
    </row>
    <row r="415" spans="1:13" ht="20.100000000000001" customHeight="1" x14ac:dyDescent="0.2">
      <c r="A415" s="9">
        <f t="shared" si="15"/>
        <v>412</v>
      </c>
      <c r="B415" s="9">
        <v>1411</v>
      </c>
      <c r="C415" s="9">
        <v>2544512938</v>
      </c>
      <c r="D415" s="9" t="s">
        <v>3519</v>
      </c>
      <c r="E415" s="9" t="s">
        <v>2011</v>
      </c>
      <c r="F415" s="9" t="s">
        <v>154</v>
      </c>
      <c r="G415" s="11">
        <v>4000</v>
      </c>
      <c r="H415" s="11">
        <v>0</v>
      </c>
      <c r="I415" s="11" t="s">
        <v>42</v>
      </c>
      <c r="J415" s="11" t="s">
        <v>42</v>
      </c>
      <c r="K415" s="11">
        <v>500</v>
      </c>
      <c r="L415" s="11">
        <v>4500</v>
      </c>
      <c r="M415" s="9" t="s">
        <v>103</v>
      </c>
    </row>
    <row r="416" spans="1:13" ht="20.100000000000001" customHeight="1" x14ac:dyDescent="0.2">
      <c r="A416" s="9">
        <f t="shared" si="15"/>
        <v>413</v>
      </c>
      <c r="B416" s="9">
        <v>1412</v>
      </c>
      <c r="C416" s="9">
        <v>2544512805</v>
      </c>
      <c r="D416" s="9" t="s">
        <v>3519</v>
      </c>
      <c r="E416" s="9" t="s">
        <v>2015</v>
      </c>
      <c r="F416" s="9" t="s">
        <v>431</v>
      </c>
      <c r="G416" s="11">
        <v>4000</v>
      </c>
      <c r="H416" s="11">
        <v>0</v>
      </c>
      <c r="I416" s="11">
        <v>0</v>
      </c>
      <c r="J416" s="11">
        <v>0</v>
      </c>
      <c r="K416" s="11">
        <v>0</v>
      </c>
      <c r="L416" s="11">
        <v>4000</v>
      </c>
      <c r="M416" s="9" t="s">
        <v>103</v>
      </c>
    </row>
    <row r="417" spans="1:13" ht="20.100000000000001" customHeight="1" x14ac:dyDescent="0.2">
      <c r="A417" s="9" t="s">
        <v>3394</v>
      </c>
      <c r="B417" s="9">
        <v>1413</v>
      </c>
      <c r="C417" s="9">
        <v>1109344919</v>
      </c>
      <c r="D417" s="9" t="s">
        <v>3519</v>
      </c>
      <c r="E417" s="9" t="s">
        <v>3395</v>
      </c>
      <c r="F417" s="9" t="s">
        <v>744</v>
      </c>
      <c r="G417" s="11">
        <v>4000</v>
      </c>
      <c r="H417" s="11" t="s">
        <v>42</v>
      </c>
      <c r="I417" s="11" t="s">
        <v>42</v>
      </c>
      <c r="J417" s="11" t="s">
        <v>42</v>
      </c>
      <c r="K417" s="11" t="s">
        <v>42</v>
      </c>
      <c r="L417" s="11">
        <v>4000</v>
      </c>
      <c r="M417" s="9" t="s">
        <v>3506</v>
      </c>
    </row>
    <row r="418" spans="1:13" ht="20.100000000000001" customHeight="1" x14ac:dyDescent="0.2">
      <c r="A418" s="9">
        <f>ROW()-3</f>
        <v>415</v>
      </c>
      <c r="B418" s="9">
        <v>1414</v>
      </c>
      <c r="C418" s="9">
        <v>2519444547</v>
      </c>
      <c r="D418" s="9" t="s">
        <v>3519</v>
      </c>
      <c r="E418" s="9" t="s">
        <v>2019</v>
      </c>
      <c r="F418" s="9" t="s">
        <v>107</v>
      </c>
      <c r="G418" s="11">
        <v>1200</v>
      </c>
      <c r="H418" s="11" t="s">
        <v>42</v>
      </c>
      <c r="I418" s="11" t="s">
        <v>42</v>
      </c>
      <c r="J418" s="11" t="s">
        <v>42</v>
      </c>
      <c r="K418" s="11">
        <v>700</v>
      </c>
      <c r="L418" s="11">
        <v>1900</v>
      </c>
      <c r="M418" s="9" t="s">
        <v>3506</v>
      </c>
    </row>
    <row r="419" spans="1:13" ht="20.100000000000001" customHeight="1" x14ac:dyDescent="0.2">
      <c r="A419" s="9">
        <f>ROW()-3</f>
        <v>416</v>
      </c>
      <c r="B419" s="9">
        <v>1415</v>
      </c>
      <c r="C419" s="9">
        <v>1127584397</v>
      </c>
      <c r="D419" s="9" t="s">
        <v>3519</v>
      </c>
      <c r="E419" s="9" t="s">
        <v>2024</v>
      </c>
      <c r="F419" s="9" t="s">
        <v>744</v>
      </c>
      <c r="G419" s="11">
        <v>4000</v>
      </c>
      <c r="H419" s="11" t="s">
        <v>42</v>
      </c>
      <c r="I419" s="11" t="s">
        <v>42</v>
      </c>
      <c r="J419" s="11" t="s">
        <v>42</v>
      </c>
      <c r="K419" s="11">
        <v>0</v>
      </c>
      <c r="L419" s="11">
        <v>4000</v>
      </c>
      <c r="M419" s="9" t="s">
        <v>3506</v>
      </c>
    </row>
    <row r="420" spans="1:13" ht="20.100000000000001" customHeight="1" x14ac:dyDescent="0.2">
      <c r="A420" s="9">
        <f>ROW()-3</f>
        <v>417</v>
      </c>
      <c r="B420" s="9">
        <v>1416</v>
      </c>
      <c r="C420" s="9">
        <v>1102135611</v>
      </c>
      <c r="D420" s="9" t="s">
        <v>3519</v>
      </c>
      <c r="E420" s="9" t="s">
        <v>2030</v>
      </c>
      <c r="F420" s="9" t="s">
        <v>292</v>
      </c>
      <c r="G420" s="11">
        <v>4000</v>
      </c>
      <c r="H420" s="11">
        <v>0</v>
      </c>
      <c r="I420" s="11" t="s">
        <v>42</v>
      </c>
      <c r="J420" s="11" t="s">
        <v>42</v>
      </c>
      <c r="K420" s="11">
        <v>0</v>
      </c>
      <c r="L420" s="11">
        <v>4000</v>
      </c>
      <c r="M420" s="9" t="s">
        <v>65</v>
      </c>
    </row>
    <row r="421" spans="1:13" ht="20.100000000000001" customHeight="1" x14ac:dyDescent="0.2">
      <c r="A421" s="9">
        <f>ROW()-3</f>
        <v>418</v>
      </c>
      <c r="B421" s="9">
        <v>1417</v>
      </c>
      <c r="C421" s="9"/>
      <c r="D421" s="9" t="s">
        <v>3520</v>
      </c>
      <c r="E421" s="9" t="s">
        <v>2035</v>
      </c>
      <c r="F421" s="9" t="s">
        <v>1961</v>
      </c>
      <c r="G421" s="11">
        <v>1200</v>
      </c>
      <c r="H421" s="11">
        <v>0</v>
      </c>
      <c r="I421" s="11" t="s">
        <v>42</v>
      </c>
      <c r="J421" s="11" t="s">
        <v>42</v>
      </c>
      <c r="K421" s="11">
        <v>600</v>
      </c>
      <c r="L421" s="11">
        <v>1800</v>
      </c>
      <c r="M421" s="9" t="s">
        <v>788</v>
      </c>
    </row>
    <row r="422" spans="1:13" ht="20.100000000000001" customHeight="1" x14ac:dyDescent="0.2">
      <c r="A422" s="9">
        <f>ROW()-3</f>
        <v>419</v>
      </c>
      <c r="B422" s="9">
        <v>1418</v>
      </c>
      <c r="C422" s="9">
        <v>2530688148</v>
      </c>
      <c r="D422" s="9" t="s">
        <v>3519</v>
      </c>
      <c r="E422" s="9" t="s">
        <v>2040</v>
      </c>
      <c r="F422" s="9" t="s">
        <v>431</v>
      </c>
      <c r="G422" s="11">
        <v>1200</v>
      </c>
      <c r="H422" s="11">
        <v>0</v>
      </c>
      <c r="I422" s="11" t="s">
        <v>42</v>
      </c>
      <c r="J422" s="11" t="s">
        <v>42</v>
      </c>
      <c r="K422" s="11">
        <v>1800</v>
      </c>
      <c r="L422" s="11">
        <v>3000</v>
      </c>
      <c r="M422" s="9" t="s">
        <v>103</v>
      </c>
    </row>
    <row r="423" spans="1:13" ht="20.100000000000001" customHeight="1" x14ac:dyDescent="0.2">
      <c r="A423" s="9" t="s">
        <v>3400</v>
      </c>
      <c r="B423" s="9">
        <v>1419</v>
      </c>
      <c r="C423" s="9">
        <v>1098639220</v>
      </c>
      <c r="D423" s="9" t="s">
        <v>3519</v>
      </c>
      <c r="E423" s="9" t="s">
        <v>3401</v>
      </c>
      <c r="F423" s="9" t="s">
        <v>178</v>
      </c>
      <c r="G423" s="11">
        <v>4000</v>
      </c>
      <c r="H423" s="11" t="s">
        <v>42</v>
      </c>
      <c r="I423" s="11" t="s">
        <v>42</v>
      </c>
      <c r="J423" s="11" t="s">
        <v>42</v>
      </c>
      <c r="K423" s="11">
        <v>1500</v>
      </c>
      <c r="L423" s="11">
        <v>5500</v>
      </c>
      <c r="M423" s="9" t="s">
        <v>65</v>
      </c>
    </row>
    <row r="424" spans="1:13" ht="20.100000000000001" customHeight="1" x14ac:dyDescent="0.2">
      <c r="A424" s="9" t="s">
        <v>3406</v>
      </c>
      <c r="B424" s="9">
        <v>1420</v>
      </c>
      <c r="C424" s="9">
        <v>1061049258</v>
      </c>
      <c r="D424" s="9" t="s">
        <v>3519</v>
      </c>
      <c r="E424" s="9" t="s">
        <v>3407</v>
      </c>
      <c r="F424" s="9" t="s">
        <v>292</v>
      </c>
      <c r="G424" s="11">
        <v>4000</v>
      </c>
      <c r="H424" s="11" t="s">
        <v>42</v>
      </c>
      <c r="I424" s="11" t="s">
        <v>42</v>
      </c>
      <c r="J424" s="11" t="s">
        <v>42</v>
      </c>
      <c r="K424" s="11" t="s">
        <v>42</v>
      </c>
      <c r="L424" s="11">
        <v>4000</v>
      </c>
      <c r="M424" s="9" t="s">
        <v>65</v>
      </c>
    </row>
    <row r="425" spans="1:13" ht="20.100000000000001" customHeight="1" x14ac:dyDescent="0.2">
      <c r="A425" s="9" t="s">
        <v>3411</v>
      </c>
      <c r="B425" s="9">
        <v>1421</v>
      </c>
      <c r="C425" s="9">
        <v>1073640193</v>
      </c>
      <c r="D425" s="9" t="s">
        <v>3519</v>
      </c>
      <c r="E425" s="9" t="s">
        <v>3412</v>
      </c>
      <c r="F425" s="9" t="s">
        <v>59</v>
      </c>
      <c r="G425" s="11">
        <v>4000</v>
      </c>
      <c r="H425" s="11" t="s">
        <v>42</v>
      </c>
      <c r="I425" s="11" t="s">
        <v>42</v>
      </c>
      <c r="J425" s="11" t="s">
        <v>42</v>
      </c>
      <c r="K425" s="11" t="s">
        <v>42</v>
      </c>
      <c r="L425" s="11">
        <v>4000</v>
      </c>
      <c r="M425" s="9" t="s">
        <v>65</v>
      </c>
    </row>
    <row r="426" spans="1:13" ht="20.100000000000001" customHeight="1" x14ac:dyDescent="0.2">
      <c r="A426" s="9">
        <f>ROW()-3</f>
        <v>423</v>
      </c>
      <c r="B426" s="9">
        <v>1422</v>
      </c>
      <c r="C426" s="9">
        <v>1119150652</v>
      </c>
      <c r="D426" s="9" t="s">
        <v>3519</v>
      </c>
      <c r="E426" s="9" t="s">
        <v>2048</v>
      </c>
      <c r="F426" s="9" t="s">
        <v>431</v>
      </c>
      <c r="G426" s="11">
        <v>4000</v>
      </c>
      <c r="H426" s="11">
        <v>0</v>
      </c>
      <c r="I426" s="11" t="s">
        <v>42</v>
      </c>
      <c r="J426" s="11" t="s">
        <v>42</v>
      </c>
      <c r="K426" s="11">
        <v>500</v>
      </c>
      <c r="L426" s="11">
        <v>4500</v>
      </c>
      <c r="M426" s="9" t="s">
        <v>103</v>
      </c>
    </row>
    <row r="427" spans="1:13" ht="20.100000000000001" customHeight="1" x14ac:dyDescent="0.2">
      <c r="A427" s="9" t="s">
        <v>3417</v>
      </c>
      <c r="B427" s="9">
        <v>1423</v>
      </c>
      <c r="C427" s="9"/>
      <c r="D427" s="9" t="s">
        <v>3520</v>
      </c>
      <c r="E427" s="9" t="s">
        <v>3418</v>
      </c>
      <c r="F427" s="9" t="s">
        <v>899</v>
      </c>
      <c r="G427" s="11">
        <v>1200</v>
      </c>
      <c r="H427" s="11" t="s">
        <v>42</v>
      </c>
      <c r="I427" s="11" t="s">
        <v>42</v>
      </c>
      <c r="J427" s="11" t="s">
        <v>42</v>
      </c>
      <c r="K427" s="11">
        <v>800</v>
      </c>
      <c r="L427" s="11">
        <v>2000</v>
      </c>
      <c r="M427" s="9" t="s">
        <v>788</v>
      </c>
    </row>
    <row r="428" spans="1:13" ht="20.100000000000001" customHeight="1" x14ac:dyDescent="0.2">
      <c r="A428" s="9">
        <f t="shared" ref="A428:A433" si="16">ROW()-3</f>
        <v>425</v>
      </c>
      <c r="B428" s="9">
        <v>1424</v>
      </c>
      <c r="C428" s="9"/>
      <c r="D428" s="9" t="s">
        <v>3520</v>
      </c>
      <c r="E428" s="9" t="s">
        <v>2054</v>
      </c>
      <c r="F428" s="9" t="s">
        <v>899</v>
      </c>
      <c r="G428" s="11">
        <v>1200</v>
      </c>
      <c r="H428" s="11" t="s">
        <v>42</v>
      </c>
      <c r="I428" s="11" t="s">
        <v>42</v>
      </c>
      <c r="J428" s="11" t="s">
        <v>42</v>
      </c>
      <c r="K428" s="11">
        <v>800</v>
      </c>
      <c r="L428" s="11">
        <v>2000</v>
      </c>
      <c r="M428" s="9" t="s">
        <v>788</v>
      </c>
    </row>
    <row r="429" spans="1:13" ht="20.100000000000001" customHeight="1" x14ac:dyDescent="0.2">
      <c r="A429" s="9">
        <f t="shared" si="16"/>
        <v>426</v>
      </c>
      <c r="B429" s="9">
        <v>1425</v>
      </c>
      <c r="C429" s="9">
        <v>1065338657</v>
      </c>
      <c r="D429" s="9" t="s">
        <v>3519</v>
      </c>
      <c r="E429" s="9" t="s">
        <v>2056</v>
      </c>
      <c r="F429" s="9" t="s">
        <v>107</v>
      </c>
      <c r="G429" s="11">
        <v>4000</v>
      </c>
      <c r="H429" s="11" t="s">
        <v>42</v>
      </c>
      <c r="I429" s="11" t="s">
        <v>42</v>
      </c>
      <c r="J429" s="11" t="s">
        <v>42</v>
      </c>
      <c r="K429" s="11" t="s">
        <v>42</v>
      </c>
      <c r="L429" s="11">
        <v>4000</v>
      </c>
      <c r="M429" s="9" t="s">
        <v>3506</v>
      </c>
    </row>
    <row r="430" spans="1:13" ht="20.100000000000001" customHeight="1" x14ac:dyDescent="0.2">
      <c r="A430" s="9">
        <f t="shared" si="16"/>
        <v>427</v>
      </c>
      <c r="B430" s="9">
        <v>1426</v>
      </c>
      <c r="C430" s="9">
        <v>1116713775</v>
      </c>
      <c r="D430" s="9" t="s">
        <v>3519</v>
      </c>
      <c r="E430" s="9" t="s">
        <v>2062</v>
      </c>
      <c r="F430" s="9" t="s">
        <v>166</v>
      </c>
      <c r="G430" s="11">
        <v>4000</v>
      </c>
      <c r="H430" s="11">
        <v>0</v>
      </c>
      <c r="I430" s="11">
        <v>0</v>
      </c>
      <c r="J430" s="11">
        <v>0</v>
      </c>
      <c r="K430" s="11">
        <v>0</v>
      </c>
      <c r="L430" s="11">
        <v>4000</v>
      </c>
      <c r="M430" s="9" t="s">
        <v>65</v>
      </c>
    </row>
    <row r="431" spans="1:13" ht="20.100000000000001" customHeight="1" x14ac:dyDescent="0.2">
      <c r="A431" s="9">
        <f t="shared" si="16"/>
        <v>428</v>
      </c>
      <c r="B431" s="9">
        <v>1427</v>
      </c>
      <c r="C431" s="9">
        <v>1121290744</v>
      </c>
      <c r="D431" s="9" t="s">
        <v>3519</v>
      </c>
      <c r="E431" s="9" t="s">
        <v>2068</v>
      </c>
      <c r="F431" s="9" t="s">
        <v>45</v>
      </c>
      <c r="G431" s="11">
        <v>4000</v>
      </c>
      <c r="H431" s="11" t="s">
        <v>42</v>
      </c>
      <c r="I431" s="11" t="s">
        <v>42</v>
      </c>
      <c r="J431" s="11">
        <v>0</v>
      </c>
      <c r="K431" s="11">
        <v>1000</v>
      </c>
      <c r="L431" s="11">
        <v>5000</v>
      </c>
      <c r="M431" s="9" t="s">
        <v>3506</v>
      </c>
    </row>
    <row r="432" spans="1:13" ht="20.100000000000001" customHeight="1" x14ac:dyDescent="0.2">
      <c r="A432" s="9">
        <f t="shared" si="16"/>
        <v>429</v>
      </c>
      <c r="B432" s="9">
        <v>1428</v>
      </c>
      <c r="C432" s="9">
        <v>2204619312</v>
      </c>
      <c r="D432" s="9" t="s">
        <v>3519</v>
      </c>
      <c r="E432" s="9" t="s">
        <v>2074</v>
      </c>
      <c r="F432" s="9" t="s">
        <v>222</v>
      </c>
      <c r="G432" s="11">
        <v>5000</v>
      </c>
      <c r="H432" s="11" t="s">
        <v>42</v>
      </c>
      <c r="I432" s="11" t="s">
        <v>42</v>
      </c>
      <c r="J432" s="11" t="s">
        <v>42</v>
      </c>
      <c r="K432" s="11">
        <v>10300</v>
      </c>
      <c r="L432" s="11">
        <v>15300</v>
      </c>
      <c r="M432" s="9" t="s">
        <v>567</v>
      </c>
    </row>
    <row r="433" spans="1:13" ht="20.100000000000001" customHeight="1" x14ac:dyDescent="0.2">
      <c r="A433" s="9">
        <f t="shared" si="16"/>
        <v>430</v>
      </c>
      <c r="B433" s="9">
        <v>1429</v>
      </c>
      <c r="C433" s="9">
        <v>2506264965</v>
      </c>
      <c r="D433" s="9" t="s">
        <v>3520</v>
      </c>
      <c r="E433" s="9" t="s">
        <v>2081</v>
      </c>
      <c r="F433" s="9" t="s">
        <v>899</v>
      </c>
      <c r="G433" s="11">
        <v>1200</v>
      </c>
      <c r="H433" s="11" t="s">
        <v>42</v>
      </c>
      <c r="I433" s="11" t="s">
        <v>42</v>
      </c>
      <c r="J433" s="11" t="s">
        <v>42</v>
      </c>
      <c r="K433" s="11">
        <v>2300</v>
      </c>
      <c r="L433" s="11">
        <v>3500</v>
      </c>
      <c r="M433" s="9" t="s">
        <v>903</v>
      </c>
    </row>
    <row r="434" spans="1:13" ht="20.100000000000001" customHeight="1" x14ac:dyDescent="0.2">
      <c r="A434" s="9" t="s">
        <v>3419</v>
      </c>
      <c r="B434" s="9">
        <v>1430</v>
      </c>
      <c r="C434" s="9">
        <v>2532326614</v>
      </c>
      <c r="D434" s="9" t="s">
        <v>3520</v>
      </c>
      <c r="E434" s="9" t="s">
        <v>3420</v>
      </c>
      <c r="F434" s="9" t="s">
        <v>466</v>
      </c>
      <c r="G434" s="11">
        <v>1200</v>
      </c>
      <c r="H434" s="11" t="s">
        <v>42</v>
      </c>
      <c r="I434" s="11" t="s">
        <v>42</v>
      </c>
      <c r="J434" s="11" t="s">
        <v>42</v>
      </c>
      <c r="K434" s="11">
        <v>700</v>
      </c>
      <c r="L434" s="11">
        <v>1900</v>
      </c>
      <c r="M434" s="9" t="s">
        <v>788</v>
      </c>
    </row>
    <row r="435" spans="1:13" ht="20.100000000000001" customHeight="1" x14ac:dyDescent="0.2">
      <c r="A435" s="9">
        <f>ROW()-3</f>
        <v>432</v>
      </c>
      <c r="B435" s="9">
        <v>1431</v>
      </c>
      <c r="C435" s="9">
        <v>2553147360</v>
      </c>
      <c r="D435" s="9" t="s">
        <v>3105</v>
      </c>
      <c r="E435" s="9" t="s">
        <v>2088</v>
      </c>
      <c r="F435" s="9" t="s">
        <v>178</v>
      </c>
      <c r="G435" s="11">
        <v>4000</v>
      </c>
      <c r="H435" s="11">
        <v>0</v>
      </c>
      <c r="I435" s="11" t="s">
        <v>42</v>
      </c>
      <c r="J435" s="11">
        <v>0</v>
      </c>
      <c r="K435" s="11">
        <v>2000</v>
      </c>
      <c r="L435" s="11">
        <v>6000</v>
      </c>
      <c r="M435" s="9" t="s">
        <v>103</v>
      </c>
    </row>
    <row r="436" spans="1:13" ht="20.100000000000001" customHeight="1" x14ac:dyDescent="0.2">
      <c r="A436" s="9">
        <f>ROW()-3</f>
        <v>433</v>
      </c>
      <c r="B436" s="9">
        <v>1432</v>
      </c>
      <c r="C436" s="9">
        <v>1125576569</v>
      </c>
      <c r="D436" s="9" t="s">
        <v>3519</v>
      </c>
      <c r="E436" s="9" t="s">
        <v>3423</v>
      </c>
      <c r="F436" s="9" t="s">
        <v>59</v>
      </c>
      <c r="G436" s="11">
        <v>4000</v>
      </c>
      <c r="H436" s="11">
        <v>0</v>
      </c>
      <c r="I436" s="11" t="s">
        <v>42</v>
      </c>
      <c r="J436" s="11" t="s">
        <v>42</v>
      </c>
      <c r="K436" s="11">
        <v>0</v>
      </c>
      <c r="L436" s="11">
        <v>4000</v>
      </c>
      <c r="M436" s="9" t="s">
        <v>65</v>
      </c>
    </row>
    <row r="437" spans="1:13" ht="20.100000000000001" customHeight="1" x14ac:dyDescent="0.2">
      <c r="A437" s="9">
        <f>ROW()-3</f>
        <v>434</v>
      </c>
      <c r="B437" s="9">
        <v>1433</v>
      </c>
      <c r="C437" s="9">
        <v>2506045810</v>
      </c>
      <c r="D437" s="9" t="s">
        <v>3519</v>
      </c>
      <c r="E437" s="9" t="s">
        <v>2093</v>
      </c>
      <c r="F437" s="9" t="s">
        <v>222</v>
      </c>
      <c r="G437" s="11">
        <v>1200</v>
      </c>
      <c r="H437" s="11">
        <v>0</v>
      </c>
      <c r="I437" s="11" t="s">
        <v>42</v>
      </c>
      <c r="J437" s="11" t="s">
        <v>42</v>
      </c>
      <c r="K437" s="11">
        <v>2300</v>
      </c>
      <c r="L437" s="11">
        <v>3500</v>
      </c>
      <c r="M437" s="9" t="s">
        <v>567</v>
      </c>
    </row>
    <row r="438" spans="1:13" ht="20.100000000000001" customHeight="1" x14ac:dyDescent="0.2">
      <c r="A438" s="9">
        <f>ROW()-3</f>
        <v>435</v>
      </c>
      <c r="B438" s="9">
        <v>1434</v>
      </c>
      <c r="C438" s="9">
        <v>2552239408</v>
      </c>
      <c r="D438" s="9" t="s">
        <v>3520</v>
      </c>
      <c r="E438" s="9" t="s">
        <v>2099</v>
      </c>
      <c r="F438" s="9" t="s">
        <v>222</v>
      </c>
      <c r="G438" s="11">
        <v>1200</v>
      </c>
      <c r="H438" s="11" t="s">
        <v>42</v>
      </c>
      <c r="I438" s="11" t="s">
        <v>42</v>
      </c>
      <c r="J438" s="11" t="s">
        <v>42</v>
      </c>
      <c r="K438" s="11">
        <v>1800</v>
      </c>
      <c r="L438" s="11">
        <v>3000</v>
      </c>
      <c r="M438" s="9" t="s">
        <v>3506</v>
      </c>
    </row>
    <row r="439" spans="1:13" ht="20.100000000000001" customHeight="1" x14ac:dyDescent="0.2">
      <c r="A439" s="9" t="s">
        <v>3428</v>
      </c>
      <c r="B439" s="9">
        <v>1435</v>
      </c>
      <c r="C439" s="9">
        <v>1041307826</v>
      </c>
      <c r="D439" s="9" t="s">
        <v>3519</v>
      </c>
      <c r="E439" s="9" t="s">
        <v>3429</v>
      </c>
      <c r="F439" s="9" t="s">
        <v>408</v>
      </c>
      <c r="G439" s="11">
        <v>4000</v>
      </c>
      <c r="H439" s="11" t="s">
        <v>42</v>
      </c>
      <c r="I439" s="11" t="s">
        <v>42</v>
      </c>
      <c r="J439" s="11" t="s">
        <v>42</v>
      </c>
      <c r="K439" s="11" t="s">
        <v>42</v>
      </c>
      <c r="L439" s="11">
        <v>4000</v>
      </c>
      <c r="M439" s="9" t="s">
        <v>903</v>
      </c>
    </row>
    <row r="440" spans="1:13" ht="20.100000000000001" customHeight="1" x14ac:dyDescent="0.2">
      <c r="A440" s="9">
        <f>ROW()-3</f>
        <v>437</v>
      </c>
      <c r="B440" s="9">
        <v>1436</v>
      </c>
      <c r="C440" s="9">
        <v>2545273787</v>
      </c>
      <c r="D440" s="9" t="s">
        <v>3105</v>
      </c>
      <c r="E440" s="9" t="s">
        <v>2105</v>
      </c>
      <c r="F440" s="9" t="s">
        <v>270</v>
      </c>
      <c r="G440" s="11">
        <v>1200</v>
      </c>
      <c r="H440" s="11" t="s">
        <v>42</v>
      </c>
      <c r="I440" s="11" t="s">
        <v>42</v>
      </c>
      <c r="J440" s="11" t="s">
        <v>42</v>
      </c>
      <c r="K440" s="11">
        <v>700</v>
      </c>
      <c r="L440" s="11">
        <v>1900</v>
      </c>
      <c r="M440" s="9" t="s">
        <v>443</v>
      </c>
    </row>
    <row r="441" spans="1:13" ht="20.100000000000001" customHeight="1" x14ac:dyDescent="0.2">
      <c r="A441" s="9" t="s">
        <v>3431</v>
      </c>
      <c r="B441" s="9">
        <v>1437</v>
      </c>
      <c r="C441" s="9">
        <v>2194874737</v>
      </c>
      <c r="D441" s="9" t="s">
        <v>3105</v>
      </c>
      <c r="E441" s="9" t="s">
        <v>3432</v>
      </c>
      <c r="F441" s="9" t="s">
        <v>431</v>
      </c>
      <c r="G441" s="11">
        <v>1200</v>
      </c>
      <c r="H441" s="11">
        <v>0</v>
      </c>
      <c r="I441" s="11" t="s">
        <v>42</v>
      </c>
      <c r="J441" s="11" t="s">
        <v>42</v>
      </c>
      <c r="K441" s="11">
        <v>2300</v>
      </c>
      <c r="L441" s="11">
        <v>3500</v>
      </c>
      <c r="M441" s="9" t="s">
        <v>788</v>
      </c>
    </row>
    <row r="442" spans="1:13" ht="20.100000000000001" customHeight="1" x14ac:dyDescent="0.2">
      <c r="A442" s="9">
        <f t="shared" ref="A442:A449" si="17">ROW()-3</f>
        <v>439</v>
      </c>
      <c r="B442" s="9">
        <v>1438</v>
      </c>
      <c r="C442" s="9">
        <v>2373237334</v>
      </c>
      <c r="D442" s="9" t="s">
        <v>3105</v>
      </c>
      <c r="E442" s="9" t="s">
        <v>2110</v>
      </c>
      <c r="F442" s="9" t="s">
        <v>1497</v>
      </c>
      <c r="G442" s="11">
        <v>0</v>
      </c>
      <c r="H442" s="11" t="s">
        <v>42</v>
      </c>
      <c r="I442" s="11" t="s">
        <v>42</v>
      </c>
      <c r="J442" s="11" t="s">
        <v>42</v>
      </c>
      <c r="K442" s="11" t="s">
        <v>42</v>
      </c>
      <c r="L442" s="11">
        <v>0</v>
      </c>
      <c r="M442" s="9" t="s">
        <v>247</v>
      </c>
    </row>
    <row r="443" spans="1:13" ht="20.100000000000001" customHeight="1" x14ac:dyDescent="0.2">
      <c r="A443" s="9">
        <f t="shared" si="17"/>
        <v>440</v>
      </c>
      <c r="B443" s="9">
        <v>1439</v>
      </c>
      <c r="C443" s="9">
        <v>2542185257</v>
      </c>
      <c r="D443" s="9" t="s">
        <v>3520</v>
      </c>
      <c r="E443" s="9" t="s">
        <v>2116</v>
      </c>
      <c r="F443" s="9" t="s">
        <v>899</v>
      </c>
      <c r="G443" s="11">
        <v>1200</v>
      </c>
      <c r="H443" s="11">
        <v>0</v>
      </c>
      <c r="I443" s="11">
        <v>0</v>
      </c>
      <c r="J443" s="11">
        <v>0</v>
      </c>
      <c r="K443" s="11">
        <v>1400</v>
      </c>
      <c r="L443" s="11">
        <v>2600</v>
      </c>
      <c r="M443" s="9" t="s">
        <v>788</v>
      </c>
    </row>
    <row r="444" spans="1:13" ht="20.100000000000001" customHeight="1" x14ac:dyDescent="0.2">
      <c r="A444" s="9">
        <f t="shared" si="17"/>
        <v>441</v>
      </c>
      <c r="B444" s="9">
        <v>1440</v>
      </c>
      <c r="C444" s="9">
        <v>1116441054</v>
      </c>
      <c r="D444" s="9" t="s">
        <v>3519</v>
      </c>
      <c r="E444" s="9" t="s">
        <v>2122</v>
      </c>
      <c r="F444" s="9" t="s">
        <v>408</v>
      </c>
      <c r="G444" s="11">
        <v>4000</v>
      </c>
      <c r="H444" s="11">
        <v>0</v>
      </c>
      <c r="I444" s="11" t="s">
        <v>42</v>
      </c>
      <c r="J444" s="11" t="s">
        <v>42</v>
      </c>
      <c r="K444" s="11" t="s">
        <v>42</v>
      </c>
      <c r="L444" s="11">
        <v>4000</v>
      </c>
      <c r="M444" s="9" t="s">
        <v>567</v>
      </c>
    </row>
    <row r="445" spans="1:13" ht="20.100000000000001" customHeight="1" x14ac:dyDescent="0.2">
      <c r="A445" s="9">
        <f t="shared" si="17"/>
        <v>442</v>
      </c>
      <c r="B445" s="9">
        <v>1442</v>
      </c>
      <c r="C445" s="9">
        <v>1056593864</v>
      </c>
      <c r="D445" s="9" t="s">
        <v>3519</v>
      </c>
      <c r="E445" s="9" t="s">
        <v>2129</v>
      </c>
      <c r="F445" s="9" t="s">
        <v>408</v>
      </c>
      <c r="G445" s="11">
        <v>4000</v>
      </c>
      <c r="H445" s="11">
        <v>0</v>
      </c>
      <c r="I445" s="11" t="s">
        <v>42</v>
      </c>
      <c r="J445" s="11" t="s">
        <v>42</v>
      </c>
      <c r="K445" s="11" t="s">
        <v>42</v>
      </c>
      <c r="L445" s="11">
        <v>4000</v>
      </c>
      <c r="M445" s="9" t="s">
        <v>567</v>
      </c>
    </row>
    <row r="446" spans="1:13" ht="20.100000000000001" customHeight="1" x14ac:dyDescent="0.2">
      <c r="A446" s="9">
        <f t="shared" si="17"/>
        <v>443</v>
      </c>
      <c r="B446" s="9">
        <v>1443</v>
      </c>
      <c r="C446" s="9">
        <v>2541385874</v>
      </c>
      <c r="D446" s="9" t="s">
        <v>3520</v>
      </c>
      <c r="E446" s="9" t="s">
        <v>2135</v>
      </c>
      <c r="F446" s="9" t="s">
        <v>336</v>
      </c>
      <c r="G446" s="11">
        <v>1200</v>
      </c>
      <c r="H446" s="11" t="s">
        <v>42</v>
      </c>
      <c r="I446" s="11" t="s">
        <v>42</v>
      </c>
      <c r="J446" s="11" t="s">
        <v>42</v>
      </c>
      <c r="K446" s="11">
        <v>700</v>
      </c>
      <c r="L446" s="11">
        <v>1900</v>
      </c>
      <c r="M446" s="9" t="s">
        <v>443</v>
      </c>
    </row>
    <row r="447" spans="1:13" ht="20.100000000000001" customHeight="1" x14ac:dyDescent="0.2">
      <c r="A447" s="9">
        <f t="shared" si="17"/>
        <v>444</v>
      </c>
      <c r="B447" s="9">
        <v>1444</v>
      </c>
      <c r="C447" s="9">
        <v>2536214147</v>
      </c>
      <c r="D447" s="9" t="s">
        <v>3520</v>
      </c>
      <c r="E447" s="9" t="s">
        <v>2140</v>
      </c>
      <c r="F447" s="9" t="s">
        <v>2143</v>
      </c>
      <c r="G447" s="11">
        <v>1200</v>
      </c>
      <c r="H447" s="11">
        <v>0</v>
      </c>
      <c r="I447" s="11" t="s">
        <v>42</v>
      </c>
      <c r="J447" s="11" t="s">
        <v>42</v>
      </c>
      <c r="K447" s="11">
        <v>400</v>
      </c>
      <c r="L447" s="11">
        <v>1600</v>
      </c>
      <c r="M447" s="9" t="s">
        <v>443</v>
      </c>
    </row>
    <row r="448" spans="1:13" ht="20.100000000000001" customHeight="1" x14ac:dyDescent="0.2">
      <c r="A448" s="9">
        <f t="shared" si="17"/>
        <v>445</v>
      </c>
      <c r="B448" s="9">
        <v>1445</v>
      </c>
      <c r="C448" s="9">
        <v>1129160790</v>
      </c>
      <c r="D448" s="9" t="s">
        <v>3519</v>
      </c>
      <c r="E448" s="9" t="s">
        <v>2147</v>
      </c>
      <c r="F448" s="9" t="s">
        <v>306</v>
      </c>
      <c r="G448" s="11">
        <v>4000</v>
      </c>
      <c r="H448" s="11" t="s">
        <v>42</v>
      </c>
      <c r="I448" s="11">
        <v>0</v>
      </c>
      <c r="J448" s="11" t="s">
        <v>42</v>
      </c>
      <c r="K448" s="11" t="s">
        <v>42</v>
      </c>
      <c r="L448" s="11">
        <v>4000</v>
      </c>
      <c r="M448" s="9" t="s">
        <v>3506</v>
      </c>
    </row>
    <row r="449" spans="1:13" ht="20.100000000000001" customHeight="1" x14ac:dyDescent="0.2">
      <c r="A449" s="9">
        <f t="shared" si="17"/>
        <v>446</v>
      </c>
      <c r="B449" s="9">
        <v>1446</v>
      </c>
      <c r="C449" s="9">
        <v>2526330135</v>
      </c>
      <c r="D449" s="9" t="s">
        <v>3519</v>
      </c>
      <c r="E449" s="9" t="s">
        <v>2153</v>
      </c>
      <c r="F449" s="9" t="s">
        <v>222</v>
      </c>
      <c r="G449" s="11">
        <v>1200</v>
      </c>
      <c r="H449" s="11">
        <v>0</v>
      </c>
      <c r="I449" s="11">
        <v>0</v>
      </c>
      <c r="J449" s="11">
        <v>0</v>
      </c>
      <c r="K449" s="11">
        <v>1300</v>
      </c>
      <c r="L449" s="11">
        <v>2500</v>
      </c>
      <c r="M449" s="9" t="s">
        <v>567</v>
      </c>
    </row>
    <row r="450" spans="1:13" ht="20.100000000000001" customHeight="1" x14ac:dyDescent="0.2">
      <c r="A450" s="9" t="s">
        <v>3437</v>
      </c>
      <c r="B450" s="9">
        <v>1447</v>
      </c>
      <c r="C450" s="9">
        <v>1068938453</v>
      </c>
      <c r="D450" s="9" t="s">
        <v>3519</v>
      </c>
      <c r="E450" s="9" t="s">
        <v>3438</v>
      </c>
      <c r="F450" s="9" t="s">
        <v>408</v>
      </c>
      <c r="G450" s="11">
        <v>4000</v>
      </c>
      <c r="H450" s="11" t="s">
        <v>42</v>
      </c>
      <c r="I450" s="11" t="s">
        <v>42</v>
      </c>
      <c r="J450" s="11" t="s">
        <v>42</v>
      </c>
      <c r="K450" s="11" t="s">
        <v>42</v>
      </c>
      <c r="L450" s="11">
        <v>4000</v>
      </c>
      <c r="M450" s="9" t="s">
        <v>65</v>
      </c>
    </row>
    <row r="451" spans="1:13" ht="20.100000000000001" customHeight="1" x14ac:dyDescent="0.2">
      <c r="A451" s="9">
        <f t="shared" ref="A451:A460" si="18">ROW()-3</f>
        <v>448</v>
      </c>
      <c r="B451" s="9">
        <v>1448</v>
      </c>
      <c r="C451" s="9">
        <v>1128268537</v>
      </c>
      <c r="D451" s="9" t="s">
        <v>3519</v>
      </c>
      <c r="E451" s="9" t="s">
        <v>2159</v>
      </c>
      <c r="F451" s="9" t="s">
        <v>107</v>
      </c>
      <c r="G451" s="11">
        <v>4000</v>
      </c>
      <c r="H451" s="11" t="s">
        <v>42</v>
      </c>
      <c r="I451" s="11" t="s">
        <v>42</v>
      </c>
      <c r="J451" s="11" t="s">
        <v>42</v>
      </c>
      <c r="K451" s="11" t="s">
        <v>42</v>
      </c>
      <c r="L451" s="11">
        <v>4000</v>
      </c>
      <c r="M451" s="9" t="s">
        <v>3506</v>
      </c>
    </row>
    <row r="452" spans="1:13" ht="20.100000000000001" customHeight="1" x14ac:dyDescent="0.2">
      <c r="A452" s="9">
        <f t="shared" si="18"/>
        <v>449</v>
      </c>
      <c r="B452" s="9">
        <v>1449</v>
      </c>
      <c r="C452" s="9">
        <v>1117591378</v>
      </c>
      <c r="D452" s="9" t="s">
        <v>3519</v>
      </c>
      <c r="E452" s="9" t="s">
        <v>2165</v>
      </c>
      <c r="F452" s="9" t="s">
        <v>336</v>
      </c>
      <c r="G452" s="11">
        <v>4000</v>
      </c>
      <c r="H452" s="11" t="s">
        <v>42</v>
      </c>
      <c r="I452" s="11" t="s">
        <v>42</v>
      </c>
      <c r="J452" s="11" t="s">
        <v>42</v>
      </c>
      <c r="K452" s="11" t="s">
        <v>42</v>
      </c>
      <c r="L452" s="11">
        <v>4000</v>
      </c>
      <c r="M452" s="9" t="s">
        <v>443</v>
      </c>
    </row>
    <row r="453" spans="1:13" ht="20.100000000000001" customHeight="1" x14ac:dyDescent="0.2">
      <c r="A453" s="9">
        <f t="shared" si="18"/>
        <v>450</v>
      </c>
      <c r="B453" s="9">
        <v>1450</v>
      </c>
      <c r="C453" s="9">
        <v>1080517541</v>
      </c>
      <c r="D453" s="9" t="s">
        <v>3519</v>
      </c>
      <c r="E453" s="9" t="s">
        <v>2171</v>
      </c>
      <c r="F453" s="9" t="s">
        <v>336</v>
      </c>
      <c r="G453" s="11">
        <v>4000</v>
      </c>
      <c r="H453" s="11" t="s">
        <v>42</v>
      </c>
      <c r="I453" s="11" t="s">
        <v>42</v>
      </c>
      <c r="J453" s="11" t="s">
        <v>42</v>
      </c>
      <c r="K453" s="11" t="s">
        <v>42</v>
      </c>
      <c r="L453" s="11">
        <v>4000</v>
      </c>
      <c r="M453" s="9" t="s">
        <v>443</v>
      </c>
    </row>
    <row r="454" spans="1:13" ht="20.100000000000001" customHeight="1" x14ac:dyDescent="0.2">
      <c r="A454" s="9">
        <f t="shared" si="18"/>
        <v>451</v>
      </c>
      <c r="B454" s="9">
        <v>1451</v>
      </c>
      <c r="C454" s="9">
        <v>2545416451</v>
      </c>
      <c r="D454" s="9" t="s">
        <v>3519</v>
      </c>
      <c r="E454" s="9" t="s">
        <v>2176</v>
      </c>
      <c r="F454" s="9" t="s">
        <v>2143</v>
      </c>
      <c r="G454" s="11">
        <v>1200</v>
      </c>
      <c r="H454" s="11">
        <v>0</v>
      </c>
      <c r="I454" s="11">
        <v>0</v>
      </c>
      <c r="J454" s="11">
        <v>0</v>
      </c>
      <c r="K454" s="11">
        <v>400</v>
      </c>
      <c r="L454" s="11">
        <v>1600</v>
      </c>
      <c r="M454" s="9" t="s">
        <v>443</v>
      </c>
    </row>
    <row r="455" spans="1:13" ht="20.100000000000001" customHeight="1" x14ac:dyDescent="0.2">
      <c r="A455" s="9">
        <f t="shared" si="18"/>
        <v>452</v>
      </c>
      <c r="B455" s="9">
        <v>1452</v>
      </c>
      <c r="C455" s="9">
        <v>2545373306</v>
      </c>
      <c r="D455" s="9" t="s">
        <v>3520</v>
      </c>
      <c r="E455" s="9" t="s">
        <v>2182</v>
      </c>
      <c r="F455" s="9" t="s">
        <v>2143</v>
      </c>
      <c r="G455" s="11">
        <v>1200</v>
      </c>
      <c r="H455" s="11" t="s">
        <v>42</v>
      </c>
      <c r="I455" s="11" t="s">
        <v>42</v>
      </c>
      <c r="J455" s="11" t="s">
        <v>42</v>
      </c>
      <c r="K455" s="11">
        <v>400</v>
      </c>
      <c r="L455" s="11">
        <v>1600</v>
      </c>
      <c r="M455" s="9" t="s">
        <v>443</v>
      </c>
    </row>
    <row r="456" spans="1:13" ht="20.100000000000001" customHeight="1" x14ac:dyDescent="0.2">
      <c r="A456" s="9">
        <f t="shared" si="18"/>
        <v>453</v>
      </c>
      <c r="B456" s="9">
        <v>1453</v>
      </c>
      <c r="C456" s="9">
        <v>2545942092</v>
      </c>
      <c r="D456" s="9" t="s">
        <v>3520</v>
      </c>
      <c r="E456" s="9" t="s">
        <v>2188</v>
      </c>
      <c r="F456" s="9" t="s">
        <v>59</v>
      </c>
      <c r="G456" s="11">
        <v>1200</v>
      </c>
      <c r="H456" s="11">
        <v>0</v>
      </c>
      <c r="I456" s="11" t="s">
        <v>42</v>
      </c>
      <c r="J456" s="11" t="s">
        <v>42</v>
      </c>
      <c r="K456" s="11">
        <v>400</v>
      </c>
      <c r="L456" s="11">
        <v>1600</v>
      </c>
      <c r="M456" s="9" t="s">
        <v>65</v>
      </c>
    </row>
    <row r="457" spans="1:13" ht="20.100000000000001" customHeight="1" x14ac:dyDescent="0.2">
      <c r="A457" s="9">
        <f t="shared" si="18"/>
        <v>454</v>
      </c>
      <c r="B457" s="9">
        <v>1455</v>
      </c>
      <c r="C457" s="9">
        <v>2461580207</v>
      </c>
      <c r="D457" s="9" t="s">
        <v>3105</v>
      </c>
      <c r="E457" s="9" t="s">
        <v>2192</v>
      </c>
      <c r="F457" s="9" t="s">
        <v>166</v>
      </c>
      <c r="G457" s="11">
        <v>1200</v>
      </c>
      <c r="H457" s="11" t="s">
        <v>42</v>
      </c>
      <c r="I457" s="11" t="s">
        <v>42</v>
      </c>
      <c r="J457" s="11" t="s">
        <v>42</v>
      </c>
      <c r="K457" s="11">
        <v>800</v>
      </c>
      <c r="L457" s="11">
        <v>2000</v>
      </c>
      <c r="M457" s="9" t="s">
        <v>443</v>
      </c>
    </row>
    <row r="458" spans="1:13" ht="20.100000000000001" customHeight="1" x14ac:dyDescent="0.2">
      <c r="A458" s="9">
        <f t="shared" si="18"/>
        <v>455</v>
      </c>
      <c r="B458" s="9">
        <v>1456</v>
      </c>
      <c r="C458" s="9">
        <v>2552377935</v>
      </c>
      <c r="D458" s="9" t="s">
        <v>3519</v>
      </c>
      <c r="E458" s="9" t="s">
        <v>2196</v>
      </c>
      <c r="F458" s="9" t="s">
        <v>2143</v>
      </c>
      <c r="G458" s="11">
        <v>1200</v>
      </c>
      <c r="H458" s="11" t="s">
        <v>42</v>
      </c>
      <c r="I458" s="11" t="s">
        <v>42</v>
      </c>
      <c r="J458" s="11" t="s">
        <v>42</v>
      </c>
      <c r="K458" s="11">
        <v>1300</v>
      </c>
      <c r="L458" s="11">
        <v>2500</v>
      </c>
      <c r="M458" s="9" t="s">
        <v>443</v>
      </c>
    </row>
    <row r="459" spans="1:13" ht="20.100000000000001" customHeight="1" x14ac:dyDescent="0.2">
      <c r="A459" s="9">
        <f t="shared" si="18"/>
        <v>456</v>
      </c>
      <c r="B459" s="9">
        <v>1457</v>
      </c>
      <c r="C459" s="9">
        <v>311536969684</v>
      </c>
      <c r="D459" s="9" t="s">
        <v>3520</v>
      </c>
      <c r="E459" s="9" t="s">
        <v>2201</v>
      </c>
      <c r="F459" s="9" t="s">
        <v>899</v>
      </c>
      <c r="G459" s="11">
        <v>1200</v>
      </c>
      <c r="H459" s="11" t="s">
        <v>42</v>
      </c>
      <c r="I459" s="11" t="s">
        <v>42</v>
      </c>
      <c r="J459" s="11" t="s">
        <v>42</v>
      </c>
      <c r="K459" s="11">
        <v>800</v>
      </c>
      <c r="L459" s="11">
        <v>2000</v>
      </c>
      <c r="M459" s="9" t="s">
        <v>788</v>
      </c>
    </row>
    <row r="460" spans="1:13" ht="20.100000000000001" customHeight="1" x14ac:dyDescent="0.2">
      <c r="A460" s="9">
        <f t="shared" si="18"/>
        <v>457</v>
      </c>
      <c r="B460" s="9">
        <v>1458</v>
      </c>
      <c r="C460" s="9">
        <v>2240070868</v>
      </c>
      <c r="D460" s="9" t="s">
        <v>3105</v>
      </c>
      <c r="E460" s="9" t="s">
        <v>2204</v>
      </c>
      <c r="F460" s="9" t="s">
        <v>222</v>
      </c>
      <c r="G460" s="11">
        <v>1200</v>
      </c>
      <c r="H460" s="11">
        <v>0</v>
      </c>
      <c r="I460" s="11" t="s">
        <v>42</v>
      </c>
      <c r="J460" s="11" t="s">
        <v>42</v>
      </c>
      <c r="K460" s="11">
        <v>800</v>
      </c>
      <c r="L460" s="11">
        <v>2000</v>
      </c>
      <c r="M460" s="9" t="s">
        <v>788</v>
      </c>
    </row>
    <row r="461" spans="1:13" ht="20.100000000000001" customHeight="1" x14ac:dyDescent="0.2">
      <c r="A461" s="9" t="s">
        <v>3441</v>
      </c>
      <c r="B461" s="9">
        <v>1459</v>
      </c>
      <c r="C461" s="9">
        <v>1096102098</v>
      </c>
      <c r="D461" s="9" t="s">
        <v>3519</v>
      </c>
      <c r="E461" s="9" t="s">
        <v>3442</v>
      </c>
      <c r="F461" s="9" t="s">
        <v>45</v>
      </c>
      <c r="G461" s="11" t="s">
        <v>42</v>
      </c>
      <c r="H461" s="11" t="s">
        <v>42</v>
      </c>
      <c r="I461" s="11" t="s">
        <v>42</v>
      </c>
      <c r="J461" s="11" t="s">
        <v>42</v>
      </c>
      <c r="K461" s="11" t="s">
        <v>42</v>
      </c>
      <c r="L461" s="11">
        <v>0</v>
      </c>
      <c r="M461" s="9" t="s">
        <v>3506</v>
      </c>
    </row>
    <row r="462" spans="1:13" ht="20.100000000000001" customHeight="1" x14ac:dyDescent="0.2">
      <c r="A462" s="9">
        <f t="shared" ref="A462:A467" si="19">ROW()-3</f>
        <v>459</v>
      </c>
      <c r="B462" s="9">
        <v>1460</v>
      </c>
      <c r="C462" s="9">
        <v>1100868668</v>
      </c>
      <c r="D462" s="9" t="s">
        <v>3519</v>
      </c>
      <c r="E462" s="9" t="s">
        <v>2211</v>
      </c>
      <c r="F462" s="9" t="s">
        <v>45</v>
      </c>
      <c r="G462" s="11">
        <v>4000</v>
      </c>
      <c r="H462" s="11">
        <v>0</v>
      </c>
      <c r="I462" s="11" t="s">
        <v>42</v>
      </c>
      <c r="J462" s="11" t="s">
        <v>42</v>
      </c>
      <c r="K462" s="11" t="s">
        <v>42</v>
      </c>
      <c r="L462" s="11">
        <v>4000</v>
      </c>
      <c r="M462" s="9" t="s">
        <v>65</v>
      </c>
    </row>
    <row r="463" spans="1:13" ht="20.100000000000001" customHeight="1" x14ac:dyDescent="0.2">
      <c r="A463" s="9">
        <f t="shared" si="19"/>
        <v>460</v>
      </c>
      <c r="B463" s="9">
        <v>1461</v>
      </c>
      <c r="C463" s="9">
        <v>1089159121</v>
      </c>
      <c r="D463" s="9" t="s">
        <v>3519</v>
      </c>
      <c r="E463" s="9" t="s">
        <v>2218</v>
      </c>
      <c r="F463" s="9" t="s">
        <v>45</v>
      </c>
      <c r="G463" s="11">
        <v>4000</v>
      </c>
      <c r="H463" s="11">
        <v>0</v>
      </c>
      <c r="I463" s="11" t="s">
        <v>42</v>
      </c>
      <c r="J463" s="11" t="s">
        <v>42</v>
      </c>
      <c r="K463" s="11" t="s">
        <v>42</v>
      </c>
      <c r="L463" s="11">
        <v>4000</v>
      </c>
      <c r="M463" s="9" t="s">
        <v>65</v>
      </c>
    </row>
    <row r="464" spans="1:13" ht="20.100000000000001" customHeight="1" x14ac:dyDescent="0.2">
      <c r="A464" s="9">
        <f t="shared" si="19"/>
        <v>461</v>
      </c>
      <c r="B464" s="9">
        <v>1462</v>
      </c>
      <c r="C464" s="9"/>
      <c r="D464" s="9" t="s">
        <v>1404</v>
      </c>
      <c r="E464" s="9" t="s">
        <v>2224</v>
      </c>
      <c r="F464" s="9" t="s">
        <v>178</v>
      </c>
      <c r="G464" s="11">
        <v>2500</v>
      </c>
      <c r="H464" s="11">
        <v>0</v>
      </c>
      <c r="I464" s="11" t="s">
        <v>42</v>
      </c>
      <c r="J464" s="11">
        <v>0</v>
      </c>
      <c r="K464" s="11" t="s">
        <v>42</v>
      </c>
      <c r="L464" s="11">
        <v>2500</v>
      </c>
      <c r="M464" s="9" t="s">
        <v>788</v>
      </c>
    </row>
    <row r="465" spans="1:13" ht="20.100000000000001" customHeight="1" x14ac:dyDescent="0.2">
      <c r="A465" s="9">
        <f t="shared" si="19"/>
        <v>462</v>
      </c>
      <c r="B465" s="9">
        <v>1463</v>
      </c>
      <c r="C465" s="9">
        <v>2446047033</v>
      </c>
      <c r="D465" s="9" t="s">
        <v>3105</v>
      </c>
      <c r="E465" s="9" t="s">
        <v>2226</v>
      </c>
      <c r="F465" s="9" t="s">
        <v>45</v>
      </c>
      <c r="G465" s="11">
        <v>1200</v>
      </c>
      <c r="H465" s="11">
        <v>0</v>
      </c>
      <c r="I465" s="11">
        <v>0</v>
      </c>
      <c r="J465" s="11">
        <v>0</v>
      </c>
      <c r="K465" s="11">
        <v>1800</v>
      </c>
      <c r="L465" s="11">
        <v>3000</v>
      </c>
      <c r="M465" s="9" t="s">
        <v>65</v>
      </c>
    </row>
    <row r="466" spans="1:13" ht="20.100000000000001" customHeight="1" x14ac:dyDescent="0.2">
      <c r="A466" s="9">
        <f t="shared" si="19"/>
        <v>463</v>
      </c>
      <c r="B466" s="9">
        <v>1464</v>
      </c>
      <c r="C466" s="9">
        <v>1022864241</v>
      </c>
      <c r="D466" s="9" t="s">
        <v>3519</v>
      </c>
      <c r="E466" s="9" t="s">
        <v>2234</v>
      </c>
      <c r="F466" s="9" t="s">
        <v>45</v>
      </c>
      <c r="G466" s="11">
        <v>4000</v>
      </c>
      <c r="H466" s="11">
        <v>0</v>
      </c>
      <c r="I466" s="11" t="s">
        <v>42</v>
      </c>
      <c r="J466" s="11" t="s">
        <v>42</v>
      </c>
      <c r="K466" s="11" t="s">
        <v>42</v>
      </c>
      <c r="L466" s="11">
        <v>4000</v>
      </c>
      <c r="M466" s="9" t="s">
        <v>103</v>
      </c>
    </row>
    <row r="467" spans="1:13" ht="20.100000000000001" customHeight="1" x14ac:dyDescent="0.2">
      <c r="A467" s="9">
        <f t="shared" si="19"/>
        <v>464</v>
      </c>
      <c r="B467" s="9">
        <v>1465</v>
      </c>
      <c r="C467" s="9">
        <v>2492331539</v>
      </c>
      <c r="D467" s="9" t="s">
        <v>3105</v>
      </c>
      <c r="E467" s="9" t="s">
        <v>2240</v>
      </c>
      <c r="F467" s="9" t="s">
        <v>222</v>
      </c>
      <c r="G467" s="11">
        <v>1200</v>
      </c>
      <c r="H467" s="11">
        <v>0</v>
      </c>
      <c r="I467" s="11" t="s">
        <v>42</v>
      </c>
      <c r="J467" s="11" t="s">
        <v>42</v>
      </c>
      <c r="K467" s="11">
        <v>2300</v>
      </c>
      <c r="L467" s="11">
        <v>3500</v>
      </c>
      <c r="M467" s="9" t="s">
        <v>788</v>
      </c>
    </row>
    <row r="468" spans="1:13" ht="20.100000000000001" customHeight="1" x14ac:dyDescent="0.2">
      <c r="A468" s="9" t="s">
        <v>3448</v>
      </c>
      <c r="B468" s="9">
        <v>1466</v>
      </c>
      <c r="C468" s="9">
        <v>2525131336</v>
      </c>
      <c r="D468" s="9" t="s">
        <v>3520</v>
      </c>
      <c r="E468" s="9" t="s">
        <v>3449</v>
      </c>
      <c r="F468" s="9" t="s">
        <v>270</v>
      </c>
      <c r="G468" s="11">
        <v>1200</v>
      </c>
      <c r="H468" s="11" t="s">
        <v>42</v>
      </c>
      <c r="I468" s="11" t="s">
        <v>42</v>
      </c>
      <c r="J468" s="11" t="s">
        <v>42</v>
      </c>
      <c r="K468" s="11">
        <v>400</v>
      </c>
      <c r="L468" s="11">
        <v>1600</v>
      </c>
      <c r="M468" s="9" t="s">
        <v>788</v>
      </c>
    </row>
    <row r="469" spans="1:13" ht="20.100000000000001" customHeight="1" x14ac:dyDescent="0.2">
      <c r="A469" s="9">
        <f t="shared" ref="A469:A477" si="20">ROW()-3</f>
        <v>466</v>
      </c>
      <c r="B469" s="9">
        <v>1467</v>
      </c>
      <c r="C469" s="9">
        <v>2548470885</v>
      </c>
      <c r="D469" s="9" t="s">
        <v>3520</v>
      </c>
      <c r="E469" s="9" t="s">
        <v>2246</v>
      </c>
      <c r="F469" s="9" t="s">
        <v>336</v>
      </c>
      <c r="G469" s="11">
        <v>1200</v>
      </c>
      <c r="H469" s="11" t="s">
        <v>42</v>
      </c>
      <c r="I469" s="11" t="s">
        <v>42</v>
      </c>
      <c r="J469" s="11" t="s">
        <v>42</v>
      </c>
      <c r="K469" s="11">
        <v>400</v>
      </c>
      <c r="L469" s="11">
        <v>1600</v>
      </c>
      <c r="M469" s="9" t="s">
        <v>443</v>
      </c>
    </row>
    <row r="470" spans="1:13" ht="20.100000000000001" customHeight="1" x14ac:dyDescent="0.2">
      <c r="A470" s="9">
        <f t="shared" si="20"/>
        <v>467</v>
      </c>
      <c r="B470" s="9">
        <v>1468</v>
      </c>
      <c r="C470" s="9">
        <v>2548470547</v>
      </c>
      <c r="D470" s="9" t="s">
        <v>3520</v>
      </c>
      <c r="E470" s="9" t="s">
        <v>3453</v>
      </c>
      <c r="F470" s="9" t="s">
        <v>203</v>
      </c>
      <c r="G470" s="11">
        <v>1200</v>
      </c>
      <c r="H470" s="11" t="s">
        <v>42</v>
      </c>
      <c r="I470" s="11" t="s">
        <v>42</v>
      </c>
      <c r="J470" s="11" t="s">
        <v>42</v>
      </c>
      <c r="K470" s="11">
        <v>400</v>
      </c>
      <c r="L470" s="11">
        <v>1600</v>
      </c>
      <c r="M470" s="9" t="s">
        <v>788</v>
      </c>
    </row>
    <row r="471" spans="1:13" ht="20.100000000000001" customHeight="1" x14ac:dyDescent="0.2">
      <c r="A471" s="9">
        <f t="shared" si="20"/>
        <v>468</v>
      </c>
      <c r="B471" s="9">
        <v>1469</v>
      </c>
      <c r="C471" s="9">
        <v>2548470216</v>
      </c>
      <c r="D471" s="9" t="s">
        <v>3520</v>
      </c>
      <c r="E471" s="9" t="s">
        <v>2250</v>
      </c>
      <c r="F471" s="9" t="s">
        <v>306</v>
      </c>
      <c r="G471" s="11">
        <v>1200</v>
      </c>
      <c r="H471" s="11" t="s">
        <v>42</v>
      </c>
      <c r="I471" s="11" t="s">
        <v>42</v>
      </c>
      <c r="J471" s="11" t="s">
        <v>42</v>
      </c>
      <c r="K471" s="11">
        <v>400</v>
      </c>
      <c r="L471" s="11">
        <v>1600</v>
      </c>
      <c r="M471" s="9" t="s">
        <v>3506</v>
      </c>
    </row>
    <row r="472" spans="1:13" ht="20.100000000000001" customHeight="1" x14ac:dyDescent="0.2">
      <c r="A472" s="9">
        <f t="shared" si="20"/>
        <v>469</v>
      </c>
      <c r="B472" s="9">
        <v>1470</v>
      </c>
      <c r="C472" s="9"/>
      <c r="D472" s="9" t="s">
        <v>3522</v>
      </c>
      <c r="E472" s="9" t="s">
        <v>2253</v>
      </c>
      <c r="F472" s="9" t="s">
        <v>899</v>
      </c>
      <c r="G472" s="11" t="s">
        <v>42</v>
      </c>
      <c r="H472" s="11" t="s">
        <v>42</v>
      </c>
      <c r="I472" s="11" t="s">
        <v>42</v>
      </c>
      <c r="J472" s="11" t="s">
        <v>42</v>
      </c>
      <c r="K472" s="11" t="s">
        <v>42</v>
      </c>
      <c r="L472" s="11">
        <v>0</v>
      </c>
      <c r="M472" s="9" t="s">
        <v>903</v>
      </c>
    </row>
    <row r="473" spans="1:13" ht="20.100000000000001" customHeight="1" x14ac:dyDescent="0.2">
      <c r="A473" s="9">
        <f t="shared" si="20"/>
        <v>470</v>
      </c>
      <c r="B473" s="9">
        <v>1471</v>
      </c>
      <c r="C473" s="9">
        <v>1077962635</v>
      </c>
      <c r="D473" s="9" t="s">
        <v>3519</v>
      </c>
      <c r="E473" s="9" t="s">
        <v>2257</v>
      </c>
      <c r="F473" s="9" t="s">
        <v>408</v>
      </c>
      <c r="G473" s="11">
        <v>4000</v>
      </c>
      <c r="H473" s="11">
        <v>0</v>
      </c>
      <c r="I473" s="11" t="s">
        <v>42</v>
      </c>
      <c r="J473" s="11" t="s">
        <v>42</v>
      </c>
      <c r="K473" s="11" t="s">
        <v>42</v>
      </c>
      <c r="L473" s="11">
        <v>4000</v>
      </c>
      <c r="M473" s="9" t="s">
        <v>103</v>
      </c>
    </row>
    <row r="474" spans="1:13" ht="20.100000000000001" customHeight="1" x14ac:dyDescent="0.2">
      <c r="A474" s="9">
        <f t="shared" si="20"/>
        <v>471</v>
      </c>
      <c r="B474" s="9">
        <v>1472</v>
      </c>
      <c r="C474" s="9">
        <v>2535642934</v>
      </c>
      <c r="D474" s="9" t="s">
        <v>3520</v>
      </c>
      <c r="E474" s="9" t="s">
        <v>2263</v>
      </c>
      <c r="F474" s="9" t="s">
        <v>45</v>
      </c>
      <c r="G474" s="11">
        <v>1200</v>
      </c>
      <c r="H474" s="11">
        <v>0</v>
      </c>
      <c r="I474" s="11">
        <v>0</v>
      </c>
      <c r="J474" s="11">
        <v>0</v>
      </c>
      <c r="K474" s="11">
        <v>1800</v>
      </c>
      <c r="L474" s="11">
        <v>3000</v>
      </c>
      <c r="M474" s="9" t="s">
        <v>103</v>
      </c>
    </row>
    <row r="475" spans="1:13" ht="20.100000000000001" customHeight="1" x14ac:dyDescent="0.2">
      <c r="A475" s="9">
        <f t="shared" si="20"/>
        <v>472</v>
      </c>
      <c r="B475" s="9">
        <v>1473</v>
      </c>
      <c r="C475" s="9">
        <v>1114525148</v>
      </c>
      <c r="D475" s="9" t="s">
        <v>3519</v>
      </c>
      <c r="E475" s="9" t="s">
        <v>2270</v>
      </c>
      <c r="F475" s="9" t="s">
        <v>45</v>
      </c>
      <c r="G475" s="11">
        <v>4000</v>
      </c>
      <c r="H475" s="11">
        <v>0</v>
      </c>
      <c r="I475" s="11" t="s">
        <v>42</v>
      </c>
      <c r="J475" s="11" t="s">
        <v>42</v>
      </c>
      <c r="K475" s="11" t="s">
        <v>42</v>
      </c>
      <c r="L475" s="11">
        <v>4000</v>
      </c>
      <c r="M475" s="9" t="s">
        <v>103</v>
      </c>
    </row>
    <row r="476" spans="1:13" ht="20.100000000000001" customHeight="1" x14ac:dyDescent="0.2">
      <c r="A476" s="9">
        <f t="shared" si="20"/>
        <v>473</v>
      </c>
      <c r="B476" s="9">
        <v>1474</v>
      </c>
      <c r="C476" s="9">
        <v>2554085015</v>
      </c>
      <c r="D476" s="9" t="s">
        <v>3520</v>
      </c>
      <c r="E476" s="9" t="s">
        <v>2276</v>
      </c>
      <c r="F476" s="9" t="s">
        <v>222</v>
      </c>
      <c r="G476" s="11">
        <v>1200</v>
      </c>
      <c r="H476" s="11">
        <v>0</v>
      </c>
      <c r="I476" s="11" t="s">
        <v>42</v>
      </c>
      <c r="J476" s="11" t="s">
        <v>42</v>
      </c>
      <c r="K476" s="11">
        <v>1800</v>
      </c>
      <c r="L476" s="11">
        <v>3000</v>
      </c>
      <c r="M476" s="9" t="s">
        <v>103</v>
      </c>
    </row>
    <row r="477" spans="1:13" ht="20.100000000000001" customHeight="1" x14ac:dyDescent="0.2">
      <c r="A477" s="9">
        <f t="shared" si="20"/>
        <v>474</v>
      </c>
      <c r="B477" s="9">
        <v>1475</v>
      </c>
      <c r="C477" s="9">
        <v>2534249236</v>
      </c>
      <c r="D477" s="9" t="s">
        <v>3105</v>
      </c>
      <c r="E477" s="9" t="s">
        <v>2281</v>
      </c>
      <c r="F477" s="9" t="s">
        <v>154</v>
      </c>
      <c r="G477" s="11">
        <v>1200</v>
      </c>
      <c r="H477" s="11">
        <v>0</v>
      </c>
      <c r="I477" s="11">
        <v>0</v>
      </c>
      <c r="J477" s="11">
        <v>0</v>
      </c>
      <c r="K477" s="11">
        <v>2300</v>
      </c>
      <c r="L477" s="11">
        <v>3500</v>
      </c>
      <c r="M477" s="9" t="s">
        <v>103</v>
      </c>
    </row>
    <row r="478" spans="1:13" ht="20.100000000000001" customHeight="1" x14ac:dyDescent="0.2">
      <c r="A478" s="9" t="s">
        <v>3458</v>
      </c>
      <c r="B478" s="9">
        <v>1476</v>
      </c>
      <c r="C478" s="9">
        <v>3112210863</v>
      </c>
      <c r="D478" s="9" t="s">
        <v>3520</v>
      </c>
      <c r="E478" s="9" t="s">
        <v>3459</v>
      </c>
      <c r="F478" s="9" t="s">
        <v>466</v>
      </c>
      <c r="G478" s="11" t="s">
        <v>42</v>
      </c>
      <c r="H478" s="11" t="s">
        <v>42</v>
      </c>
      <c r="I478" s="11" t="s">
        <v>42</v>
      </c>
      <c r="J478" s="11" t="s">
        <v>42</v>
      </c>
      <c r="K478" s="11" t="s">
        <v>42</v>
      </c>
      <c r="L478" s="11">
        <v>0</v>
      </c>
      <c r="M478" s="9" t="s">
        <v>788</v>
      </c>
    </row>
    <row r="479" spans="1:13" ht="20.100000000000001" customHeight="1" x14ac:dyDescent="0.2">
      <c r="A479" s="9">
        <f>ROW()-3</f>
        <v>476</v>
      </c>
      <c r="B479" s="9">
        <v>1477</v>
      </c>
      <c r="C479" s="9">
        <v>2470332624</v>
      </c>
      <c r="D479" s="9" t="s">
        <v>3520</v>
      </c>
      <c r="E479" s="9" t="s">
        <v>2287</v>
      </c>
      <c r="F479" s="9" t="s">
        <v>222</v>
      </c>
      <c r="G479" s="11">
        <v>1200</v>
      </c>
      <c r="H479" s="11" t="s">
        <v>42</v>
      </c>
      <c r="I479" s="11" t="s">
        <v>42</v>
      </c>
      <c r="J479" s="11" t="s">
        <v>42</v>
      </c>
      <c r="K479" s="11">
        <v>1300</v>
      </c>
      <c r="L479" s="11">
        <v>2500</v>
      </c>
      <c r="M479" s="9" t="s">
        <v>567</v>
      </c>
    </row>
    <row r="480" spans="1:13" ht="20.100000000000001" customHeight="1" x14ac:dyDescent="0.2">
      <c r="A480" s="9">
        <f>ROW()-3</f>
        <v>477</v>
      </c>
      <c r="B480" s="9">
        <v>1478</v>
      </c>
      <c r="C480" s="9">
        <v>4865213609</v>
      </c>
      <c r="D480" s="9" t="s">
        <v>3520</v>
      </c>
      <c r="E480" s="9" t="s">
        <v>2294</v>
      </c>
      <c r="F480" s="9" t="s">
        <v>899</v>
      </c>
      <c r="G480" s="11">
        <v>1200</v>
      </c>
      <c r="H480" s="11" t="s">
        <v>42</v>
      </c>
      <c r="I480" s="11" t="s">
        <v>42</v>
      </c>
      <c r="J480" s="11" t="s">
        <v>42</v>
      </c>
      <c r="K480" s="11">
        <v>1400</v>
      </c>
      <c r="L480" s="11">
        <v>2600</v>
      </c>
      <c r="M480" s="9" t="s">
        <v>788</v>
      </c>
    </row>
    <row r="481" spans="1:13" ht="20.100000000000001" customHeight="1" x14ac:dyDescent="0.2">
      <c r="A481" s="9" t="s">
        <v>3463</v>
      </c>
      <c r="B481" s="9">
        <v>1479</v>
      </c>
      <c r="C481" s="9">
        <v>2548704044</v>
      </c>
      <c r="D481" s="9" t="s">
        <v>3520</v>
      </c>
      <c r="E481" s="9" t="s">
        <v>3464</v>
      </c>
      <c r="F481" s="9" t="s">
        <v>270</v>
      </c>
      <c r="G481" s="11">
        <v>1200</v>
      </c>
      <c r="H481" s="11" t="s">
        <v>42</v>
      </c>
      <c r="I481" s="11" t="s">
        <v>42</v>
      </c>
      <c r="J481" s="11" t="s">
        <v>42</v>
      </c>
      <c r="K481" s="11">
        <v>400</v>
      </c>
      <c r="L481" s="11">
        <v>1600</v>
      </c>
      <c r="M481" s="9" t="s">
        <v>788</v>
      </c>
    </row>
    <row r="482" spans="1:13" ht="20.100000000000001" customHeight="1" x14ac:dyDescent="0.2">
      <c r="A482" s="9">
        <f t="shared" ref="A482:A501" si="21">ROW()-3</f>
        <v>479</v>
      </c>
      <c r="B482" s="9">
        <v>1480</v>
      </c>
      <c r="C482" s="9">
        <v>2546388089</v>
      </c>
      <c r="D482" s="9" t="s">
        <v>3520</v>
      </c>
      <c r="E482" s="9" t="s">
        <v>2297</v>
      </c>
      <c r="F482" s="9" t="s">
        <v>394</v>
      </c>
      <c r="G482" s="11">
        <v>1200</v>
      </c>
      <c r="H482" s="11" t="s">
        <v>42</v>
      </c>
      <c r="I482" s="11" t="s">
        <v>42</v>
      </c>
      <c r="J482" s="11" t="s">
        <v>42</v>
      </c>
      <c r="K482" s="11">
        <v>400</v>
      </c>
      <c r="L482" s="11">
        <v>1600</v>
      </c>
      <c r="M482" s="9" t="s">
        <v>443</v>
      </c>
    </row>
    <row r="483" spans="1:13" ht="20.100000000000001" customHeight="1" x14ac:dyDescent="0.2">
      <c r="A483" s="9">
        <f t="shared" si="21"/>
        <v>480</v>
      </c>
      <c r="B483" s="9">
        <v>1481</v>
      </c>
      <c r="C483" s="9">
        <v>2501580076</v>
      </c>
      <c r="D483" s="9"/>
      <c r="E483" s="9" t="s">
        <v>3468</v>
      </c>
      <c r="F483" s="9" t="s">
        <v>578</v>
      </c>
      <c r="G483" s="11">
        <v>1200</v>
      </c>
      <c r="H483" s="11" t="s">
        <v>42</v>
      </c>
      <c r="I483" s="11" t="s">
        <v>42</v>
      </c>
      <c r="J483" s="11" t="s">
        <v>42</v>
      </c>
      <c r="K483" s="11">
        <v>700</v>
      </c>
      <c r="L483" s="11">
        <v>1900</v>
      </c>
      <c r="M483" s="9" t="s">
        <v>788</v>
      </c>
    </row>
    <row r="484" spans="1:13" ht="20.100000000000001" customHeight="1" x14ac:dyDescent="0.2">
      <c r="A484" s="9">
        <f t="shared" si="21"/>
        <v>481</v>
      </c>
      <c r="B484" s="9">
        <v>1482</v>
      </c>
      <c r="C484" s="9">
        <v>1005567662</v>
      </c>
      <c r="D484" s="9" t="s">
        <v>3519</v>
      </c>
      <c r="E484" s="9" t="s">
        <v>2302</v>
      </c>
      <c r="F484" s="9" t="s">
        <v>270</v>
      </c>
      <c r="G484" s="11">
        <v>4000</v>
      </c>
      <c r="H484" s="11" t="s">
        <v>42</v>
      </c>
      <c r="I484" s="11" t="s">
        <v>42</v>
      </c>
      <c r="J484" s="11" t="s">
        <v>42</v>
      </c>
      <c r="K484" s="11" t="s">
        <v>42</v>
      </c>
      <c r="L484" s="11">
        <v>4000</v>
      </c>
      <c r="M484" s="9" t="s">
        <v>443</v>
      </c>
    </row>
    <row r="485" spans="1:13" ht="20.100000000000001" customHeight="1" x14ac:dyDescent="0.2">
      <c r="A485" s="9">
        <f t="shared" si="21"/>
        <v>482</v>
      </c>
      <c r="B485" s="9">
        <v>1483</v>
      </c>
      <c r="C485" s="9">
        <v>1066633668</v>
      </c>
      <c r="D485" s="9" t="s">
        <v>3519</v>
      </c>
      <c r="E485" s="9" t="s">
        <v>2308</v>
      </c>
      <c r="F485" s="9" t="s">
        <v>45</v>
      </c>
      <c r="G485" s="11">
        <v>4000</v>
      </c>
      <c r="H485" s="11">
        <v>0</v>
      </c>
      <c r="I485" s="11" t="s">
        <v>42</v>
      </c>
      <c r="J485" s="11" t="s">
        <v>42</v>
      </c>
      <c r="K485" s="11" t="s">
        <v>42</v>
      </c>
      <c r="L485" s="11">
        <v>4000</v>
      </c>
      <c r="M485" s="9" t="s">
        <v>103</v>
      </c>
    </row>
    <row r="486" spans="1:13" ht="20.100000000000001" customHeight="1" x14ac:dyDescent="0.2">
      <c r="A486" s="9">
        <f t="shared" si="21"/>
        <v>483</v>
      </c>
      <c r="B486" s="9">
        <v>1484</v>
      </c>
      <c r="C486" s="9"/>
      <c r="D486" s="9"/>
      <c r="E486" s="9"/>
      <c r="F486" s="9" t="s">
        <v>2313</v>
      </c>
      <c r="G486" s="11">
        <v>1200</v>
      </c>
      <c r="H486" s="11" t="s">
        <v>42</v>
      </c>
      <c r="I486" s="11" t="s">
        <v>42</v>
      </c>
      <c r="J486" s="11" t="s">
        <v>42</v>
      </c>
      <c r="K486" s="11">
        <v>2800</v>
      </c>
      <c r="L486" s="11">
        <v>4000</v>
      </c>
      <c r="M486" s="9" t="s">
        <v>3506</v>
      </c>
    </row>
    <row r="487" spans="1:13" ht="20.100000000000001" customHeight="1" x14ac:dyDescent="0.2">
      <c r="A487" s="9">
        <f t="shared" si="21"/>
        <v>484</v>
      </c>
      <c r="B487" s="9">
        <v>1485</v>
      </c>
      <c r="C487" s="9">
        <v>2368060048</v>
      </c>
      <c r="D487" s="9"/>
      <c r="E487" s="9" t="s">
        <v>2316</v>
      </c>
      <c r="F487" s="9" t="s">
        <v>66</v>
      </c>
      <c r="G487" s="11">
        <v>1200</v>
      </c>
      <c r="H487" s="11">
        <v>0</v>
      </c>
      <c r="I487" s="11" t="s">
        <v>42</v>
      </c>
      <c r="J487" s="11">
        <v>0</v>
      </c>
      <c r="K487" s="11">
        <v>1800</v>
      </c>
      <c r="L487" s="11">
        <v>3000</v>
      </c>
      <c r="M487" s="9" t="s">
        <v>65</v>
      </c>
    </row>
    <row r="488" spans="1:13" ht="20.100000000000001" customHeight="1" x14ac:dyDescent="0.2">
      <c r="A488" s="9">
        <f t="shared" si="21"/>
        <v>485</v>
      </c>
      <c r="B488" s="9">
        <v>1486</v>
      </c>
      <c r="C488" s="9">
        <v>2507263461</v>
      </c>
      <c r="D488" s="9"/>
      <c r="E488" s="9" t="s">
        <v>3471</v>
      </c>
      <c r="F488" s="9" t="s">
        <v>431</v>
      </c>
      <c r="G488" s="11">
        <v>1200</v>
      </c>
      <c r="H488" s="11">
        <v>0</v>
      </c>
      <c r="I488" s="11" t="s">
        <v>42</v>
      </c>
      <c r="J488" s="11" t="s">
        <v>42</v>
      </c>
      <c r="K488" s="11">
        <v>1800</v>
      </c>
      <c r="L488" s="11">
        <v>3000</v>
      </c>
      <c r="M488" s="9" t="s">
        <v>788</v>
      </c>
    </row>
    <row r="489" spans="1:13" ht="20.100000000000001" customHeight="1" x14ac:dyDescent="0.2">
      <c r="A489" s="9">
        <f t="shared" si="21"/>
        <v>486</v>
      </c>
      <c r="B489" s="9">
        <v>1487</v>
      </c>
      <c r="C489" s="9">
        <v>2545977270</v>
      </c>
      <c r="D489" s="9"/>
      <c r="E489" s="9" t="s">
        <v>2323</v>
      </c>
      <c r="F489" s="9" t="s">
        <v>394</v>
      </c>
      <c r="G489" s="11">
        <v>1200</v>
      </c>
      <c r="H489" s="11" t="s">
        <v>42</v>
      </c>
      <c r="I489" s="11" t="s">
        <v>42</v>
      </c>
      <c r="J489" s="11" t="s">
        <v>42</v>
      </c>
      <c r="K489" s="11">
        <v>800</v>
      </c>
      <c r="L489" s="11">
        <v>2000</v>
      </c>
      <c r="M489" s="9" t="s">
        <v>443</v>
      </c>
    </row>
    <row r="490" spans="1:13" ht="20.100000000000001" customHeight="1" x14ac:dyDescent="0.2">
      <c r="A490" s="9">
        <f t="shared" si="21"/>
        <v>487</v>
      </c>
      <c r="B490" s="9">
        <v>1488</v>
      </c>
      <c r="C490" s="9">
        <v>1120092141</v>
      </c>
      <c r="D490" s="9" t="s">
        <v>3519</v>
      </c>
      <c r="E490" s="9" t="s">
        <v>2328</v>
      </c>
      <c r="F490" s="9" t="s">
        <v>744</v>
      </c>
      <c r="G490" s="11">
        <v>4000</v>
      </c>
      <c r="H490" s="11" t="s">
        <v>42</v>
      </c>
      <c r="I490" s="11" t="s">
        <v>42</v>
      </c>
      <c r="J490" s="11" t="s">
        <v>42</v>
      </c>
      <c r="K490" s="11" t="s">
        <v>42</v>
      </c>
      <c r="L490" s="11">
        <v>4000</v>
      </c>
      <c r="M490" s="9" t="s">
        <v>3506</v>
      </c>
    </row>
    <row r="491" spans="1:13" ht="20.100000000000001" customHeight="1" x14ac:dyDescent="0.2">
      <c r="A491" s="9">
        <f t="shared" si="21"/>
        <v>488</v>
      </c>
      <c r="B491" s="9">
        <v>1489</v>
      </c>
      <c r="C491" s="9">
        <v>1090524214</v>
      </c>
      <c r="D491" s="9" t="s">
        <v>3519</v>
      </c>
      <c r="E491" s="9" t="s">
        <v>2334</v>
      </c>
      <c r="F491" s="9" t="s">
        <v>270</v>
      </c>
      <c r="G491" s="11">
        <v>4000</v>
      </c>
      <c r="H491" s="11" t="s">
        <v>42</v>
      </c>
      <c r="I491" s="11" t="s">
        <v>42</v>
      </c>
      <c r="J491" s="11" t="s">
        <v>42</v>
      </c>
      <c r="K491" s="11" t="s">
        <v>42</v>
      </c>
      <c r="L491" s="11">
        <v>4000</v>
      </c>
      <c r="M491" s="9" t="s">
        <v>443</v>
      </c>
    </row>
    <row r="492" spans="1:13" ht="20.100000000000001" customHeight="1" x14ac:dyDescent="0.2">
      <c r="A492" s="9">
        <f t="shared" si="21"/>
        <v>489</v>
      </c>
      <c r="B492" s="9">
        <v>1490</v>
      </c>
      <c r="C492" s="9">
        <v>2537572014</v>
      </c>
      <c r="D492" s="9" t="s">
        <v>3519</v>
      </c>
      <c r="E492" s="9" t="s">
        <v>2340</v>
      </c>
      <c r="F492" s="9" t="s">
        <v>2342</v>
      </c>
      <c r="G492" s="11">
        <v>1200</v>
      </c>
      <c r="H492" s="11" t="s">
        <v>42</v>
      </c>
      <c r="I492" s="11" t="s">
        <v>42</v>
      </c>
      <c r="J492" s="11" t="s">
        <v>42</v>
      </c>
      <c r="K492" s="11" t="s">
        <v>42</v>
      </c>
      <c r="L492" s="11">
        <v>1200</v>
      </c>
      <c r="M492" s="9" t="s">
        <v>2343</v>
      </c>
    </row>
    <row r="493" spans="1:13" ht="20.100000000000001" customHeight="1" x14ac:dyDescent="0.2">
      <c r="A493" s="9">
        <f t="shared" si="21"/>
        <v>490</v>
      </c>
      <c r="B493" s="9">
        <v>1491</v>
      </c>
      <c r="C493" s="9">
        <v>2536836691</v>
      </c>
      <c r="D493" s="9" t="s">
        <v>3519</v>
      </c>
      <c r="E493" s="9" t="s">
        <v>2345</v>
      </c>
      <c r="F493" s="9" t="s">
        <v>2342</v>
      </c>
      <c r="G493" s="11">
        <v>1200</v>
      </c>
      <c r="H493" s="11" t="s">
        <v>42</v>
      </c>
      <c r="I493" s="11" t="s">
        <v>42</v>
      </c>
      <c r="J493" s="11" t="s">
        <v>42</v>
      </c>
      <c r="K493" s="11" t="s">
        <v>42</v>
      </c>
      <c r="L493" s="11">
        <v>1200</v>
      </c>
      <c r="M493" s="9" t="s">
        <v>2343</v>
      </c>
    </row>
    <row r="494" spans="1:13" ht="20.100000000000001" customHeight="1" x14ac:dyDescent="0.2">
      <c r="A494" s="9">
        <f t="shared" si="21"/>
        <v>491</v>
      </c>
      <c r="B494" s="9">
        <v>1492</v>
      </c>
      <c r="C494" s="9">
        <v>2526454307</v>
      </c>
      <c r="D494" s="9" t="s">
        <v>3519</v>
      </c>
      <c r="E494" s="9" t="s">
        <v>2348</v>
      </c>
      <c r="F494" s="9" t="s">
        <v>2342</v>
      </c>
      <c r="G494" s="11">
        <v>1200</v>
      </c>
      <c r="H494" s="11" t="s">
        <v>42</v>
      </c>
      <c r="I494" s="11" t="s">
        <v>42</v>
      </c>
      <c r="J494" s="11" t="s">
        <v>42</v>
      </c>
      <c r="K494" s="11" t="s">
        <v>42</v>
      </c>
      <c r="L494" s="11">
        <v>1200</v>
      </c>
      <c r="M494" s="9" t="s">
        <v>2343</v>
      </c>
    </row>
    <row r="495" spans="1:13" ht="20.100000000000001" customHeight="1" x14ac:dyDescent="0.2">
      <c r="A495" s="9">
        <f t="shared" si="21"/>
        <v>492</v>
      </c>
      <c r="B495" s="9">
        <v>1493</v>
      </c>
      <c r="C495" s="9">
        <v>2435743550</v>
      </c>
      <c r="D495" s="9" t="s">
        <v>3519</v>
      </c>
      <c r="E495" s="9" t="s">
        <v>2351</v>
      </c>
      <c r="F495" s="9" t="s">
        <v>2342</v>
      </c>
      <c r="G495" s="11">
        <v>1200</v>
      </c>
      <c r="H495" s="11" t="s">
        <v>42</v>
      </c>
      <c r="I495" s="11" t="s">
        <v>42</v>
      </c>
      <c r="J495" s="11" t="s">
        <v>42</v>
      </c>
      <c r="K495" s="11">
        <v>300</v>
      </c>
      <c r="L495" s="11">
        <v>1500</v>
      </c>
      <c r="M495" s="9" t="s">
        <v>2343</v>
      </c>
    </row>
    <row r="496" spans="1:13" ht="20.100000000000001" customHeight="1" x14ac:dyDescent="0.2">
      <c r="A496" s="9">
        <f t="shared" si="21"/>
        <v>493</v>
      </c>
      <c r="B496" s="9">
        <v>1494</v>
      </c>
      <c r="C496" s="9">
        <v>2539264297</v>
      </c>
      <c r="D496" s="9" t="s">
        <v>3519</v>
      </c>
      <c r="E496" s="9" t="s">
        <v>2354</v>
      </c>
      <c r="F496" s="9" t="s">
        <v>2342</v>
      </c>
      <c r="G496" s="11">
        <v>1700</v>
      </c>
      <c r="H496" s="11" t="s">
        <v>42</v>
      </c>
      <c r="I496" s="11" t="s">
        <v>42</v>
      </c>
      <c r="J496" s="11" t="s">
        <v>42</v>
      </c>
      <c r="K496" s="11">
        <v>300</v>
      </c>
      <c r="L496" s="11">
        <v>2000</v>
      </c>
      <c r="M496" s="9" t="s">
        <v>2343</v>
      </c>
    </row>
    <row r="497" spans="1:13" ht="20.100000000000001" customHeight="1" x14ac:dyDescent="0.2">
      <c r="A497" s="9">
        <f t="shared" si="21"/>
        <v>494</v>
      </c>
      <c r="B497" s="9">
        <v>1495</v>
      </c>
      <c r="C497" s="9">
        <v>2532566722</v>
      </c>
      <c r="D497" s="9" t="s">
        <v>3519</v>
      </c>
      <c r="E497" s="9" t="s">
        <v>2358</v>
      </c>
      <c r="F497" s="9" t="s">
        <v>2342</v>
      </c>
      <c r="G497" s="11">
        <v>2000</v>
      </c>
      <c r="H497" s="11" t="s">
        <v>42</v>
      </c>
      <c r="I497" s="11" t="s">
        <v>42</v>
      </c>
      <c r="J497" s="11" t="s">
        <v>42</v>
      </c>
      <c r="K497" s="11" t="s">
        <v>42</v>
      </c>
      <c r="L497" s="11">
        <v>2000</v>
      </c>
      <c r="M497" s="9" t="s">
        <v>2343</v>
      </c>
    </row>
    <row r="498" spans="1:13" ht="20.100000000000001" customHeight="1" x14ac:dyDescent="0.2">
      <c r="A498" s="9">
        <f t="shared" si="21"/>
        <v>495</v>
      </c>
      <c r="B498" s="9">
        <v>1496</v>
      </c>
      <c r="C498" s="9"/>
      <c r="D498" s="9" t="s">
        <v>42</v>
      </c>
      <c r="E498" s="9" t="s">
        <v>2361</v>
      </c>
      <c r="F498" s="9" t="s">
        <v>2342</v>
      </c>
      <c r="G498" s="11">
        <v>2200</v>
      </c>
      <c r="H498" s="11" t="s">
        <v>42</v>
      </c>
      <c r="I498" s="11" t="s">
        <v>42</v>
      </c>
      <c r="J498" s="11" t="s">
        <v>42</v>
      </c>
      <c r="K498" s="11" t="s">
        <v>42</v>
      </c>
      <c r="L498" s="11">
        <v>2200</v>
      </c>
      <c r="M498" s="9" t="s">
        <v>788</v>
      </c>
    </row>
    <row r="499" spans="1:13" ht="20.100000000000001" customHeight="1" x14ac:dyDescent="0.2">
      <c r="A499" s="9">
        <f t="shared" si="21"/>
        <v>496</v>
      </c>
      <c r="B499" s="9">
        <v>1497</v>
      </c>
      <c r="C499" s="9">
        <v>2546420510</v>
      </c>
      <c r="D499" s="9"/>
      <c r="E499" s="9" t="s">
        <v>2363</v>
      </c>
      <c r="F499" s="9" t="s">
        <v>2342</v>
      </c>
      <c r="G499" s="11">
        <v>2500</v>
      </c>
      <c r="H499" s="11" t="s">
        <v>42</v>
      </c>
      <c r="I499" s="11" t="s">
        <v>42</v>
      </c>
      <c r="J499" s="11" t="s">
        <v>42</v>
      </c>
      <c r="K499" s="11">
        <v>500</v>
      </c>
      <c r="L499" s="11">
        <v>3000</v>
      </c>
      <c r="M499" s="9" t="s">
        <v>2343</v>
      </c>
    </row>
    <row r="500" spans="1:13" ht="20.100000000000001" customHeight="1" x14ac:dyDescent="0.2">
      <c r="A500" s="9">
        <f t="shared" si="21"/>
        <v>497</v>
      </c>
      <c r="B500" s="9">
        <v>1498</v>
      </c>
      <c r="C500" s="9"/>
      <c r="D500" s="9"/>
      <c r="E500" s="9" t="s">
        <v>2367</v>
      </c>
      <c r="F500" s="9" t="s">
        <v>2342</v>
      </c>
      <c r="G500" s="11">
        <v>2500</v>
      </c>
      <c r="H500" s="11" t="s">
        <v>42</v>
      </c>
      <c r="I500" s="11" t="s">
        <v>42</v>
      </c>
      <c r="J500" s="11" t="s">
        <v>42</v>
      </c>
      <c r="K500" s="11" t="s">
        <v>42</v>
      </c>
      <c r="L500" s="11">
        <v>2500</v>
      </c>
      <c r="M500" s="9" t="s">
        <v>788</v>
      </c>
    </row>
    <row r="501" spans="1:13" ht="20.100000000000001" customHeight="1" x14ac:dyDescent="0.2">
      <c r="A501" s="9">
        <f t="shared" si="21"/>
        <v>498</v>
      </c>
      <c r="B501" s="9">
        <v>1499</v>
      </c>
      <c r="C501" s="9">
        <v>2501372854</v>
      </c>
      <c r="D501" s="9" t="s">
        <v>3519</v>
      </c>
      <c r="E501" s="9" t="s">
        <v>2369</v>
      </c>
      <c r="F501" s="9" t="s">
        <v>2342</v>
      </c>
      <c r="G501" s="11">
        <v>1200</v>
      </c>
      <c r="H501" s="11" t="s">
        <v>42</v>
      </c>
      <c r="I501" s="11" t="s">
        <v>42</v>
      </c>
      <c r="J501" s="11" t="s">
        <v>42</v>
      </c>
      <c r="K501" s="11">
        <v>300</v>
      </c>
      <c r="L501" s="11">
        <v>1500</v>
      </c>
      <c r="M501" s="9" t="s">
        <v>2343</v>
      </c>
    </row>
    <row r="502" spans="1:13" ht="20.100000000000001" customHeight="1" x14ac:dyDescent="0.2">
      <c r="A502" s="9" t="s">
        <v>3476</v>
      </c>
      <c r="B502" s="9">
        <v>1500</v>
      </c>
      <c r="C502" s="9">
        <v>1030618084</v>
      </c>
      <c r="D502" s="9" t="s">
        <v>3519</v>
      </c>
      <c r="E502" s="9" t="s">
        <v>3477</v>
      </c>
      <c r="F502" s="9" t="s">
        <v>2342</v>
      </c>
      <c r="G502" s="11">
        <v>1500</v>
      </c>
      <c r="H502" s="11" t="s">
        <v>42</v>
      </c>
      <c r="I502" s="11" t="s">
        <v>42</v>
      </c>
      <c r="J502" s="11" t="s">
        <v>42</v>
      </c>
      <c r="K502" s="11">
        <v>1000</v>
      </c>
      <c r="L502" s="11">
        <v>2500</v>
      </c>
      <c r="M502" s="9" t="s">
        <v>2343</v>
      </c>
    </row>
    <row r="503" spans="1:13" ht="20.100000000000001" customHeight="1" x14ac:dyDescent="0.2">
      <c r="A503" s="9">
        <f t="shared" ref="A503:A508" si="22">ROW()-3</f>
        <v>500</v>
      </c>
      <c r="B503" s="9">
        <v>1501</v>
      </c>
      <c r="C503" s="9">
        <v>1077324042</v>
      </c>
      <c r="D503" s="9" t="s">
        <v>3519</v>
      </c>
      <c r="E503" s="9" t="s">
        <v>2372</v>
      </c>
      <c r="F503" s="9" t="s">
        <v>2342</v>
      </c>
      <c r="G503" s="11">
        <v>4000</v>
      </c>
      <c r="H503" s="11">
        <v>312</v>
      </c>
      <c r="I503" s="11" t="s">
        <v>42</v>
      </c>
      <c r="J503" s="11" t="s">
        <v>42</v>
      </c>
      <c r="K503" s="11" t="s">
        <v>42</v>
      </c>
      <c r="L503" s="11">
        <v>4312</v>
      </c>
      <c r="M503" s="9" t="s">
        <v>2343</v>
      </c>
    </row>
    <row r="504" spans="1:13" ht="20.100000000000001" customHeight="1" x14ac:dyDescent="0.2">
      <c r="A504" s="9">
        <f t="shared" si="22"/>
        <v>501</v>
      </c>
      <c r="B504" s="9">
        <v>1502</v>
      </c>
      <c r="C504" s="9">
        <v>1105056319</v>
      </c>
      <c r="D504" s="9" t="s">
        <v>3519</v>
      </c>
      <c r="E504" s="9" t="s">
        <v>2376</v>
      </c>
      <c r="F504" s="9" t="s">
        <v>2342</v>
      </c>
      <c r="G504" s="11">
        <v>4000</v>
      </c>
      <c r="H504" s="11" t="s">
        <v>42</v>
      </c>
      <c r="I504" s="11" t="s">
        <v>42</v>
      </c>
      <c r="J504" s="11" t="s">
        <v>42</v>
      </c>
      <c r="K504" s="11" t="s">
        <v>42</v>
      </c>
      <c r="L504" s="11">
        <v>4000</v>
      </c>
      <c r="M504" s="9" t="s">
        <v>2343</v>
      </c>
    </row>
    <row r="505" spans="1:13" ht="20.100000000000001" customHeight="1" x14ac:dyDescent="0.2">
      <c r="A505" s="9">
        <f t="shared" si="22"/>
        <v>502</v>
      </c>
      <c r="B505" s="9">
        <v>1503</v>
      </c>
      <c r="C505" s="9"/>
      <c r="D505" s="9" t="s">
        <v>3520</v>
      </c>
      <c r="E505" s="9" t="s">
        <v>2379</v>
      </c>
      <c r="F505" s="9" t="s">
        <v>2342</v>
      </c>
      <c r="G505" s="11">
        <v>1350</v>
      </c>
      <c r="H505" s="11" t="s">
        <v>42</v>
      </c>
      <c r="I505" s="11" t="s">
        <v>42</v>
      </c>
      <c r="J505" s="11" t="s">
        <v>42</v>
      </c>
      <c r="K505" s="11" t="s">
        <v>42</v>
      </c>
      <c r="L505" s="11">
        <v>1350</v>
      </c>
      <c r="M505" s="9" t="s">
        <v>788</v>
      </c>
    </row>
    <row r="506" spans="1:13" ht="20.100000000000001" customHeight="1" x14ac:dyDescent="0.2">
      <c r="A506" s="9">
        <f t="shared" si="22"/>
        <v>503</v>
      </c>
      <c r="B506" s="9">
        <v>1504</v>
      </c>
      <c r="C506" s="9">
        <v>2540501935</v>
      </c>
      <c r="D506" s="9" t="s">
        <v>3520</v>
      </c>
      <c r="E506" s="9" t="s">
        <v>2381</v>
      </c>
      <c r="F506" s="9" t="s">
        <v>722</v>
      </c>
      <c r="G506" s="11">
        <v>1200</v>
      </c>
      <c r="H506" s="11" t="s">
        <v>42</v>
      </c>
      <c r="I506" s="11" t="s">
        <v>42</v>
      </c>
      <c r="J506" s="11" t="s">
        <v>42</v>
      </c>
      <c r="K506" s="11">
        <v>800</v>
      </c>
      <c r="L506" s="11">
        <v>2000</v>
      </c>
      <c r="M506" s="9" t="s">
        <v>3506</v>
      </c>
    </row>
    <row r="507" spans="1:13" ht="20.100000000000001" customHeight="1" x14ac:dyDescent="0.2">
      <c r="A507" s="9">
        <f t="shared" si="22"/>
        <v>504</v>
      </c>
      <c r="B507" s="9">
        <v>1505</v>
      </c>
      <c r="C507" s="9">
        <v>2538475753</v>
      </c>
      <c r="D507" s="9" t="s">
        <v>3520</v>
      </c>
      <c r="E507" s="9" t="s">
        <v>2385</v>
      </c>
      <c r="F507" s="9" t="s">
        <v>2143</v>
      </c>
      <c r="G507" s="11">
        <v>1200</v>
      </c>
      <c r="H507" s="11" t="s">
        <v>42</v>
      </c>
      <c r="I507" s="11" t="s">
        <v>42</v>
      </c>
      <c r="J507" s="11" t="s">
        <v>42</v>
      </c>
      <c r="K507" s="11">
        <v>400</v>
      </c>
      <c r="L507" s="11">
        <v>1600</v>
      </c>
      <c r="M507" s="9" t="s">
        <v>443</v>
      </c>
    </row>
    <row r="508" spans="1:13" ht="20.100000000000001" customHeight="1" x14ac:dyDescent="0.2">
      <c r="A508" s="9">
        <f t="shared" si="22"/>
        <v>505</v>
      </c>
      <c r="B508" s="9">
        <v>1506</v>
      </c>
      <c r="C508" s="9"/>
      <c r="D508" s="9" t="s">
        <v>3520</v>
      </c>
      <c r="E508" s="9" t="s">
        <v>2389</v>
      </c>
      <c r="F508" s="9" t="s">
        <v>2342</v>
      </c>
      <c r="G508" s="11">
        <v>1200</v>
      </c>
      <c r="H508" s="11" t="s">
        <v>42</v>
      </c>
      <c r="I508" s="11" t="s">
        <v>42</v>
      </c>
      <c r="J508" s="11" t="s">
        <v>42</v>
      </c>
      <c r="K508" s="11">
        <v>1000</v>
      </c>
      <c r="L508" s="11">
        <v>2200</v>
      </c>
      <c r="M508" s="9" t="s">
        <v>788</v>
      </c>
    </row>
    <row r="509" spans="1:13" ht="20.100000000000001" customHeight="1" x14ac:dyDescent="0.2">
      <c r="A509" s="9" t="s">
        <v>3480</v>
      </c>
      <c r="B509" s="9">
        <v>1507</v>
      </c>
      <c r="C509" s="9">
        <v>2510843259</v>
      </c>
      <c r="D509" s="9" t="s">
        <v>3520</v>
      </c>
      <c r="E509" s="9" t="s">
        <v>3481</v>
      </c>
      <c r="F509" s="9" t="s">
        <v>1333</v>
      </c>
      <c r="G509" s="11">
        <v>1200</v>
      </c>
      <c r="H509" s="11" t="s">
        <v>42</v>
      </c>
      <c r="I509" s="11" t="s">
        <v>42</v>
      </c>
      <c r="J509" s="11" t="s">
        <v>42</v>
      </c>
      <c r="K509" s="11">
        <v>400</v>
      </c>
      <c r="L509" s="11">
        <v>1600</v>
      </c>
      <c r="M509" s="9" t="s">
        <v>788</v>
      </c>
    </row>
    <row r="510" spans="1:13" ht="20.100000000000001" customHeight="1" x14ac:dyDescent="0.2">
      <c r="A510" s="9" t="s">
        <v>3483</v>
      </c>
      <c r="B510" s="9">
        <v>1508</v>
      </c>
      <c r="C510" s="9">
        <v>2536884238</v>
      </c>
      <c r="D510" s="9" t="s">
        <v>3520</v>
      </c>
      <c r="E510" s="9" t="s">
        <v>3484</v>
      </c>
      <c r="F510" s="9" t="s">
        <v>394</v>
      </c>
      <c r="G510" s="11">
        <v>1200</v>
      </c>
      <c r="H510" s="11" t="s">
        <v>42</v>
      </c>
      <c r="I510" s="11" t="s">
        <v>42</v>
      </c>
      <c r="J510" s="11" t="s">
        <v>42</v>
      </c>
      <c r="K510" s="11">
        <v>700</v>
      </c>
      <c r="L510" s="11">
        <v>1900</v>
      </c>
      <c r="M510" s="9" t="s">
        <v>788</v>
      </c>
    </row>
    <row r="511" spans="1:13" ht="20.100000000000001" customHeight="1" x14ac:dyDescent="0.2">
      <c r="A511" s="9">
        <f t="shared" ref="A511:A533" si="23">ROW()-3</f>
        <v>508</v>
      </c>
      <c r="B511" s="9">
        <v>1509</v>
      </c>
      <c r="C511" s="9">
        <v>2550582999</v>
      </c>
      <c r="D511" s="9" t="s">
        <v>3519</v>
      </c>
      <c r="E511" s="9" t="s">
        <v>2391</v>
      </c>
      <c r="F511" s="9" t="s">
        <v>270</v>
      </c>
      <c r="G511" s="11">
        <v>1200</v>
      </c>
      <c r="H511" s="11" t="s">
        <v>42</v>
      </c>
      <c r="I511" s="11" t="s">
        <v>42</v>
      </c>
      <c r="J511" s="11" t="s">
        <v>42</v>
      </c>
      <c r="K511" s="11">
        <v>400</v>
      </c>
      <c r="L511" s="11">
        <v>1600</v>
      </c>
      <c r="M511" s="9" t="s">
        <v>443</v>
      </c>
    </row>
    <row r="512" spans="1:13" ht="20.100000000000001" customHeight="1" x14ac:dyDescent="0.2">
      <c r="A512" s="9">
        <f t="shared" si="23"/>
        <v>509</v>
      </c>
      <c r="B512" s="9">
        <v>1510</v>
      </c>
      <c r="C512" s="9">
        <v>2550900688</v>
      </c>
      <c r="D512" s="9" t="s">
        <v>3520</v>
      </c>
      <c r="E512" s="9" t="s">
        <v>2396</v>
      </c>
      <c r="F512" s="9" t="s">
        <v>394</v>
      </c>
      <c r="G512" s="11">
        <v>1200</v>
      </c>
      <c r="H512" s="11" t="s">
        <v>42</v>
      </c>
      <c r="I512" s="11" t="s">
        <v>42</v>
      </c>
      <c r="J512" s="11" t="s">
        <v>42</v>
      </c>
      <c r="K512" s="11">
        <v>400</v>
      </c>
      <c r="L512" s="11">
        <v>1600</v>
      </c>
      <c r="M512" s="9" t="s">
        <v>788</v>
      </c>
    </row>
    <row r="513" spans="1:13" ht="20.100000000000001" customHeight="1" x14ac:dyDescent="0.2">
      <c r="A513" s="9">
        <f t="shared" si="23"/>
        <v>510</v>
      </c>
      <c r="B513" s="9">
        <v>1511</v>
      </c>
      <c r="C513" s="9">
        <v>2550585356</v>
      </c>
      <c r="D513" s="9" t="s">
        <v>3520</v>
      </c>
      <c r="E513" s="9" t="s">
        <v>2399</v>
      </c>
      <c r="F513" s="9" t="s">
        <v>578</v>
      </c>
      <c r="G513" s="11">
        <v>1200</v>
      </c>
      <c r="H513" s="11" t="s">
        <v>42</v>
      </c>
      <c r="I513" s="11" t="s">
        <v>42</v>
      </c>
      <c r="J513" s="11" t="s">
        <v>42</v>
      </c>
      <c r="K513" s="11">
        <v>400</v>
      </c>
      <c r="L513" s="11">
        <v>1600</v>
      </c>
      <c r="M513" s="9" t="s">
        <v>443</v>
      </c>
    </row>
    <row r="514" spans="1:13" ht="20.100000000000001" customHeight="1" x14ac:dyDescent="0.2">
      <c r="A514" s="9">
        <f t="shared" si="23"/>
        <v>511</v>
      </c>
      <c r="B514" s="9">
        <v>1512</v>
      </c>
      <c r="C514" s="9">
        <v>2551017490</v>
      </c>
      <c r="D514" s="9" t="s">
        <v>3520</v>
      </c>
      <c r="E514" s="9" t="s">
        <v>2405</v>
      </c>
      <c r="F514" s="9" t="s">
        <v>578</v>
      </c>
      <c r="G514" s="11">
        <v>1200</v>
      </c>
      <c r="H514" s="11" t="s">
        <v>42</v>
      </c>
      <c r="I514" s="11" t="s">
        <v>42</v>
      </c>
      <c r="J514" s="11" t="s">
        <v>42</v>
      </c>
      <c r="K514" s="11">
        <v>400</v>
      </c>
      <c r="L514" s="11">
        <v>1600</v>
      </c>
      <c r="M514" s="9" t="s">
        <v>788</v>
      </c>
    </row>
    <row r="515" spans="1:13" ht="20.100000000000001" customHeight="1" x14ac:dyDescent="0.2">
      <c r="A515" s="9">
        <f t="shared" si="23"/>
        <v>512</v>
      </c>
      <c r="B515" s="9">
        <v>1513</v>
      </c>
      <c r="C515" s="9">
        <v>2551017433</v>
      </c>
      <c r="D515" s="9" t="s">
        <v>3520</v>
      </c>
      <c r="E515" s="9" t="s">
        <v>2409</v>
      </c>
      <c r="F515" s="9" t="s">
        <v>578</v>
      </c>
      <c r="G515" s="11">
        <v>1200</v>
      </c>
      <c r="H515" s="11">
        <v>0</v>
      </c>
      <c r="I515" s="11" t="s">
        <v>42</v>
      </c>
      <c r="J515" s="11" t="s">
        <v>42</v>
      </c>
      <c r="K515" s="11">
        <v>400</v>
      </c>
      <c r="L515" s="11">
        <v>1600</v>
      </c>
      <c r="M515" s="9" t="s">
        <v>443</v>
      </c>
    </row>
    <row r="516" spans="1:13" ht="20.100000000000001" customHeight="1" x14ac:dyDescent="0.2">
      <c r="A516" s="9">
        <f t="shared" si="23"/>
        <v>513</v>
      </c>
      <c r="B516" s="9">
        <v>1514</v>
      </c>
      <c r="C516" s="9">
        <v>2551002575</v>
      </c>
      <c r="D516" s="9" t="s">
        <v>3520</v>
      </c>
      <c r="E516" s="9" t="s">
        <v>2414</v>
      </c>
      <c r="F516" s="9" t="s">
        <v>578</v>
      </c>
      <c r="G516" s="11">
        <v>1200</v>
      </c>
      <c r="H516" s="11">
        <v>0</v>
      </c>
      <c r="I516" s="11" t="s">
        <v>42</v>
      </c>
      <c r="J516" s="11" t="s">
        <v>42</v>
      </c>
      <c r="K516" s="11">
        <v>400</v>
      </c>
      <c r="L516" s="11">
        <v>1600</v>
      </c>
      <c r="M516" s="9" t="s">
        <v>443</v>
      </c>
    </row>
    <row r="517" spans="1:13" ht="20.100000000000001" customHeight="1" x14ac:dyDescent="0.2">
      <c r="A517" s="9">
        <f t="shared" si="23"/>
        <v>514</v>
      </c>
      <c r="B517" s="9">
        <v>1515</v>
      </c>
      <c r="C517" s="9">
        <v>1127395570</v>
      </c>
      <c r="D517" s="9" t="s">
        <v>3519</v>
      </c>
      <c r="E517" s="9" t="s">
        <v>2419</v>
      </c>
      <c r="F517" s="9" t="s">
        <v>431</v>
      </c>
      <c r="G517" s="11">
        <v>4000</v>
      </c>
      <c r="H517" s="11">
        <v>0</v>
      </c>
      <c r="I517" s="11" t="s">
        <v>42</v>
      </c>
      <c r="J517" s="11" t="s">
        <v>42</v>
      </c>
      <c r="K517" s="11">
        <v>500</v>
      </c>
      <c r="L517" s="11">
        <v>4500</v>
      </c>
      <c r="M517" s="9" t="s">
        <v>103</v>
      </c>
    </row>
    <row r="518" spans="1:13" ht="20.100000000000001" customHeight="1" x14ac:dyDescent="0.2">
      <c r="A518" s="9">
        <f t="shared" si="23"/>
        <v>515</v>
      </c>
      <c r="B518" s="9">
        <v>1516</v>
      </c>
      <c r="C518" s="9">
        <v>1129355812</v>
      </c>
      <c r="D518" s="9" t="s">
        <v>3519</v>
      </c>
      <c r="E518" s="9" t="s">
        <v>2425</v>
      </c>
      <c r="F518" s="9" t="s">
        <v>431</v>
      </c>
      <c r="G518" s="11">
        <v>4000</v>
      </c>
      <c r="H518" s="11">
        <v>0</v>
      </c>
      <c r="I518" s="11">
        <v>0</v>
      </c>
      <c r="J518" s="11">
        <v>0</v>
      </c>
      <c r="K518" s="11">
        <v>500</v>
      </c>
      <c r="L518" s="11">
        <v>4500</v>
      </c>
      <c r="M518" s="9" t="s">
        <v>103</v>
      </c>
    </row>
    <row r="519" spans="1:13" ht="20.100000000000001" customHeight="1" x14ac:dyDescent="0.2">
      <c r="A519" s="9">
        <f t="shared" si="23"/>
        <v>516</v>
      </c>
      <c r="B519" s="9">
        <v>1517</v>
      </c>
      <c r="C519" s="9">
        <v>2550813337</v>
      </c>
      <c r="D519" s="9" t="s">
        <v>3520</v>
      </c>
      <c r="E519" s="9" t="s">
        <v>2431</v>
      </c>
      <c r="F519" s="9" t="s">
        <v>578</v>
      </c>
      <c r="G519" s="11">
        <v>1200</v>
      </c>
      <c r="H519" s="11">
        <v>0</v>
      </c>
      <c r="I519" s="11">
        <v>0</v>
      </c>
      <c r="J519" s="11">
        <v>0</v>
      </c>
      <c r="K519" s="11">
        <v>400</v>
      </c>
      <c r="L519" s="11">
        <v>1600</v>
      </c>
      <c r="M519" s="9" t="s">
        <v>788</v>
      </c>
    </row>
    <row r="520" spans="1:13" ht="20.100000000000001" customHeight="1" x14ac:dyDescent="0.2">
      <c r="A520" s="9">
        <f t="shared" si="23"/>
        <v>517</v>
      </c>
      <c r="B520" s="9">
        <v>1518</v>
      </c>
      <c r="C520" s="9">
        <v>2545815777</v>
      </c>
      <c r="D520" s="9" t="s">
        <v>3520</v>
      </c>
      <c r="E520" s="9" t="s">
        <v>2434</v>
      </c>
      <c r="F520" s="9" t="s">
        <v>336</v>
      </c>
      <c r="G520" s="11">
        <v>1200</v>
      </c>
      <c r="H520" s="11">
        <v>0</v>
      </c>
      <c r="I520" s="11">
        <v>0</v>
      </c>
      <c r="J520" s="11">
        <v>0</v>
      </c>
      <c r="K520" s="11">
        <v>400</v>
      </c>
      <c r="L520" s="11">
        <v>1600</v>
      </c>
      <c r="M520" s="9" t="s">
        <v>788</v>
      </c>
    </row>
    <row r="521" spans="1:13" ht="20.100000000000001" customHeight="1" x14ac:dyDescent="0.2">
      <c r="A521" s="9">
        <f t="shared" si="23"/>
        <v>518</v>
      </c>
      <c r="B521" s="9">
        <v>1519</v>
      </c>
      <c r="C521" s="9">
        <v>2550496018</v>
      </c>
      <c r="D521" s="9" t="s">
        <v>3520</v>
      </c>
      <c r="E521" s="9" t="s">
        <v>2438</v>
      </c>
      <c r="F521" s="9" t="s">
        <v>142</v>
      </c>
      <c r="G521" s="11">
        <v>1200</v>
      </c>
      <c r="H521" s="11">
        <v>0</v>
      </c>
      <c r="I521" s="11">
        <v>0</v>
      </c>
      <c r="J521" s="11">
        <v>0</v>
      </c>
      <c r="K521" s="11">
        <v>800</v>
      </c>
      <c r="L521" s="11">
        <v>2000</v>
      </c>
      <c r="M521" s="9" t="s">
        <v>103</v>
      </c>
    </row>
    <row r="522" spans="1:13" ht="20.100000000000001" customHeight="1" x14ac:dyDescent="0.2">
      <c r="A522" s="9">
        <f t="shared" si="23"/>
        <v>519</v>
      </c>
      <c r="B522" s="9">
        <v>1520</v>
      </c>
      <c r="C522" s="9">
        <v>2445129287</v>
      </c>
      <c r="D522" s="9" t="s">
        <v>3520</v>
      </c>
      <c r="E522" s="9" t="s">
        <v>2442</v>
      </c>
      <c r="F522" s="9" t="s">
        <v>306</v>
      </c>
      <c r="G522" s="11">
        <v>1200</v>
      </c>
      <c r="H522" s="11">
        <v>0</v>
      </c>
      <c r="I522" s="11">
        <v>0</v>
      </c>
      <c r="J522" s="11">
        <v>0</v>
      </c>
      <c r="K522" s="11">
        <v>1300</v>
      </c>
      <c r="L522" s="11">
        <v>2500</v>
      </c>
      <c r="M522" s="9" t="s">
        <v>3506</v>
      </c>
    </row>
    <row r="523" spans="1:13" ht="20.100000000000001" customHeight="1" x14ac:dyDescent="0.2">
      <c r="A523" s="9">
        <f t="shared" si="23"/>
        <v>520</v>
      </c>
      <c r="B523" s="9">
        <v>1521</v>
      </c>
      <c r="C523" s="9">
        <v>1109763217</v>
      </c>
      <c r="D523" s="9" t="s">
        <v>3519</v>
      </c>
      <c r="E523" s="9" t="s">
        <v>2447</v>
      </c>
      <c r="F523" s="9" t="s">
        <v>394</v>
      </c>
      <c r="G523" s="11">
        <v>4000</v>
      </c>
      <c r="H523" s="11">
        <v>0</v>
      </c>
      <c r="I523" s="11">
        <v>0</v>
      </c>
      <c r="J523" s="11">
        <v>0</v>
      </c>
      <c r="K523" s="11">
        <v>0</v>
      </c>
      <c r="L523" s="11">
        <v>4000</v>
      </c>
      <c r="M523" s="9" t="s">
        <v>443</v>
      </c>
    </row>
    <row r="524" spans="1:13" ht="20.100000000000001" customHeight="1" x14ac:dyDescent="0.2">
      <c r="A524" s="9">
        <f t="shared" si="23"/>
        <v>521</v>
      </c>
      <c r="B524" s="9">
        <v>1522</v>
      </c>
      <c r="C524" s="9">
        <v>2524894603</v>
      </c>
      <c r="D524" s="9" t="s">
        <v>3520</v>
      </c>
      <c r="E524" s="9" t="s">
        <v>2453</v>
      </c>
      <c r="F524" s="9" t="s">
        <v>66</v>
      </c>
      <c r="G524" s="11">
        <v>1200</v>
      </c>
      <c r="H524" s="11">
        <v>0</v>
      </c>
      <c r="I524" s="11">
        <v>0</v>
      </c>
      <c r="J524" s="11">
        <v>0</v>
      </c>
      <c r="K524" s="11">
        <v>400</v>
      </c>
      <c r="L524" s="11">
        <v>1600</v>
      </c>
      <c r="M524" s="9" t="s">
        <v>788</v>
      </c>
    </row>
    <row r="525" spans="1:13" ht="20.100000000000001" customHeight="1" x14ac:dyDescent="0.2">
      <c r="A525" s="9">
        <f t="shared" si="23"/>
        <v>522</v>
      </c>
      <c r="B525" s="9">
        <v>1523</v>
      </c>
      <c r="C525" s="9">
        <v>2175235262</v>
      </c>
      <c r="D525" s="9" t="s">
        <v>3520</v>
      </c>
      <c r="E525" s="9" t="s">
        <v>2458</v>
      </c>
      <c r="F525" s="9" t="s">
        <v>475</v>
      </c>
      <c r="G525" s="11">
        <v>1200</v>
      </c>
      <c r="H525" s="11">
        <v>0</v>
      </c>
      <c r="I525" s="11">
        <v>0</v>
      </c>
      <c r="J525" s="11">
        <v>0</v>
      </c>
      <c r="K525" s="11">
        <v>700</v>
      </c>
      <c r="L525" s="11">
        <v>1900</v>
      </c>
      <c r="M525" s="9" t="s">
        <v>788</v>
      </c>
    </row>
    <row r="526" spans="1:13" ht="20.100000000000001" customHeight="1" x14ac:dyDescent="0.2">
      <c r="A526" s="9">
        <f t="shared" si="23"/>
        <v>523</v>
      </c>
      <c r="B526" s="9">
        <v>1524</v>
      </c>
      <c r="C526" s="9">
        <v>2216569281</v>
      </c>
      <c r="D526" s="9" t="s">
        <v>3520</v>
      </c>
      <c r="E526" s="9" t="s">
        <v>2461</v>
      </c>
      <c r="F526" s="9" t="s">
        <v>466</v>
      </c>
      <c r="G526" s="11">
        <v>1200</v>
      </c>
      <c r="H526" s="11">
        <v>0</v>
      </c>
      <c r="I526" s="11">
        <v>0</v>
      </c>
      <c r="J526" s="11">
        <v>0</v>
      </c>
      <c r="K526" s="11">
        <v>700</v>
      </c>
      <c r="L526" s="11">
        <v>1900</v>
      </c>
      <c r="M526" s="9" t="s">
        <v>788</v>
      </c>
    </row>
    <row r="527" spans="1:13" ht="20.100000000000001" customHeight="1" x14ac:dyDescent="0.2">
      <c r="A527" s="9">
        <f t="shared" si="23"/>
        <v>524</v>
      </c>
      <c r="B527" s="9">
        <v>1525</v>
      </c>
      <c r="C527" s="9">
        <v>2533487050</v>
      </c>
      <c r="D527" s="9" t="s">
        <v>3520</v>
      </c>
      <c r="E527" s="9" t="s">
        <v>2464</v>
      </c>
      <c r="F527" s="9" t="s">
        <v>203</v>
      </c>
      <c r="G527" s="11">
        <v>1200</v>
      </c>
      <c r="H527" s="11">
        <v>0</v>
      </c>
      <c r="I527" s="11">
        <v>0</v>
      </c>
      <c r="J527" s="11">
        <v>0</v>
      </c>
      <c r="K527" s="11">
        <v>400</v>
      </c>
      <c r="L527" s="11">
        <v>1600</v>
      </c>
      <c r="M527" s="9" t="s">
        <v>788</v>
      </c>
    </row>
    <row r="528" spans="1:13" ht="20.100000000000001" customHeight="1" x14ac:dyDescent="0.2">
      <c r="A528" s="9">
        <f t="shared" si="23"/>
        <v>525</v>
      </c>
      <c r="B528" s="9">
        <v>1526</v>
      </c>
      <c r="C528" s="9">
        <v>2511681203</v>
      </c>
      <c r="D528" s="9" t="s">
        <v>3520</v>
      </c>
      <c r="E528" s="9" t="s">
        <v>2467</v>
      </c>
      <c r="F528" s="9" t="s">
        <v>431</v>
      </c>
      <c r="G528" s="11">
        <v>1200</v>
      </c>
      <c r="H528" s="11">
        <v>0</v>
      </c>
      <c r="I528" s="11">
        <v>0</v>
      </c>
      <c r="J528" s="11">
        <v>0</v>
      </c>
      <c r="K528" s="11">
        <v>400</v>
      </c>
      <c r="L528" s="11">
        <v>1600</v>
      </c>
      <c r="M528" s="9" t="s">
        <v>788</v>
      </c>
    </row>
    <row r="529" spans="1:13" ht="20.100000000000001" customHeight="1" x14ac:dyDescent="0.2">
      <c r="A529" s="9">
        <f t="shared" si="23"/>
        <v>526</v>
      </c>
      <c r="B529" s="9">
        <v>1527</v>
      </c>
      <c r="C529" s="9">
        <v>2546888047</v>
      </c>
      <c r="D529" s="9" t="s">
        <v>3520</v>
      </c>
      <c r="E529" s="9" t="s">
        <v>2470</v>
      </c>
      <c r="F529" s="9" t="s">
        <v>431</v>
      </c>
      <c r="G529" s="11">
        <v>1200</v>
      </c>
      <c r="H529" s="11">
        <v>0</v>
      </c>
      <c r="I529" s="11">
        <v>0</v>
      </c>
      <c r="J529" s="11">
        <v>0</v>
      </c>
      <c r="K529" s="11">
        <v>400</v>
      </c>
      <c r="L529" s="11">
        <v>1600</v>
      </c>
      <c r="M529" s="9" t="s">
        <v>788</v>
      </c>
    </row>
    <row r="530" spans="1:13" ht="20.100000000000001" customHeight="1" x14ac:dyDescent="0.2">
      <c r="A530" s="9">
        <f t="shared" si="23"/>
        <v>527</v>
      </c>
      <c r="B530" s="9">
        <v>1528</v>
      </c>
      <c r="C530" s="9">
        <v>2548331384</v>
      </c>
      <c r="D530" s="9" t="s">
        <v>3520</v>
      </c>
      <c r="E530" s="9" t="s">
        <v>3487</v>
      </c>
      <c r="F530" s="9" t="s">
        <v>431</v>
      </c>
      <c r="G530" s="11">
        <v>1200</v>
      </c>
      <c r="H530" s="11">
        <v>0</v>
      </c>
      <c r="I530" s="11">
        <v>0</v>
      </c>
      <c r="J530" s="11">
        <v>0</v>
      </c>
      <c r="K530" s="11">
        <v>400</v>
      </c>
      <c r="L530" s="11">
        <v>1600</v>
      </c>
      <c r="M530" s="9" t="s">
        <v>788</v>
      </c>
    </row>
    <row r="531" spans="1:13" ht="20.100000000000001" customHeight="1" x14ac:dyDescent="0.2">
      <c r="A531" s="9">
        <f t="shared" si="23"/>
        <v>528</v>
      </c>
      <c r="B531" s="9">
        <v>1529</v>
      </c>
      <c r="C531" s="9">
        <v>1092102357</v>
      </c>
      <c r="D531" s="9"/>
      <c r="E531" s="9" t="s">
        <v>2474</v>
      </c>
      <c r="F531" s="9" t="s">
        <v>578</v>
      </c>
      <c r="G531" s="11">
        <v>4000</v>
      </c>
      <c r="H531" s="11" t="s">
        <v>42</v>
      </c>
      <c r="I531" s="11" t="s">
        <v>42</v>
      </c>
      <c r="J531" s="11" t="s">
        <v>42</v>
      </c>
      <c r="K531" s="11" t="s">
        <v>42</v>
      </c>
      <c r="L531" s="11">
        <v>4000</v>
      </c>
      <c r="M531" s="9" t="s">
        <v>443</v>
      </c>
    </row>
    <row r="532" spans="1:13" ht="20.100000000000001" customHeight="1" x14ac:dyDescent="0.2">
      <c r="A532" s="9">
        <f t="shared" si="23"/>
        <v>529</v>
      </c>
      <c r="B532" s="9">
        <v>1530</v>
      </c>
      <c r="C532" s="9">
        <v>1125245892</v>
      </c>
      <c r="D532" s="9"/>
      <c r="E532" s="9" t="s">
        <v>3490</v>
      </c>
      <c r="F532" s="9" t="s">
        <v>578</v>
      </c>
      <c r="G532" s="11">
        <v>4000</v>
      </c>
      <c r="H532" s="11" t="s">
        <v>42</v>
      </c>
      <c r="I532" s="11" t="s">
        <v>42</v>
      </c>
      <c r="J532" s="11" t="s">
        <v>42</v>
      </c>
      <c r="K532" s="11">
        <v>0</v>
      </c>
      <c r="L532" s="11">
        <v>4000</v>
      </c>
      <c r="M532" s="9" t="s">
        <v>443</v>
      </c>
    </row>
    <row r="533" spans="1:13" ht="20.100000000000001" customHeight="1" x14ac:dyDescent="0.2">
      <c r="A533" s="9">
        <f t="shared" si="23"/>
        <v>530</v>
      </c>
      <c r="B533" s="9">
        <v>1531</v>
      </c>
      <c r="C533" s="9">
        <v>2543742171</v>
      </c>
      <c r="D533" s="9" t="s">
        <v>3520</v>
      </c>
      <c r="E533" s="9" t="s">
        <v>2481</v>
      </c>
      <c r="F533" s="9" t="s">
        <v>431</v>
      </c>
      <c r="G533" s="11">
        <v>1200</v>
      </c>
      <c r="H533" s="11">
        <v>0</v>
      </c>
      <c r="I533" s="11">
        <v>0</v>
      </c>
      <c r="J533" s="11">
        <v>0</v>
      </c>
      <c r="K533" s="11">
        <v>400</v>
      </c>
      <c r="L533" s="11">
        <v>1600</v>
      </c>
      <c r="M533" s="9" t="s">
        <v>788</v>
      </c>
    </row>
    <row r="534" spans="1:13" ht="20.100000000000001" customHeight="1" x14ac:dyDescent="0.2">
      <c r="A534" s="9" t="s">
        <v>3495</v>
      </c>
      <c r="B534" s="9">
        <v>1532</v>
      </c>
      <c r="C534" s="9">
        <v>2544931815</v>
      </c>
      <c r="D534" s="9"/>
      <c r="E534" s="9" t="s">
        <v>3496</v>
      </c>
      <c r="F534" s="9" t="s">
        <v>270</v>
      </c>
      <c r="G534" s="11">
        <v>1200</v>
      </c>
      <c r="H534" s="11" t="s">
        <v>42</v>
      </c>
      <c r="I534" s="11" t="s">
        <v>42</v>
      </c>
      <c r="J534" s="11" t="s">
        <v>42</v>
      </c>
      <c r="K534" s="11">
        <v>400</v>
      </c>
      <c r="L534" s="11">
        <v>1600</v>
      </c>
      <c r="M534" s="9" t="s">
        <v>788</v>
      </c>
    </row>
    <row r="535" spans="1:13" ht="20.100000000000001" customHeight="1" x14ac:dyDescent="0.2">
      <c r="A535" s="9">
        <f t="shared" ref="A535:A566" si="24">ROW()-3</f>
        <v>532</v>
      </c>
      <c r="B535" s="9">
        <v>1533</v>
      </c>
      <c r="C535" s="9">
        <v>1131924910</v>
      </c>
      <c r="D535" s="9" t="s">
        <v>3519</v>
      </c>
      <c r="E535" s="9" t="s">
        <v>2484</v>
      </c>
      <c r="F535" s="9" t="s">
        <v>270</v>
      </c>
      <c r="G535" s="11">
        <v>4000</v>
      </c>
      <c r="H535" s="11" t="s">
        <v>42</v>
      </c>
      <c r="I535" s="11" t="s">
        <v>42</v>
      </c>
      <c r="J535" s="11" t="s">
        <v>42</v>
      </c>
      <c r="K535" s="11" t="s">
        <v>42</v>
      </c>
      <c r="L535" s="11">
        <v>4000</v>
      </c>
      <c r="M535" s="9" t="s">
        <v>443</v>
      </c>
    </row>
    <row r="536" spans="1:13" ht="20.100000000000001" customHeight="1" x14ac:dyDescent="0.2">
      <c r="A536" s="9">
        <f t="shared" si="24"/>
        <v>533</v>
      </c>
      <c r="B536" s="9">
        <v>1534</v>
      </c>
      <c r="C536" s="9">
        <v>1110524202</v>
      </c>
      <c r="D536" s="9" t="s">
        <v>3519</v>
      </c>
      <c r="E536" s="9" t="s">
        <v>2490</v>
      </c>
      <c r="F536" s="9" t="s">
        <v>306</v>
      </c>
      <c r="G536" s="11">
        <v>4000</v>
      </c>
      <c r="H536" s="11" t="s">
        <v>42</v>
      </c>
      <c r="I536" s="11" t="s">
        <v>42</v>
      </c>
      <c r="J536" s="11" t="s">
        <v>42</v>
      </c>
      <c r="K536" s="11" t="s">
        <v>42</v>
      </c>
      <c r="L536" s="11">
        <v>4000</v>
      </c>
      <c r="M536" s="9" t="s">
        <v>3506</v>
      </c>
    </row>
    <row r="537" spans="1:13" ht="20.100000000000001" customHeight="1" x14ac:dyDescent="0.2">
      <c r="A537" s="9">
        <f t="shared" si="24"/>
        <v>534</v>
      </c>
      <c r="B537" s="9">
        <v>1535</v>
      </c>
      <c r="C537" s="9">
        <v>1092884756</v>
      </c>
      <c r="D537" s="9" t="s">
        <v>3519</v>
      </c>
      <c r="E537" s="9" t="s">
        <v>2495</v>
      </c>
      <c r="F537" s="9" t="s">
        <v>306</v>
      </c>
      <c r="G537" s="11">
        <v>4000</v>
      </c>
      <c r="H537" s="11" t="s">
        <v>42</v>
      </c>
      <c r="I537" s="11" t="s">
        <v>42</v>
      </c>
      <c r="J537" s="11" t="s">
        <v>42</v>
      </c>
      <c r="K537" s="11" t="s">
        <v>42</v>
      </c>
      <c r="L537" s="11">
        <v>4000</v>
      </c>
      <c r="M537" s="9" t="s">
        <v>3506</v>
      </c>
    </row>
    <row r="538" spans="1:13" ht="20.100000000000001" customHeight="1" x14ac:dyDescent="0.2">
      <c r="A538" s="9">
        <f t="shared" si="24"/>
        <v>535</v>
      </c>
      <c r="B538" s="9">
        <v>1536</v>
      </c>
      <c r="C538" s="9">
        <v>1085765368</v>
      </c>
      <c r="D538" s="9" t="s">
        <v>3519</v>
      </c>
      <c r="E538" s="9" t="s">
        <v>2501</v>
      </c>
      <c r="F538" s="9" t="s">
        <v>45</v>
      </c>
      <c r="G538" s="11">
        <v>4000</v>
      </c>
      <c r="H538" s="11">
        <v>0</v>
      </c>
      <c r="I538" s="11">
        <v>0</v>
      </c>
      <c r="J538" s="11">
        <v>0</v>
      </c>
      <c r="K538" s="11">
        <v>0</v>
      </c>
      <c r="L538" s="11">
        <v>4000</v>
      </c>
      <c r="M538" s="9" t="s">
        <v>567</v>
      </c>
    </row>
    <row r="539" spans="1:13" ht="20.100000000000001" customHeight="1" x14ac:dyDescent="0.2">
      <c r="A539" s="9">
        <f t="shared" si="24"/>
        <v>536</v>
      </c>
      <c r="B539" s="9">
        <v>1537</v>
      </c>
      <c r="C539" s="9">
        <v>1064504788</v>
      </c>
      <c r="D539" s="9" t="s">
        <v>3520</v>
      </c>
      <c r="E539" s="9" t="s">
        <v>2507</v>
      </c>
      <c r="F539" s="9" t="s">
        <v>45</v>
      </c>
      <c r="G539" s="11">
        <v>4000</v>
      </c>
      <c r="H539" s="11">
        <v>0</v>
      </c>
      <c r="I539" s="11">
        <v>0</v>
      </c>
      <c r="J539" s="11">
        <v>0</v>
      </c>
      <c r="K539" s="11">
        <v>3000</v>
      </c>
      <c r="L539" s="11">
        <v>7000</v>
      </c>
      <c r="M539" s="9" t="s">
        <v>65</v>
      </c>
    </row>
    <row r="540" spans="1:13" ht="20.100000000000001" customHeight="1" x14ac:dyDescent="0.2">
      <c r="A540" s="9">
        <f t="shared" si="24"/>
        <v>537</v>
      </c>
      <c r="B540" s="9">
        <v>1538</v>
      </c>
      <c r="C540" s="9">
        <v>1111070155</v>
      </c>
      <c r="D540" s="9" t="s">
        <v>3519</v>
      </c>
      <c r="E540" s="9" t="s">
        <v>2513</v>
      </c>
      <c r="F540" s="9" t="s">
        <v>45</v>
      </c>
      <c r="G540" s="11">
        <v>4000</v>
      </c>
      <c r="H540" s="11">
        <v>0</v>
      </c>
      <c r="I540" s="11">
        <v>0</v>
      </c>
      <c r="J540" s="11">
        <v>0</v>
      </c>
      <c r="K540" s="11">
        <v>0</v>
      </c>
      <c r="L540" s="11">
        <v>4000</v>
      </c>
      <c r="M540" s="9" t="s">
        <v>567</v>
      </c>
    </row>
    <row r="541" spans="1:13" ht="20.100000000000001" customHeight="1" x14ac:dyDescent="0.2">
      <c r="A541" s="9">
        <f t="shared" si="24"/>
        <v>538</v>
      </c>
      <c r="B541" s="9">
        <v>1539</v>
      </c>
      <c r="C541" s="9">
        <v>2470831336</v>
      </c>
      <c r="D541" s="9" t="s">
        <v>3520</v>
      </c>
      <c r="E541" s="9" t="s">
        <v>2519</v>
      </c>
      <c r="F541" s="9" t="s">
        <v>142</v>
      </c>
      <c r="G541" s="11">
        <v>1200</v>
      </c>
      <c r="H541" s="11">
        <v>0</v>
      </c>
      <c r="I541" s="11">
        <v>0</v>
      </c>
      <c r="J541" s="11">
        <v>0</v>
      </c>
      <c r="K541" s="11">
        <v>1300</v>
      </c>
      <c r="L541" s="11">
        <v>2500</v>
      </c>
      <c r="M541" s="9" t="s">
        <v>103</v>
      </c>
    </row>
    <row r="542" spans="1:13" ht="20.100000000000001" customHeight="1" x14ac:dyDescent="0.2">
      <c r="A542" s="9">
        <f t="shared" si="24"/>
        <v>539</v>
      </c>
      <c r="B542" s="9">
        <v>1540</v>
      </c>
      <c r="C542" s="9">
        <v>2553885944</v>
      </c>
      <c r="D542" s="9" t="s">
        <v>3520</v>
      </c>
      <c r="E542" s="9" t="s">
        <v>3500</v>
      </c>
      <c r="F542" s="9" t="s">
        <v>431</v>
      </c>
      <c r="G542" s="11">
        <v>1200</v>
      </c>
      <c r="H542" s="11">
        <v>0</v>
      </c>
      <c r="I542" s="11">
        <v>0</v>
      </c>
      <c r="J542" s="11">
        <v>0</v>
      </c>
      <c r="K542" s="11">
        <v>400</v>
      </c>
      <c r="L542" s="11">
        <v>1600</v>
      </c>
      <c r="M542" s="9" t="s">
        <v>788</v>
      </c>
    </row>
    <row r="543" spans="1:13" ht="20.100000000000001" customHeight="1" x14ac:dyDescent="0.2">
      <c r="A543" s="9">
        <f t="shared" si="24"/>
        <v>540</v>
      </c>
      <c r="B543" s="9">
        <v>1541</v>
      </c>
      <c r="C543" s="9">
        <v>1067944403</v>
      </c>
      <c r="D543" s="9" t="s">
        <v>3520</v>
      </c>
      <c r="E543" s="9" t="s">
        <v>2525</v>
      </c>
      <c r="F543" s="9" t="s">
        <v>203</v>
      </c>
      <c r="G543" s="11">
        <v>2000</v>
      </c>
      <c r="H543" s="11">
        <v>0</v>
      </c>
      <c r="I543" s="11">
        <v>0</v>
      </c>
      <c r="J543" s="11">
        <v>0</v>
      </c>
      <c r="K543" s="11">
        <v>1000</v>
      </c>
      <c r="L543" s="11">
        <v>3000</v>
      </c>
      <c r="M543" s="9" t="s">
        <v>788</v>
      </c>
    </row>
    <row r="544" spans="1:13" ht="20.100000000000001" customHeight="1" x14ac:dyDescent="0.2">
      <c r="A544" s="9">
        <f t="shared" si="24"/>
        <v>541</v>
      </c>
      <c r="B544" s="9">
        <v>1542</v>
      </c>
      <c r="C544" s="9">
        <v>2550982462</v>
      </c>
      <c r="D544" s="9" t="s">
        <v>3520</v>
      </c>
      <c r="E544" s="9" t="s">
        <v>2530</v>
      </c>
      <c r="F544" s="9" t="s">
        <v>142</v>
      </c>
      <c r="G544" s="11">
        <v>1200</v>
      </c>
      <c r="H544" s="11">
        <v>0</v>
      </c>
      <c r="I544" s="11">
        <v>0</v>
      </c>
      <c r="J544" s="11">
        <v>0</v>
      </c>
      <c r="K544" s="11">
        <v>400</v>
      </c>
      <c r="L544" s="11">
        <v>1600</v>
      </c>
      <c r="M544" s="9" t="s">
        <v>788</v>
      </c>
    </row>
    <row r="545" spans="1:13" ht="20.100000000000001" customHeight="1" x14ac:dyDescent="0.2">
      <c r="A545" s="9">
        <f t="shared" si="24"/>
        <v>542</v>
      </c>
      <c r="B545" s="9">
        <v>1543</v>
      </c>
      <c r="C545" s="9">
        <v>2549654842</v>
      </c>
      <c r="D545" s="9" t="s">
        <v>3520</v>
      </c>
      <c r="E545" s="9" t="s">
        <v>2535</v>
      </c>
      <c r="F545" s="9" t="s">
        <v>142</v>
      </c>
      <c r="G545" s="11">
        <v>1200</v>
      </c>
      <c r="H545" s="11">
        <v>0</v>
      </c>
      <c r="I545" s="11">
        <v>0</v>
      </c>
      <c r="J545" s="11">
        <v>0</v>
      </c>
      <c r="K545" s="11">
        <v>400</v>
      </c>
      <c r="L545" s="11">
        <v>1600</v>
      </c>
      <c r="M545" s="9" t="s">
        <v>788</v>
      </c>
    </row>
    <row r="546" spans="1:13" ht="20.100000000000001" customHeight="1" x14ac:dyDescent="0.2">
      <c r="A546" s="9">
        <f t="shared" si="24"/>
        <v>543</v>
      </c>
      <c r="B546" s="9">
        <v>1544</v>
      </c>
      <c r="C546" s="9">
        <v>1126192374</v>
      </c>
      <c r="D546" s="9" t="s">
        <v>3519</v>
      </c>
      <c r="E546" s="9" t="s">
        <v>2540</v>
      </c>
      <c r="F546" s="9" t="s">
        <v>578</v>
      </c>
      <c r="G546" s="11">
        <v>4000</v>
      </c>
      <c r="H546" s="11">
        <v>0</v>
      </c>
      <c r="I546" s="11" t="s">
        <v>42</v>
      </c>
      <c r="J546" s="11" t="s">
        <v>42</v>
      </c>
      <c r="K546" s="11" t="s">
        <v>42</v>
      </c>
      <c r="L546" s="11">
        <v>4000</v>
      </c>
      <c r="M546" s="9" t="s">
        <v>443</v>
      </c>
    </row>
    <row r="547" spans="1:13" ht="20.100000000000001" customHeight="1" x14ac:dyDescent="0.2">
      <c r="A547" s="9">
        <f t="shared" si="24"/>
        <v>544</v>
      </c>
      <c r="B547" s="9">
        <v>1545</v>
      </c>
      <c r="C547" s="9">
        <v>2554617957</v>
      </c>
      <c r="D547" s="9" t="s">
        <v>3520</v>
      </c>
      <c r="E547" s="9" t="s">
        <v>2545</v>
      </c>
      <c r="F547" s="9" t="s">
        <v>107</v>
      </c>
      <c r="G547" s="11">
        <v>1200</v>
      </c>
      <c r="H547" s="11">
        <v>0</v>
      </c>
      <c r="I547" s="11">
        <v>0</v>
      </c>
      <c r="J547" s="11">
        <v>0</v>
      </c>
      <c r="K547" s="11">
        <v>400</v>
      </c>
      <c r="L547" s="11">
        <v>1600</v>
      </c>
      <c r="M547" s="9" t="s">
        <v>788</v>
      </c>
    </row>
    <row r="548" spans="1:13" ht="20.100000000000001" customHeight="1" x14ac:dyDescent="0.2">
      <c r="A548" s="9">
        <f t="shared" si="24"/>
        <v>545</v>
      </c>
      <c r="B548" s="9">
        <v>1546</v>
      </c>
      <c r="C548" s="9">
        <v>2554618740</v>
      </c>
      <c r="D548" s="9" t="s">
        <v>3520</v>
      </c>
      <c r="E548" s="9" t="s">
        <v>2550</v>
      </c>
      <c r="F548" s="9" t="s">
        <v>203</v>
      </c>
      <c r="G548" s="11">
        <v>1200</v>
      </c>
      <c r="H548" s="11">
        <v>0</v>
      </c>
      <c r="I548" s="11">
        <v>0</v>
      </c>
      <c r="J548" s="11">
        <v>0</v>
      </c>
      <c r="K548" s="11">
        <v>400</v>
      </c>
      <c r="L548" s="11">
        <v>1600</v>
      </c>
      <c r="M548" s="9" t="s">
        <v>788</v>
      </c>
    </row>
    <row r="549" spans="1:13" ht="20.100000000000001" customHeight="1" x14ac:dyDescent="0.2">
      <c r="A549" s="9">
        <f t="shared" si="24"/>
        <v>546</v>
      </c>
      <c r="B549" s="9">
        <v>1547</v>
      </c>
      <c r="C549" s="9">
        <v>2554618211</v>
      </c>
      <c r="D549" s="9" t="s">
        <v>3520</v>
      </c>
      <c r="E549" s="9" t="s">
        <v>2555</v>
      </c>
      <c r="F549" s="9" t="s">
        <v>744</v>
      </c>
      <c r="G549" s="11">
        <v>1200</v>
      </c>
      <c r="H549" s="11">
        <v>0</v>
      </c>
      <c r="I549" s="11">
        <v>0</v>
      </c>
      <c r="J549" s="11">
        <v>0</v>
      </c>
      <c r="K549" s="11">
        <v>400</v>
      </c>
      <c r="L549" s="11">
        <v>1600</v>
      </c>
      <c r="M549" s="9" t="s">
        <v>788</v>
      </c>
    </row>
    <row r="550" spans="1:13" ht="20.100000000000001" customHeight="1" x14ac:dyDescent="0.2">
      <c r="A550" s="9">
        <f t="shared" si="24"/>
        <v>547</v>
      </c>
      <c r="B550" s="9">
        <v>1548</v>
      </c>
      <c r="C550" s="9">
        <v>2554618518</v>
      </c>
      <c r="D550" s="9" t="s">
        <v>3520</v>
      </c>
      <c r="E550" s="9" t="s">
        <v>2560</v>
      </c>
      <c r="F550" s="9" t="s">
        <v>203</v>
      </c>
      <c r="G550" s="11">
        <v>1200</v>
      </c>
      <c r="H550" s="11">
        <v>0</v>
      </c>
      <c r="I550" s="11">
        <v>0</v>
      </c>
      <c r="J550" s="11">
        <v>0</v>
      </c>
      <c r="K550" s="11">
        <v>400</v>
      </c>
      <c r="L550" s="11">
        <v>1600</v>
      </c>
      <c r="M550" s="9" t="s">
        <v>788</v>
      </c>
    </row>
    <row r="551" spans="1:13" ht="20.100000000000001" customHeight="1" x14ac:dyDescent="0.2">
      <c r="A551" s="9">
        <f t="shared" si="24"/>
        <v>548</v>
      </c>
      <c r="B551" s="9">
        <v>1549</v>
      </c>
      <c r="C551" s="9">
        <v>2554617619</v>
      </c>
      <c r="D551" s="9" t="s">
        <v>3520</v>
      </c>
      <c r="E551" s="9" t="s">
        <v>2565</v>
      </c>
      <c r="F551" s="9" t="s">
        <v>203</v>
      </c>
      <c r="G551" s="11">
        <v>1200</v>
      </c>
      <c r="H551" s="11">
        <v>0</v>
      </c>
      <c r="I551" s="11">
        <v>0</v>
      </c>
      <c r="J551" s="11">
        <v>0</v>
      </c>
      <c r="K551" s="11">
        <v>400</v>
      </c>
      <c r="L551" s="11">
        <v>1600</v>
      </c>
      <c r="M551" s="9" t="s">
        <v>788</v>
      </c>
    </row>
    <row r="552" spans="1:13" ht="20.100000000000001" customHeight="1" x14ac:dyDescent="0.2">
      <c r="A552" s="9">
        <f t="shared" si="24"/>
        <v>549</v>
      </c>
      <c r="B552" s="9">
        <v>1550</v>
      </c>
      <c r="C552" s="9">
        <v>2554616710</v>
      </c>
      <c r="D552" s="9" t="s">
        <v>3520</v>
      </c>
      <c r="E552" s="9" t="s">
        <v>2570</v>
      </c>
      <c r="F552" s="9" t="s">
        <v>203</v>
      </c>
      <c r="G552" s="11">
        <v>1200</v>
      </c>
      <c r="H552" s="11">
        <v>0</v>
      </c>
      <c r="I552" s="11">
        <v>0</v>
      </c>
      <c r="J552" s="11">
        <v>0</v>
      </c>
      <c r="K552" s="11">
        <v>400</v>
      </c>
      <c r="L552" s="11">
        <v>1600</v>
      </c>
      <c r="M552" s="9" t="s">
        <v>788</v>
      </c>
    </row>
    <row r="553" spans="1:13" ht="20.100000000000001" customHeight="1" x14ac:dyDescent="0.2">
      <c r="A553" s="9">
        <f t="shared" si="24"/>
        <v>550</v>
      </c>
      <c r="B553" s="9">
        <v>1551</v>
      </c>
      <c r="C553" s="9">
        <v>2535565606</v>
      </c>
      <c r="D553" s="9" t="s">
        <v>3520</v>
      </c>
      <c r="E553" s="9" t="s">
        <v>2574</v>
      </c>
      <c r="F553" s="9" t="s">
        <v>142</v>
      </c>
      <c r="G553" s="11">
        <v>1200</v>
      </c>
      <c r="H553" s="11">
        <v>0</v>
      </c>
      <c r="I553" s="11">
        <v>0</v>
      </c>
      <c r="J553" s="11">
        <v>0</v>
      </c>
      <c r="K553" s="11">
        <v>800</v>
      </c>
      <c r="L553" s="11">
        <v>2000</v>
      </c>
      <c r="M553" s="9" t="s">
        <v>788</v>
      </c>
    </row>
    <row r="554" spans="1:13" ht="20.100000000000001" customHeight="1" x14ac:dyDescent="0.2">
      <c r="A554" s="9">
        <f t="shared" si="24"/>
        <v>551</v>
      </c>
      <c r="B554" s="9">
        <v>1552</v>
      </c>
      <c r="C554" s="9">
        <v>2553457850</v>
      </c>
      <c r="D554" s="9" t="s">
        <v>3520</v>
      </c>
      <c r="E554" s="9" t="s">
        <v>2577</v>
      </c>
      <c r="F554" s="9" t="s">
        <v>475</v>
      </c>
      <c r="G554" s="11">
        <v>1200</v>
      </c>
      <c r="H554" s="11">
        <v>0</v>
      </c>
      <c r="I554" s="11">
        <v>0</v>
      </c>
      <c r="J554" s="11">
        <v>0</v>
      </c>
      <c r="K554" s="11">
        <v>400</v>
      </c>
      <c r="L554" s="11">
        <v>1600</v>
      </c>
      <c r="M554" s="9" t="s">
        <v>788</v>
      </c>
    </row>
    <row r="555" spans="1:13" ht="20.100000000000001" customHeight="1" x14ac:dyDescent="0.2">
      <c r="A555" s="9">
        <f t="shared" si="24"/>
        <v>552</v>
      </c>
      <c r="B555" s="9">
        <v>1554</v>
      </c>
      <c r="C555" s="9">
        <v>2546544327</v>
      </c>
      <c r="D555" s="9" t="s">
        <v>3520</v>
      </c>
      <c r="E555" s="9" t="s">
        <v>2584</v>
      </c>
      <c r="F555" s="9" t="s">
        <v>899</v>
      </c>
      <c r="G555" s="11">
        <v>1200</v>
      </c>
      <c r="H555" s="11">
        <v>0</v>
      </c>
      <c r="I555" s="11">
        <v>0</v>
      </c>
      <c r="J555" s="11">
        <v>0</v>
      </c>
      <c r="K555" s="11">
        <v>400</v>
      </c>
      <c r="L555" s="11">
        <v>1600</v>
      </c>
      <c r="M555" s="9" t="s">
        <v>788</v>
      </c>
    </row>
    <row r="556" spans="1:13" ht="20.100000000000001" customHeight="1" x14ac:dyDescent="0.2">
      <c r="A556" s="9">
        <f t="shared" si="24"/>
        <v>553</v>
      </c>
      <c r="B556" s="9">
        <v>1555</v>
      </c>
      <c r="C556" s="9">
        <v>1065401232</v>
      </c>
      <c r="D556" s="9" t="s">
        <v>3520</v>
      </c>
      <c r="E556" s="9" t="s">
        <v>2588</v>
      </c>
      <c r="F556" s="9" t="s">
        <v>45</v>
      </c>
      <c r="G556" s="11">
        <v>1200</v>
      </c>
      <c r="H556" s="11">
        <v>0</v>
      </c>
      <c r="I556" s="11">
        <v>0</v>
      </c>
      <c r="J556" s="11">
        <v>0</v>
      </c>
      <c r="K556" s="11">
        <v>400</v>
      </c>
      <c r="L556" s="11">
        <v>1600</v>
      </c>
      <c r="M556" s="9" t="s">
        <v>65</v>
      </c>
    </row>
    <row r="557" spans="1:13" ht="20.100000000000001" customHeight="1" x14ac:dyDescent="0.2">
      <c r="A557" s="9">
        <f t="shared" si="24"/>
        <v>554</v>
      </c>
      <c r="B557" s="9">
        <v>1556</v>
      </c>
      <c r="C557" s="9">
        <v>1072033952</v>
      </c>
      <c r="D557" s="9" t="s">
        <v>3520</v>
      </c>
      <c r="E557" s="9" t="s">
        <v>2595</v>
      </c>
      <c r="F557" s="9" t="s">
        <v>45</v>
      </c>
      <c r="G557" s="11">
        <v>1200</v>
      </c>
      <c r="H557" s="11">
        <v>0</v>
      </c>
      <c r="I557" s="11">
        <v>0</v>
      </c>
      <c r="J557" s="11">
        <v>0</v>
      </c>
      <c r="K557" s="11">
        <v>400</v>
      </c>
      <c r="L557" s="11">
        <v>1600</v>
      </c>
      <c r="M557" s="9" t="s">
        <v>903</v>
      </c>
    </row>
    <row r="558" spans="1:13" ht="20.100000000000001" customHeight="1" x14ac:dyDescent="0.2">
      <c r="A558" s="9">
        <f t="shared" si="24"/>
        <v>555</v>
      </c>
      <c r="B558" s="9">
        <v>1557</v>
      </c>
      <c r="C558" s="9">
        <v>2554843645</v>
      </c>
      <c r="D558" s="9" t="s">
        <v>3520</v>
      </c>
      <c r="E558" s="9" t="s">
        <v>2601</v>
      </c>
      <c r="F558" s="9" t="s">
        <v>578</v>
      </c>
      <c r="G558" s="11">
        <v>1200</v>
      </c>
      <c r="H558" s="11">
        <v>0</v>
      </c>
      <c r="I558" s="11">
        <v>0</v>
      </c>
      <c r="J558" s="11">
        <v>0</v>
      </c>
      <c r="K558" s="11">
        <v>400</v>
      </c>
      <c r="L558" s="11">
        <v>1600</v>
      </c>
      <c r="M558" s="9" t="s">
        <v>788</v>
      </c>
    </row>
    <row r="559" spans="1:13" ht="20.100000000000001" customHeight="1" x14ac:dyDescent="0.2">
      <c r="A559" s="9">
        <f t="shared" si="24"/>
        <v>556</v>
      </c>
      <c r="B559" s="9">
        <v>1558</v>
      </c>
      <c r="C559" s="9">
        <v>2553593985</v>
      </c>
      <c r="D559" s="9" t="s">
        <v>3520</v>
      </c>
      <c r="E559" s="9" t="s">
        <v>2606</v>
      </c>
      <c r="F559" s="9" t="s">
        <v>2608</v>
      </c>
      <c r="G559" s="11">
        <v>1200</v>
      </c>
      <c r="H559" s="11">
        <v>0</v>
      </c>
      <c r="I559" s="11">
        <v>0</v>
      </c>
      <c r="J559" s="11">
        <v>0</v>
      </c>
      <c r="K559" s="11">
        <v>400</v>
      </c>
      <c r="L559" s="11">
        <v>1600</v>
      </c>
      <c r="M559" s="9" t="s">
        <v>788</v>
      </c>
    </row>
    <row r="560" spans="1:13" ht="20.100000000000001" customHeight="1" x14ac:dyDescent="0.2">
      <c r="A560" s="9">
        <f t="shared" si="24"/>
        <v>557</v>
      </c>
      <c r="B560" s="9">
        <v>1559</v>
      </c>
      <c r="C560" s="9">
        <v>2508886401</v>
      </c>
      <c r="D560" s="9" t="s">
        <v>3520</v>
      </c>
      <c r="E560" s="9" t="s">
        <v>2612</v>
      </c>
      <c r="F560" s="9" t="s">
        <v>475</v>
      </c>
      <c r="G560" s="11">
        <v>1200</v>
      </c>
      <c r="H560" s="11">
        <v>0</v>
      </c>
      <c r="I560" s="11">
        <v>0</v>
      </c>
      <c r="J560" s="11">
        <v>0</v>
      </c>
      <c r="K560" s="11">
        <v>400</v>
      </c>
      <c r="L560" s="11">
        <v>1600</v>
      </c>
      <c r="M560" s="9" t="s">
        <v>788</v>
      </c>
    </row>
    <row r="561" spans="1:13" ht="20.100000000000001" customHeight="1" x14ac:dyDescent="0.2">
      <c r="A561" s="9">
        <f t="shared" si="24"/>
        <v>558</v>
      </c>
      <c r="B561" s="9">
        <v>1560</v>
      </c>
      <c r="C561" s="9">
        <v>2550525147</v>
      </c>
      <c r="D561" s="9" t="s">
        <v>3520</v>
      </c>
      <c r="E561" s="9" t="s">
        <v>2617</v>
      </c>
      <c r="F561" s="9" t="s">
        <v>466</v>
      </c>
      <c r="G561" s="11">
        <v>1200</v>
      </c>
      <c r="H561" s="11">
        <v>0</v>
      </c>
      <c r="I561" s="11">
        <v>0</v>
      </c>
      <c r="J561" s="11">
        <v>0</v>
      </c>
      <c r="K561" s="11">
        <v>400</v>
      </c>
      <c r="L561" s="11">
        <v>1600</v>
      </c>
      <c r="M561" s="9" t="s">
        <v>788</v>
      </c>
    </row>
    <row r="562" spans="1:13" ht="20.100000000000001" customHeight="1" x14ac:dyDescent="0.2">
      <c r="A562" s="9">
        <f t="shared" si="24"/>
        <v>559</v>
      </c>
      <c r="B562" s="9">
        <v>1561</v>
      </c>
      <c r="C562" s="9">
        <v>2553356649</v>
      </c>
      <c r="D562" s="9" t="s">
        <v>3520</v>
      </c>
      <c r="E562" s="9" t="s">
        <v>2622</v>
      </c>
      <c r="F562" s="9" t="s">
        <v>2608</v>
      </c>
      <c r="G562" s="11">
        <v>1200</v>
      </c>
      <c r="H562" s="11">
        <v>0</v>
      </c>
      <c r="I562" s="11">
        <v>0</v>
      </c>
      <c r="J562" s="11">
        <v>0</v>
      </c>
      <c r="K562" s="11">
        <v>400</v>
      </c>
      <c r="L562" s="11">
        <v>1600</v>
      </c>
      <c r="M562" s="9" t="s">
        <v>788</v>
      </c>
    </row>
    <row r="563" spans="1:13" ht="20.100000000000001" customHeight="1" x14ac:dyDescent="0.2">
      <c r="A563" s="9">
        <f t="shared" si="24"/>
        <v>560</v>
      </c>
      <c r="B563" s="9">
        <v>1562</v>
      </c>
      <c r="C563" s="9">
        <v>2553899713</v>
      </c>
      <c r="D563" s="9" t="s">
        <v>3520</v>
      </c>
      <c r="E563" s="9" t="s">
        <v>2628</v>
      </c>
      <c r="F563" s="9" t="s">
        <v>2608</v>
      </c>
      <c r="G563" s="11">
        <v>1200</v>
      </c>
      <c r="H563" s="11">
        <v>0</v>
      </c>
      <c r="I563" s="11">
        <v>0</v>
      </c>
      <c r="J563" s="11">
        <v>0</v>
      </c>
      <c r="K563" s="11">
        <v>400</v>
      </c>
      <c r="L563" s="11">
        <v>1600</v>
      </c>
      <c r="M563" s="9" t="s">
        <v>788</v>
      </c>
    </row>
    <row r="564" spans="1:13" ht="20.100000000000001" customHeight="1" x14ac:dyDescent="0.2">
      <c r="A564" s="9">
        <f t="shared" si="24"/>
        <v>561</v>
      </c>
      <c r="B564" s="9">
        <v>1563</v>
      </c>
      <c r="C564" s="9">
        <v>2551022342</v>
      </c>
      <c r="D564" s="9" t="s">
        <v>3520</v>
      </c>
      <c r="E564" s="9" t="s">
        <v>2633</v>
      </c>
      <c r="F564" s="9" t="s">
        <v>270</v>
      </c>
      <c r="G564" s="11">
        <v>1200</v>
      </c>
      <c r="H564" s="11">
        <v>0</v>
      </c>
      <c r="I564" s="11">
        <v>0</v>
      </c>
      <c r="J564" s="11">
        <v>0</v>
      </c>
      <c r="K564" s="11">
        <v>400</v>
      </c>
      <c r="L564" s="11">
        <v>1600</v>
      </c>
      <c r="M564" s="9" t="s">
        <v>788</v>
      </c>
    </row>
    <row r="565" spans="1:13" ht="20.100000000000001" customHeight="1" x14ac:dyDescent="0.2">
      <c r="A565" s="9">
        <f t="shared" si="24"/>
        <v>562</v>
      </c>
      <c r="B565" s="9">
        <v>1564</v>
      </c>
      <c r="C565" s="9">
        <v>2554906137</v>
      </c>
      <c r="D565" s="9" t="s">
        <v>3520</v>
      </c>
      <c r="E565" s="9" t="s">
        <v>2637</v>
      </c>
      <c r="F565" s="9" t="s">
        <v>2608</v>
      </c>
      <c r="G565" s="11">
        <v>1200</v>
      </c>
      <c r="H565" s="11">
        <v>0</v>
      </c>
      <c r="I565" s="11">
        <v>0</v>
      </c>
      <c r="J565" s="11">
        <v>0</v>
      </c>
      <c r="K565" s="11">
        <v>400</v>
      </c>
      <c r="L565" s="11">
        <v>1600</v>
      </c>
      <c r="M565" s="9" t="s">
        <v>788</v>
      </c>
    </row>
    <row r="566" spans="1:13" ht="20.100000000000001" customHeight="1" x14ac:dyDescent="0.2">
      <c r="A566" s="9">
        <f t="shared" si="24"/>
        <v>563</v>
      </c>
      <c r="B566" s="9">
        <v>1565</v>
      </c>
      <c r="C566" s="9">
        <v>2554905774</v>
      </c>
      <c r="D566" s="9" t="s">
        <v>3520</v>
      </c>
      <c r="E566" s="9" t="s">
        <v>2642</v>
      </c>
      <c r="F566" s="9" t="s">
        <v>394</v>
      </c>
      <c r="G566" s="11">
        <v>1200</v>
      </c>
      <c r="H566" s="11">
        <v>0</v>
      </c>
      <c r="I566" s="11">
        <v>0</v>
      </c>
      <c r="J566" s="11">
        <v>0</v>
      </c>
      <c r="K566" s="11">
        <v>400</v>
      </c>
      <c r="L566" s="11">
        <v>1600</v>
      </c>
      <c r="M566" s="9" t="s">
        <v>788</v>
      </c>
    </row>
    <row r="567" spans="1:13" ht="20.100000000000001" customHeight="1" x14ac:dyDescent="0.2">
      <c r="A567" s="9">
        <f t="shared" ref="A567:A598" si="25">ROW()-3</f>
        <v>564</v>
      </c>
      <c r="B567" s="9">
        <v>1566</v>
      </c>
      <c r="C567" s="9">
        <v>2550525147</v>
      </c>
      <c r="D567" s="9" t="s">
        <v>3520</v>
      </c>
      <c r="E567" s="9" t="s">
        <v>2647</v>
      </c>
      <c r="F567" s="9" t="s">
        <v>466</v>
      </c>
      <c r="G567" s="11">
        <v>1200</v>
      </c>
      <c r="H567" s="11">
        <v>0</v>
      </c>
      <c r="I567" s="11">
        <v>0</v>
      </c>
      <c r="J567" s="11">
        <v>0</v>
      </c>
      <c r="K567" s="11">
        <v>400</v>
      </c>
      <c r="L567" s="11">
        <v>1600</v>
      </c>
      <c r="M567" s="9" t="s">
        <v>788</v>
      </c>
    </row>
    <row r="568" spans="1:13" ht="20.100000000000001" customHeight="1" x14ac:dyDescent="0.2">
      <c r="A568" s="9">
        <f t="shared" si="25"/>
        <v>565</v>
      </c>
      <c r="B568" s="9">
        <v>1567</v>
      </c>
      <c r="C568" s="9"/>
      <c r="D568" s="9" t="s">
        <v>3520</v>
      </c>
      <c r="E568" s="9" t="s">
        <v>2649</v>
      </c>
      <c r="F568" s="9" t="s">
        <v>475</v>
      </c>
      <c r="G568" s="11">
        <v>1200</v>
      </c>
      <c r="H568" s="11">
        <v>0</v>
      </c>
      <c r="I568" s="11">
        <v>0</v>
      </c>
      <c r="J568" s="11">
        <v>0</v>
      </c>
      <c r="K568" s="11">
        <v>400</v>
      </c>
      <c r="L568" s="11">
        <v>1600</v>
      </c>
      <c r="M568" s="9" t="s">
        <v>788</v>
      </c>
    </row>
    <row r="569" spans="1:13" ht="20.100000000000001" customHeight="1" x14ac:dyDescent="0.2">
      <c r="A569" s="9">
        <f t="shared" si="25"/>
        <v>566</v>
      </c>
      <c r="B569" s="9">
        <v>1568</v>
      </c>
      <c r="C569" s="9">
        <v>2548508353</v>
      </c>
      <c r="D569" s="9"/>
      <c r="E569" s="9" t="s">
        <v>2651</v>
      </c>
      <c r="F569" s="9" t="s">
        <v>154</v>
      </c>
      <c r="G569" s="11">
        <v>1200</v>
      </c>
      <c r="H569" s="11">
        <v>0</v>
      </c>
      <c r="I569" s="11">
        <v>0</v>
      </c>
      <c r="J569" s="11">
        <v>0</v>
      </c>
      <c r="K569" s="11">
        <v>400</v>
      </c>
      <c r="L569" s="11">
        <v>1600</v>
      </c>
      <c r="M569" s="9" t="s">
        <v>788</v>
      </c>
    </row>
    <row r="570" spans="1:13" ht="20.100000000000001" customHeight="1" x14ac:dyDescent="0.2">
      <c r="A570" s="9">
        <f t="shared" si="25"/>
        <v>567</v>
      </c>
      <c r="B570" s="9">
        <v>1569</v>
      </c>
      <c r="C570" s="9">
        <v>2553714599</v>
      </c>
      <c r="D570" s="9"/>
      <c r="E570" s="9" t="s">
        <v>2581</v>
      </c>
      <c r="F570" s="9" t="s">
        <v>466</v>
      </c>
      <c r="G570" s="11" t="s">
        <v>42</v>
      </c>
      <c r="H570" s="11" t="s">
        <v>42</v>
      </c>
      <c r="I570" s="11" t="s">
        <v>42</v>
      </c>
      <c r="J570" s="11" t="s">
        <v>42</v>
      </c>
      <c r="K570" s="11" t="s">
        <v>42</v>
      </c>
      <c r="L570" s="11">
        <v>0</v>
      </c>
      <c r="M570" s="9"/>
    </row>
    <row r="571" spans="1:13" ht="20.100000000000001" customHeight="1" x14ac:dyDescent="0.2">
      <c r="A571" s="9">
        <f t="shared" si="25"/>
        <v>568</v>
      </c>
      <c r="B571" s="9">
        <v>1570</v>
      </c>
      <c r="C571" s="9">
        <v>2552333219</v>
      </c>
      <c r="D571" s="9"/>
      <c r="E571" s="9" t="s">
        <v>2659</v>
      </c>
      <c r="F571" s="9" t="s">
        <v>1309</v>
      </c>
      <c r="G571" s="11" t="s">
        <v>42</v>
      </c>
      <c r="H571" s="11" t="s">
        <v>42</v>
      </c>
      <c r="I571" s="11" t="s">
        <v>42</v>
      </c>
      <c r="J571" s="11" t="s">
        <v>42</v>
      </c>
      <c r="K571" s="11" t="s">
        <v>42</v>
      </c>
      <c r="L571" s="11">
        <v>0</v>
      </c>
      <c r="M571" s="9" t="s">
        <v>788</v>
      </c>
    </row>
    <row r="572" spans="1:13" ht="20.100000000000001" customHeight="1" x14ac:dyDescent="0.2">
      <c r="A572" s="9">
        <f t="shared" si="25"/>
        <v>569</v>
      </c>
      <c r="B572" s="9">
        <v>1571</v>
      </c>
      <c r="C572" s="9">
        <v>2553521705</v>
      </c>
      <c r="D572" s="9"/>
      <c r="E572" s="9" t="s">
        <v>2664</v>
      </c>
      <c r="F572" s="9" t="s">
        <v>1309</v>
      </c>
      <c r="G572" s="11" t="s">
        <v>42</v>
      </c>
      <c r="H572" s="11" t="s">
        <v>42</v>
      </c>
      <c r="I572" s="11" t="s">
        <v>42</v>
      </c>
      <c r="J572" s="11" t="s">
        <v>42</v>
      </c>
      <c r="K572" s="11" t="s">
        <v>42</v>
      </c>
      <c r="L572" s="11">
        <v>0</v>
      </c>
      <c r="M572" s="9" t="s">
        <v>788</v>
      </c>
    </row>
    <row r="573" spans="1:13" ht="20.100000000000001" customHeight="1" x14ac:dyDescent="0.2">
      <c r="A573" s="9">
        <f t="shared" si="25"/>
        <v>570</v>
      </c>
      <c r="B573" s="9">
        <v>1572</v>
      </c>
      <c r="C573" s="9"/>
      <c r="D573" s="9"/>
      <c r="E573" s="9" t="s">
        <v>2669</v>
      </c>
      <c r="F573" s="9" t="s">
        <v>1309</v>
      </c>
      <c r="G573" s="11" t="s">
        <v>42</v>
      </c>
      <c r="H573" s="11" t="s">
        <v>42</v>
      </c>
      <c r="I573" s="11" t="s">
        <v>42</v>
      </c>
      <c r="J573" s="11" t="s">
        <v>42</v>
      </c>
      <c r="K573" s="11" t="s">
        <v>42</v>
      </c>
      <c r="L573" s="11">
        <v>0</v>
      </c>
      <c r="M573" s="9" t="s">
        <v>788</v>
      </c>
    </row>
    <row r="574" spans="1:13" ht="20.100000000000001" customHeight="1" x14ac:dyDescent="0.2">
      <c r="A574" s="9">
        <f t="shared" si="25"/>
        <v>571</v>
      </c>
      <c r="B574" s="9">
        <v>1573</v>
      </c>
      <c r="C574" s="9">
        <v>1130843715</v>
      </c>
      <c r="D574" s="9" t="s">
        <v>3519</v>
      </c>
      <c r="E574" s="9" t="s">
        <v>2674</v>
      </c>
      <c r="F574" s="9" t="s">
        <v>2143</v>
      </c>
      <c r="G574" s="11">
        <v>4000</v>
      </c>
      <c r="H574" s="11" t="s">
        <v>42</v>
      </c>
      <c r="I574" s="11" t="s">
        <v>42</v>
      </c>
      <c r="J574" s="11" t="s">
        <v>42</v>
      </c>
      <c r="K574" s="11" t="s">
        <v>42</v>
      </c>
      <c r="L574" s="11">
        <v>4000</v>
      </c>
      <c r="M574" s="9" t="s">
        <v>443</v>
      </c>
    </row>
    <row r="575" spans="1:13" ht="20.100000000000001" customHeight="1" x14ac:dyDescent="0.2">
      <c r="A575" s="9">
        <f t="shared" si="25"/>
        <v>572</v>
      </c>
      <c r="B575" s="9">
        <v>1574</v>
      </c>
      <c r="C575" s="9">
        <v>1122213745</v>
      </c>
      <c r="D575" s="9"/>
      <c r="E575" s="9" t="s">
        <v>2680</v>
      </c>
      <c r="F575" s="9" t="s">
        <v>2143</v>
      </c>
      <c r="G575" s="11">
        <v>4000</v>
      </c>
      <c r="H575" s="11" t="s">
        <v>42</v>
      </c>
      <c r="I575" s="11" t="s">
        <v>42</v>
      </c>
      <c r="J575" s="11" t="s">
        <v>42</v>
      </c>
      <c r="K575" s="11" t="s">
        <v>42</v>
      </c>
      <c r="L575" s="11">
        <v>4000</v>
      </c>
      <c r="M575" s="9" t="s">
        <v>443</v>
      </c>
    </row>
    <row r="576" spans="1:13" ht="20.100000000000001" customHeight="1" x14ac:dyDescent="0.2">
      <c r="A576" s="9">
        <f t="shared" si="25"/>
        <v>573</v>
      </c>
      <c r="B576" s="9">
        <v>1575</v>
      </c>
      <c r="C576" s="9">
        <v>1129971972</v>
      </c>
      <c r="D576" s="9"/>
      <c r="E576" s="9" t="s">
        <v>2685</v>
      </c>
      <c r="F576" s="9" t="s">
        <v>2143</v>
      </c>
      <c r="G576" s="11">
        <v>4000</v>
      </c>
      <c r="H576" s="11" t="s">
        <v>42</v>
      </c>
      <c r="I576" s="11" t="s">
        <v>42</v>
      </c>
      <c r="J576" s="11" t="s">
        <v>42</v>
      </c>
      <c r="K576" s="11" t="s">
        <v>42</v>
      </c>
      <c r="L576" s="11">
        <v>4000</v>
      </c>
      <c r="M576" s="9" t="s">
        <v>443</v>
      </c>
    </row>
    <row r="577" spans="1:13" ht="20.100000000000001" customHeight="1" x14ac:dyDescent="0.2">
      <c r="A577" s="9">
        <f t="shared" si="25"/>
        <v>574</v>
      </c>
      <c r="B577" s="9">
        <v>1576</v>
      </c>
      <c r="C577" s="9">
        <v>1109626216</v>
      </c>
      <c r="D577" s="9"/>
      <c r="E577" s="9" t="s">
        <v>2690</v>
      </c>
      <c r="F577" s="9" t="s">
        <v>45</v>
      </c>
      <c r="G577" s="11">
        <v>4000</v>
      </c>
      <c r="H577" s="11">
        <v>0</v>
      </c>
      <c r="I577" s="11" t="s">
        <v>42</v>
      </c>
      <c r="J577" s="11" t="s">
        <v>42</v>
      </c>
      <c r="K577" s="11">
        <v>500</v>
      </c>
      <c r="L577" s="11">
        <v>4500</v>
      </c>
      <c r="M577" s="9" t="s">
        <v>788</v>
      </c>
    </row>
    <row r="578" spans="1:13" ht="20.100000000000001" customHeight="1" x14ac:dyDescent="0.2">
      <c r="A578" s="9">
        <f t="shared" si="25"/>
        <v>575</v>
      </c>
      <c r="B578" s="9">
        <v>1577</v>
      </c>
      <c r="C578" s="9">
        <v>1094927405</v>
      </c>
      <c r="D578" s="9"/>
      <c r="E578" s="9" t="s">
        <v>2694</v>
      </c>
      <c r="F578" s="9" t="s">
        <v>45</v>
      </c>
      <c r="G578" s="11">
        <v>4000</v>
      </c>
      <c r="H578" s="11">
        <v>0</v>
      </c>
      <c r="I578" s="11" t="s">
        <v>42</v>
      </c>
      <c r="J578" s="11" t="s">
        <v>42</v>
      </c>
      <c r="K578" s="11" t="s">
        <v>42</v>
      </c>
      <c r="L578" s="11">
        <v>4000</v>
      </c>
      <c r="M578" s="9" t="s">
        <v>103</v>
      </c>
    </row>
    <row r="579" spans="1:13" ht="20.100000000000001" customHeight="1" x14ac:dyDescent="0.2">
      <c r="A579" s="9">
        <f t="shared" si="25"/>
        <v>576</v>
      </c>
      <c r="B579" s="9">
        <v>1578</v>
      </c>
      <c r="C579" s="9">
        <v>1072076423</v>
      </c>
      <c r="D579" s="9"/>
      <c r="E579" s="9" t="s">
        <v>2700</v>
      </c>
      <c r="F579" s="9" t="s">
        <v>45</v>
      </c>
      <c r="G579" s="11">
        <v>4000</v>
      </c>
      <c r="H579" s="11">
        <v>0</v>
      </c>
      <c r="I579" s="11" t="s">
        <v>42</v>
      </c>
      <c r="J579" s="11" t="s">
        <v>42</v>
      </c>
      <c r="K579" s="11" t="s">
        <v>42</v>
      </c>
      <c r="L579" s="11">
        <v>4000</v>
      </c>
      <c r="M579" s="9" t="s">
        <v>65</v>
      </c>
    </row>
    <row r="580" spans="1:13" ht="20.100000000000001" customHeight="1" x14ac:dyDescent="0.2">
      <c r="A580" s="9">
        <f t="shared" si="25"/>
        <v>577</v>
      </c>
      <c r="B580" s="9">
        <v>1579</v>
      </c>
      <c r="C580" s="9">
        <v>1111070148</v>
      </c>
      <c r="D580" s="9"/>
      <c r="E580" s="9" t="s">
        <v>2706</v>
      </c>
      <c r="F580" s="9" t="s">
        <v>45</v>
      </c>
      <c r="G580" s="11">
        <v>4000</v>
      </c>
      <c r="H580" s="11" t="s">
        <v>42</v>
      </c>
      <c r="I580" s="11" t="s">
        <v>42</v>
      </c>
      <c r="J580" s="11" t="s">
        <v>42</v>
      </c>
      <c r="K580" s="11" t="s">
        <v>42</v>
      </c>
      <c r="L580" s="11">
        <v>4000</v>
      </c>
      <c r="M580" s="9" t="s">
        <v>1475</v>
      </c>
    </row>
    <row r="581" spans="1:13" ht="20.100000000000001" customHeight="1" x14ac:dyDescent="0.2">
      <c r="A581" s="9">
        <f t="shared" si="25"/>
        <v>578</v>
      </c>
      <c r="B581" s="9">
        <v>1580</v>
      </c>
      <c r="C581" s="9">
        <v>2477303503</v>
      </c>
      <c r="D581" s="9"/>
      <c r="E581" s="9" t="s">
        <v>2710</v>
      </c>
      <c r="F581" s="9" t="s">
        <v>142</v>
      </c>
      <c r="G581" s="11" t="s">
        <v>42</v>
      </c>
      <c r="H581" s="11" t="s">
        <v>42</v>
      </c>
      <c r="I581" s="11" t="s">
        <v>42</v>
      </c>
      <c r="J581" s="11" t="s">
        <v>42</v>
      </c>
      <c r="K581" s="11" t="s">
        <v>42</v>
      </c>
      <c r="L581" s="11">
        <v>0</v>
      </c>
      <c r="M581" s="9"/>
    </row>
    <row r="582" spans="1:13" ht="20.100000000000001" customHeight="1" x14ac:dyDescent="0.2">
      <c r="A582" s="9">
        <f t="shared" si="25"/>
        <v>579</v>
      </c>
      <c r="B582" s="9">
        <v>1581</v>
      </c>
      <c r="C582" s="9">
        <v>1098188673</v>
      </c>
      <c r="D582" s="9"/>
      <c r="E582" s="9" t="s">
        <v>2713</v>
      </c>
      <c r="F582" s="9" t="s">
        <v>45</v>
      </c>
      <c r="G582" s="11" t="s">
        <v>42</v>
      </c>
      <c r="H582" s="11" t="s">
        <v>42</v>
      </c>
      <c r="I582" s="11" t="s">
        <v>42</v>
      </c>
      <c r="J582" s="11" t="s">
        <v>42</v>
      </c>
      <c r="K582" s="11" t="s">
        <v>42</v>
      </c>
      <c r="L582" s="11">
        <v>0</v>
      </c>
      <c r="M582" s="9" t="s">
        <v>1475</v>
      </c>
    </row>
    <row r="583" spans="1:13" ht="20.100000000000001" customHeight="1" x14ac:dyDescent="0.2">
      <c r="A583" s="9">
        <f t="shared" si="25"/>
        <v>580</v>
      </c>
      <c r="B583" s="9">
        <v>1582</v>
      </c>
      <c r="C583" s="9">
        <v>2554905774</v>
      </c>
      <c r="D583" s="9"/>
      <c r="E583" s="9" t="s">
        <v>2642</v>
      </c>
      <c r="F583" s="9" t="s">
        <v>2608</v>
      </c>
      <c r="G583" s="11" t="s">
        <v>42</v>
      </c>
      <c r="H583" s="11" t="s">
        <v>42</v>
      </c>
      <c r="I583" s="11" t="s">
        <v>42</v>
      </c>
      <c r="J583" s="11" t="s">
        <v>42</v>
      </c>
      <c r="K583" s="11" t="s">
        <v>42</v>
      </c>
      <c r="L583" s="11">
        <v>0</v>
      </c>
      <c r="M583" s="9"/>
    </row>
    <row r="584" spans="1:13" ht="20.100000000000001" customHeight="1" x14ac:dyDescent="0.2">
      <c r="A584" s="9">
        <f t="shared" si="25"/>
        <v>581</v>
      </c>
      <c r="B584" s="9">
        <v>1583</v>
      </c>
      <c r="C584" s="9">
        <v>2554783411</v>
      </c>
      <c r="D584" s="9"/>
      <c r="E584" s="9" t="s">
        <v>2721</v>
      </c>
      <c r="F584" s="9" t="s">
        <v>336</v>
      </c>
      <c r="G584" s="11" t="s">
        <v>42</v>
      </c>
      <c r="H584" s="11" t="s">
        <v>42</v>
      </c>
      <c r="I584" s="11" t="s">
        <v>42</v>
      </c>
      <c r="J584" s="11" t="s">
        <v>42</v>
      </c>
      <c r="K584" s="11" t="s">
        <v>42</v>
      </c>
      <c r="L584" s="11">
        <v>0</v>
      </c>
      <c r="M584" s="9" t="s">
        <v>788</v>
      </c>
    </row>
    <row r="585" spans="1:13" ht="20.100000000000001" customHeight="1" x14ac:dyDescent="0.2">
      <c r="A585" s="9">
        <f t="shared" si="25"/>
        <v>582</v>
      </c>
      <c r="B585" s="9">
        <v>1584</v>
      </c>
      <c r="C585" s="9">
        <v>1131466045</v>
      </c>
      <c r="D585" s="9"/>
      <c r="E585" s="9" t="s">
        <v>2727</v>
      </c>
      <c r="F585" s="9" t="s">
        <v>45</v>
      </c>
      <c r="G585" s="11">
        <v>4000</v>
      </c>
      <c r="H585" s="11" t="s">
        <v>42</v>
      </c>
      <c r="I585" s="11" t="s">
        <v>42</v>
      </c>
      <c r="J585" s="11" t="s">
        <v>42</v>
      </c>
      <c r="K585" s="11" t="s">
        <v>42</v>
      </c>
      <c r="L585" s="11">
        <v>4000</v>
      </c>
      <c r="M585" s="9" t="s">
        <v>1475</v>
      </c>
    </row>
    <row r="586" spans="1:13" ht="20.100000000000001" customHeight="1" x14ac:dyDescent="0.2">
      <c r="A586" s="9">
        <f t="shared" si="25"/>
        <v>583</v>
      </c>
      <c r="B586" s="9">
        <v>1587</v>
      </c>
      <c r="C586" s="9">
        <v>1115700922</v>
      </c>
      <c r="D586" s="9"/>
      <c r="E586" s="9" t="s">
        <v>2738</v>
      </c>
      <c r="F586" s="9" t="s">
        <v>107</v>
      </c>
      <c r="G586" s="11">
        <v>4000</v>
      </c>
      <c r="H586" s="11" t="s">
        <v>42</v>
      </c>
      <c r="I586" s="11" t="s">
        <v>42</v>
      </c>
      <c r="J586" s="11" t="s">
        <v>42</v>
      </c>
      <c r="K586" s="11" t="s">
        <v>42</v>
      </c>
      <c r="L586" s="11">
        <v>4000</v>
      </c>
      <c r="M586" s="9" t="s">
        <v>3506</v>
      </c>
    </row>
    <row r="587" spans="1:13" ht="20.100000000000001" customHeight="1" x14ac:dyDescent="0.2">
      <c r="A587" s="9">
        <f t="shared" si="25"/>
        <v>584</v>
      </c>
      <c r="B587" s="9">
        <v>1589</v>
      </c>
      <c r="C587" s="9">
        <v>2554942108</v>
      </c>
      <c r="D587" s="9"/>
      <c r="E587" s="9" t="s">
        <v>2747</v>
      </c>
      <c r="F587" s="9" t="s">
        <v>203</v>
      </c>
      <c r="G587" s="11">
        <v>1200</v>
      </c>
      <c r="H587" s="11" t="s">
        <v>42</v>
      </c>
      <c r="I587" s="11" t="s">
        <v>42</v>
      </c>
      <c r="J587" s="11" t="s">
        <v>42</v>
      </c>
      <c r="K587" s="11">
        <v>400</v>
      </c>
      <c r="L587" s="11">
        <v>1600</v>
      </c>
      <c r="M587" s="9" t="s">
        <v>788</v>
      </c>
    </row>
    <row r="588" spans="1:13" ht="20.100000000000001" customHeight="1" x14ac:dyDescent="0.2">
      <c r="A588" s="9">
        <f t="shared" si="25"/>
        <v>585</v>
      </c>
      <c r="B588" s="9">
        <v>1592</v>
      </c>
      <c r="C588" s="9">
        <v>2519846444</v>
      </c>
      <c r="D588" s="9"/>
      <c r="E588" s="9" t="s">
        <v>2755</v>
      </c>
      <c r="F588" s="9" t="s">
        <v>431</v>
      </c>
      <c r="G588" s="11" t="s">
        <v>42</v>
      </c>
      <c r="H588" s="11" t="s">
        <v>42</v>
      </c>
      <c r="I588" s="11" t="s">
        <v>42</v>
      </c>
      <c r="J588" s="11" t="s">
        <v>42</v>
      </c>
      <c r="K588" s="11" t="s">
        <v>42</v>
      </c>
      <c r="L588" s="11">
        <v>0</v>
      </c>
      <c r="M588" s="9" t="s">
        <v>788</v>
      </c>
    </row>
    <row r="589" spans="1:13" ht="20.100000000000001" customHeight="1" x14ac:dyDescent="0.2">
      <c r="A589" s="9">
        <f t="shared" si="25"/>
        <v>586</v>
      </c>
      <c r="B589" s="9">
        <v>1595</v>
      </c>
      <c r="C589" s="9">
        <v>2507613491</v>
      </c>
      <c r="D589" s="9"/>
      <c r="E589" s="9" t="s">
        <v>2768</v>
      </c>
      <c r="F589" s="9" t="s">
        <v>222</v>
      </c>
      <c r="G589" s="11">
        <v>1200</v>
      </c>
      <c r="H589" s="11" t="s">
        <v>42</v>
      </c>
      <c r="I589" s="11" t="s">
        <v>42</v>
      </c>
      <c r="J589" s="11" t="s">
        <v>42</v>
      </c>
      <c r="K589" s="11">
        <v>1300</v>
      </c>
      <c r="L589" s="11">
        <v>2500</v>
      </c>
      <c r="M589" s="9" t="s">
        <v>788</v>
      </c>
    </row>
    <row r="590" spans="1:13" ht="20.100000000000001" customHeight="1" x14ac:dyDescent="0.2">
      <c r="A590" s="9">
        <f t="shared" si="25"/>
        <v>587</v>
      </c>
      <c r="B590" s="9">
        <v>1598</v>
      </c>
      <c r="C590" s="9">
        <v>1126452729</v>
      </c>
      <c r="D590" s="9"/>
      <c r="E590" s="9" t="s">
        <v>2781</v>
      </c>
      <c r="F590" s="9" t="s">
        <v>394</v>
      </c>
      <c r="G590" s="11">
        <v>4000</v>
      </c>
      <c r="H590" s="11" t="s">
        <v>42</v>
      </c>
      <c r="I590" s="11" t="s">
        <v>42</v>
      </c>
      <c r="J590" s="11" t="s">
        <v>42</v>
      </c>
      <c r="K590" s="11" t="s">
        <v>42</v>
      </c>
      <c r="L590" s="11">
        <v>4000</v>
      </c>
      <c r="M590" s="9" t="s">
        <v>443</v>
      </c>
    </row>
    <row r="591" spans="1:13" ht="20.100000000000001" customHeight="1" x14ac:dyDescent="0.2">
      <c r="A591" s="9">
        <f t="shared" si="25"/>
        <v>588</v>
      </c>
      <c r="B591" s="9">
        <v>1599</v>
      </c>
      <c r="C591" s="9">
        <v>1121290652</v>
      </c>
      <c r="D591" s="9"/>
      <c r="E591" s="9" t="s">
        <v>2786</v>
      </c>
      <c r="F591" s="9" t="s">
        <v>59</v>
      </c>
      <c r="G591" s="11">
        <v>4000</v>
      </c>
      <c r="H591" s="11" t="s">
        <v>42</v>
      </c>
      <c r="I591" s="11" t="s">
        <v>42</v>
      </c>
      <c r="J591" s="11" t="s">
        <v>42</v>
      </c>
      <c r="K591" s="11" t="s">
        <v>42</v>
      </c>
      <c r="L591" s="11">
        <v>4000</v>
      </c>
      <c r="M591" s="9" t="s">
        <v>65</v>
      </c>
    </row>
    <row r="592" spans="1:13" ht="20.100000000000001" customHeight="1" x14ac:dyDescent="0.2">
      <c r="A592" s="9">
        <f t="shared" si="25"/>
        <v>589</v>
      </c>
      <c r="B592" s="9">
        <v>1600</v>
      </c>
      <c r="C592" s="9">
        <v>2500960063</v>
      </c>
      <c r="D592" s="9"/>
      <c r="E592" s="9" t="s">
        <v>2792</v>
      </c>
      <c r="F592" s="9" t="s">
        <v>2608</v>
      </c>
      <c r="G592" s="11">
        <v>1200</v>
      </c>
      <c r="H592" s="11" t="s">
        <v>42</v>
      </c>
      <c r="I592" s="11" t="s">
        <v>42</v>
      </c>
      <c r="J592" s="11" t="s">
        <v>42</v>
      </c>
      <c r="K592" s="11">
        <v>800</v>
      </c>
      <c r="L592" s="11">
        <v>2000</v>
      </c>
      <c r="M592" s="9"/>
    </row>
    <row r="593" spans="1:13" ht="20.100000000000001" customHeight="1" x14ac:dyDescent="0.2">
      <c r="A593" s="9">
        <f t="shared" si="25"/>
        <v>590</v>
      </c>
      <c r="B593" s="9">
        <v>1601</v>
      </c>
      <c r="C593" s="9">
        <v>2514011382</v>
      </c>
      <c r="D593" s="9" t="s">
        <v>3520</v>
      </c>
      <c r="E593" s="9" t="s">
        <v>2795</v>
      </c>
      <c r="F593" s="9" t="s">
        <v>66</v>
      </c>
      <c r="G593" s="11">
        <v>1200</v>
      </c>
      <c r="H593" s="11">
        <v>0</v>
      </c>
      <c r="I593" s="11">
        <v>0</v>
      </c>
      <c r="J593" s="11">
        <v>0</v>
      </c>
      <c r="K593" s="11">
        <v>400</v>
      </c>
      <c r="L593" s="11">
        <v>1600</v>
      </c>
      <c r="M593" s="9" t="s">
        <v>65</v>
      </c>
    </row>
    <row r="594" spans="1:13" ht="20.100000000000001" customHeight="1" x14ac:dyDescent="0.2">
      <c r="A594" s="9">
        <f t="shared" si="25"/>
        <v>591</v>
      </c>
      <c r="B594" s="9">
        <v>1601</v>
      </c>
      <c r="C594" s="9">
        <v>2514011382</v>
      </c>
      <c r="D594" s="9"/>
      <c r="E594" s="9" t="s">
        <v>2795</v>
      </c>
      <c r="F594" s="9" t="s">
        <v>66</v>
      </c>
      <c r="G594" s="11">
        <v>1200</v>
      </c>
      <c r="H594" s="11">
        <v>0</v>
      </c>
      <c r="I594" s="11" t="s">
        <v>42</v>
      </c>
      <c r="J594" s="11" t="s">
        <v>42</v>
      </c>
      <c r="K594" s="11">
        <v>1300</v>
      </c>
      <c r="L594" s="11">
        <v>2500</v>
      </c>
      <c r="M594" s="9" t="s">
        <v>65</v>
      </c>
    </row>
    <row r="595" spans="1:13" ht="20.100000000000001" customHeight="1" x14ac:dyDescent="0.2">
      <c r="A595" s="9">
        <f t="shared" si="25"/>
        <v>592</v>
      </c>
      <c r="B595" s="9" t="s">
        <v>42</v>
      </c>
      <c r="C595" s="9"/>
      <c r="D595" s="9" t="s">
        <v>3520</v>
      </c>
      <c r="E595" s="9"/>
      <c r="F595" s="9"/>
      <c r="G595" s="11">
        <v>1200</v>
      </c>
      <c r="H595" s="11" t="s">
        <v>42</v>
      </c>
      <c r="I595" s="11" t="s">
        <v>42</v>
      </c>
      <c r="J595" s="11" t="s">
        <v>42</v>
      </c>
      <c r="K595" s="11">
        <v>700</v>
      </c>
      <c r="L595" s="11">
        <v>1900</v>
      </c>
      <c r="M595" s="9"/>
    </row>
    <row r="596" spans="1:13" ht="20.100000000000001" customHeight="1" x14ac:dyDescent="0.2">
      <c r="A596" s="9">
        <f t="shared" si="25"/>
        <v>593</v>
      </c>
      <c r="B596" s="9" t="s">
        <v>42</v>
      </c>
      <c r="C596" s="9"/>
      <c r="D596" s="9"/>
      <c r="E596" s="9"/>
      <c r="F596" s="9"/>
      <c r="G596" s="11" t="s">
        <v>42</v>
      </c>
      <c r="H596" s="11" t="s">
        <v>42</v>
      </c>
      <c r="I596" s="11" t="s">
        <v>42</v>
      </c>
      <c r="J596" s="11" t="s">
        <v>42</v>
      </c>
      <c r="K596" s="11" t="s">
        <v>42</v>
      </c>
      <c r="L596" s="11">
        <v>0</v>
      </c>
      <c r="M596" s="9"/>
    </row>
    <row r="597" spans="1:13" ht="20.100000000000001" customHeight="1" x14ac:dyDescent="0.2">
      <c r="A597" s="9">
        <f t="shared" si="25"/>
        <v>594</v>
      </c>
      <c r="B597" s="9" t="s">
        <v>42</v>
      </c>
      <c r="C597" s="9"/>
      <c r="D597" s="9"/>
      <c r="E597" s="9"/>
      <c r="F597" s="9"/>
      <c r="G597" s="11" t="s">
        <v>42</v>
      </c>
      <c r="H597" s="11" t="s">
        <v>42</v>
      </c>
      <c r="I597" s="11" t="s">
        <v>42</v>
      </c>
      <c r="J597" s="11" t="s">
        <v>42</v>
      </c>
      <c r="K597" s="11" t="s">
        <v>42</v>
      </c>
      <c r="L597" s="11">
        <v>0</v>
      </c>
      <c r="M597" s="9"/>
    </row>
    <row r="598" spans="1:13" ht="20.100000000000001" customHeight="1" x14ac:dyDescent="0.2">
      <c r="A598" s="9">
        <f t="shared" si="25"/>
        <v>595</v>
      </c>
      <c r="B598" s="9" t="s">
        <v>42</v>
      </c>
      <c r="C598" s="9"/>
      <c r="D598" s="9"/>
      <c r="E598" s="9"/>
      <c r="F598" s="9"/>
      <c r="G598" s="11" t="s">
        <v>42</v>
      </c>
      <c r="H598" s="11" t="s">
        <v>42</v>
      </c>
      <c r="I598" s="11" t="s">
        <v>42</v>
      </c>
      <c r="J598" s="11" t="s">
        <v>42</v>
      </c>
      <c r="K598" s="11" t="s">
        <v>42</v>
      </c>
      <c r="L598" s="11">
        <v>0</v>
      </c>
      <c r="M598" s="9"/>
    </row>
    <row r="599" spans="1:13" ht="20.100000000000001" customHeight="1" x14ac:dyDescent="0.2">
      <c r="A599" s="9">
        <f t="shared" ref="A599:A605" si="26">ROW()-3</f>
        <v>596</v>
      </c>
      <c r="B599" s="9" t="s">
        <v>42</v>
      </c>
      <c r="C599" s="9"/>
      <c r="D599" s="9"/>
      <c r="E599" s="9"/>
      <c r="F599" s="9"/>
      <c r="G599" s="11" t="s">
        <v>42</v>
      </c>
      <c r="H599" s="11" t="s">
        <v>42</v>
      </c>
      <c r="I599" s="11" t="s">
        <v>42</v>
      </c>
      <c r="J599" s="11" t="s">
        <v>42</v>
      </c>
      <c r="K599" s="11" t="s">
        <v>42</v>
      </c>
      <c r="L599" s="11">
        <v>0</v>
      </c>
      <c r="M599" s="9"/>
    </row>
    <row r="600" spans="1:13" ht="20.100000000000001" customHeight="1" x14ac:dyDescent="0.2">
      <c r="A600" s="9">
        <f t="shared" si="26"/>
        <v>597</v>
      </c>
      <c r="B600" s="9" t="s">
        <v>42</v>
      </c>
      <c r="C600" s="9"/>
      <c r="D600" s="9"/>
      <c r="E600" s="9"/>
      <c r="F600" s="9"/>
      <c r="G600" s="11" t="s">
        <v>42</v>
      </c>
      <c r="H600" s="11" t="s">
        <v>42</v>
      </c>
      <c r="I600" s="11" t="s">
        <v>42</v>
      </c>
      <c r="J600" s="11" t="s">
        <v>42</v>
      </c>
      <c r="K600" s="11" t="s">
        <v>42</v>
      </c>
      <c r="L600" s="11">
        <v>0</v>
      </c>
      <c r="M600" s="9"/>
    </row>
    <row r="601" spans="1:13" ht="20.100000000000001" customHeight="1" x14ac:dyDescent="0.2">
      <c r="A601" s="9">
        <f t="shared" si="26"/>
        <v>598</v>
      </c>
      <c r="B601" s="9" t="s">
        <v>42</v>
      </c>
      <c r="C601" s="9"/>
      <c r="D601" s="9"/>
      <c r="E601" s="9"/>
      <c r="F601" s="9"/>
      <c r="G601" s="11" t="s">
        <v>42</v>
      </c>
      <c r="H601" s="11" t="s">
        <v>42</v>
      </c>
      <c r="I601" s="11" t="s">
        <v>42</v>
      </c>
      <c r="J601" s="11" t="s">
        <v>42</v>
      </c>
      <c r="K601" s="11" t="s">
        <v>42</v>
      </c>
      <c r="L601" s="11">
        <v>0</v>
      </c>
      <c r="M601" s="9"/>
    </row>
    <row r="602" spans="1:13" ht="20.100000000000001" customHeight="1" x14ac:dyDescent="0.2">
      <c r="A602" s="9">
        <f t="shared" si="26"/>
        <v>599</v>
      </c>
      <c r="B602" s="9" t="s">
        <v>42</v>
      </c>
      <c r="C602" s="9"/>
      <c r="D602" s="9"/>
      <c r="E602" s="9"/>
      <c r="F602" s="9"/>
      <c r="G602" s="11">
        <v>1200</v>
      </c>
      <c r="H602" s="11" t="s">
        <v>42</v>
      </c>
      <c r="I602" s="11" t="s">
        <v>42</v>
      </c>
      <c r="J602" s="11" t="s">
        <v>42</v>
      </c>
      <c r="K602" s="11">
        <v>800</v>
      </c>
      <c r="L602" s="11">
        <v>2000</v>
      </c>
      <c r="M602" s="9"/>
    </row>
    <row r="603" spans="1:13" ht="20.100000000000001" customHeight="1" x14ac:dyDescent="0.2">
      <c r="A603" s="9">
        <f t="shared" si="26"/>
        <v>600</v>
      </c>
      <c r="B603" s="9" t="s">
        <v>42</v>
      </c>
      <c r="C603" s="9"/>
      <c r="D603" s="9"/>
      <c r="E603" s="9"/>
      <c r="F603" s="9"/>
      <c r="G603" s="11">
        <v>2400</v>
      </c>
      <c r="H603" s="11" t="s">
        <v>42</v>
      </c>
      <c r="I603" s="11" t="s">
        <v>42</v>
      </c>
      <c r="J603" s="11" t="s">
        <v>42</v>
      </c>
      <c r="K603" s="11" t="s">
        <v>42</v>
      </c>
      <c r="L603" s="11">
        <v>2400</v>
      </c>
      <c r="M603" s="9"/>
    </row>
    <row r="604" spans="1:13" ht="20.100000000000001" customHeight="1" x14ac:dyDescent="0.2">
      <c r="A604" s="9">
        <f t="shared" si="26"/>
        <v>601</v>
      </c>
      <c r="B604" s="9" t="s">
        <v>42</v>
      </c>
      <c r="C604" s="9"/>
      <c r="D604" s="9"/>
      <c r="E604" s="9"/>
      <c r="F604" s="9"/>
      <c r="G604" s="11">
        <v>5000</v>
      </c>
      <c r="H604" s="11" t="s">
        <v>42</v>
      </c>
      <c r="I604" s="11" t="s">
        <v>42</v>
      </c>
      <c r="J604" s="11">
        <v>750</v>
      </c>
      <c r="K604" s="11" t="s">
        <v>42</v>
      </c>
      <c r="L604" s="11">
        <v>5750</v>
      </c>
      <c r="M604" s="9"/>
    </row>
    <row r="605" spans="1:13" ht="20.100000000000001" customHeight="1" x14ac:dyDescent="0.2">
      <c r="A605" s="9">
        <f t="shared" si="26"/>
        <v>602</v>
      </c>
      <c r="B605" s="9" t="s">
        <v>3523</v>
      </c>
      <c r="C605" s="9"/>
      <c r="D605" s="9" t="s">
        <v>3520</v>
      </c>
      <c r="E605" s="9" t="s">
        <v>3524</v>
      </c>
      <c r="F605" s="9" t="s">
        <v>466</v>
      </c>
      <c r="G605" s="11">
        <v>1200</v>
      </c>
      <c r="H605" s="11">
        <v>0</v>
      </c>
      <c r="I605" s="11">
        <v>0</v>
      </c>
      <c r="J605" s="11">
        <v>0</v>
      </c>
      <c r="K605" s="11">
        <v>400</v>
      </c>
      <c r="L605" s="11">
        <v>1600</v>
      </c>
      <c r="M605" s="9" t="s">
        <v>788</v>
      </c>
    </row>
    <row r="606" spans="1:13" x14ac:dyDescent="0.2">
      <c r="G606" s="10">
        <f>SUM(G4:G605)</f>
        <v>1478979</v>
      </c>
    </row>
  </sheetData>
  <autoFilter ref="A3:M606" xr:uid="{5B704F18-E70A-4C7B-A5CD-F5179731106F}">
    <sortState xmlns:xlrd2="http://schemas.microsoft.com/office/spreadsheetml/2017/richdata2" ref="A4:M606">
      <sortCondition ref="B3:B60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2458-EE38-4B78-8F84-F933483277EA}">
  <sheetPr>
    <pageSetUpPr fitToPage="1"/>
  </sheetPr>
  <dimension ref="A1:N75"/>
  <sheetViews>
    <sheetView rightToLeft="1" topLeftCell="A49" workbookViewId="0">
      <selection activeCell="D79" sqref="D79"/>
    </sheetView>
  </sheetViews>
  <sheetFormatPr defaultColWidth="8" defaultRowHeight="24.75" x14ac:dyDescent="0.65"/>
  <cols>
    <col min="1" max="1" width="8" style="15"/>
    <col min="2" max="2" width="10.125" style="15" customWidth="1"/>
    <col min="3" max="3" width="30.5" style="15" customWidth="1"/>
    <col min="4" max="4" width="39.5" style="15" bestFit="1" customWidth="1"/>
    <col min="5" max="5" width="11.375" style="15" bestFit="1" customWidth="1"/>
    <col min="6" max="6" width="15.125" style="15" customWidth="1"/>
    <col min="7" max="7" width="13.25" style="15" customWidth="1"/>
    <col min="8" max="8" width="26.125" style="15" customWidth="1"/>
    <col min="9" max="9" width="16.125" style="15" customWidth="1"/>
    <col min="10" max="16384" width="8" style="15"/>
  </cols>
  <sheetData>
    <row r="1" spans="1:14" x14ac:dyDescent="0.65">
      <c r="A1" s="45" t="s">
        <v>3525</v>
      </c>
      <c r="B1" s="45"/>
      <c r="C1" s="45"/>
      <c r="D1" s="45"/>
      <c r="E1" s="45"/>
      <c r="F1" s="45"/>
      <c r="G1" s="45"/>
      <c r="H1" s="45"/>
    </row>
    <row r="3" spans="1:14" s="8" customFormat="1" ht="20.100000000000001" customHeight="1" x14ac:dyDescent="0.2">
      <c r="A3" s="12" t="s">
        <v>3505</v>
      </c>
      <c r="B3" s="12" t="s">
        <v>3504</v>
      </c>
      <c r="C3" s="12" t="s">
        <v>3511</v>
      </c>
      <c r="D3" s="12" t="s">
        <v>3518</v>
      </c>
      <c r="E3" s="12" t="s">
        <v>3526</v>
      </c>
      <c r="F3" s="12" t="s">
        <v>3527</v>
      </c>
      <c r="G3" s="13" t="s">
        <v>3528</v>
      </c>
      <c r="H3" s="13" t="s">
        <v>3529</v>
      </c>
      <c r="I3" s="12" t="s">
        <v>35</v>
      </c>
      <c r="J3" s="11"/>
      <c r="K3" s="11"/>
      <c r="L3" s="11"/>
      <c r="M3" s="11"/>
      <c r="N3" s="11"/>
    </row>
    <row r="4" spans="1:14" s="8" customFormat="1" ht="20.100000000000001" customHeight="1" x14ac:dyDescent="0.2">
      <c r="A4" s="9">
        <f>ROW()-3</f>
        <v>1</v>
      </c>
      <c r="B4" s="9">
        <v>1008</v>
      </c>
      <c r="C4" s="9" t="str">
        <f>VLOOKUP(B4,'[1]اسماء الموظفين'!$B$8:$O$1001,2,0)</f>
        <v>فوزية هزال عيسي الهزال</v>
      </c>
      <c r="D4" s="9" t="str">
        <f>VLOOKUP(B4,'[2]المقيمين النشطين'!$B$2:$Q$387,15,0)</f>
        <v>شركة ريال البركة للتجارة</v>
      </c>
      <c r="E4" s="9">
        <f>VLOOKUP(B4,[3]سعودة!$B$9:$E$504,4,0)</f>
        <v>2000</v>
      </c>
      <c r="F4" s="9">
        <f>4000*22%</f>
        <v>880</v>
      </c>
      <c r="G4" s="11">
        <f>7652/12</f>
        <v>637.66666666666663</v>
      </c>
      <c r="H4" s="11">
        <f>SUM(E4:G4)</f>
        <v>3517.6666666666665</v>
      </c>
      <c r="I4" s="11" t="e">
        <f>VLOOKUP(B4,'اسماء الموظفين'!B4:AL605,37,0)</f>
        <v>#N/A</v>
      </c>
      <c r="J4" s="11"/>
      <c r="K4" s="11"/>
      <c r="L4" s="11"/>
      <c r="M4" s="9"/>
    </row>
    <row r="5" spans="1:14" s="8" customFormat="1" ht="20.100000000000001" customHeight="1" x14ac:dyDescent="0.2">
      <c r="A5" s="9">
        <f t="shared" ref="A5:A62" si="0">ROW()-3</f>
        <v>2</v>
      </c>
      <c r="B5" s="9">
        <v>1013</v>
      </c>
      <c r="C5" s="9" t="str">
        <f>VLOOKUP(B5,'[1]اسماء الموظفين'!$B$8:$O$1001,2,0)</f>
        <v>منال سلطان عبدالرحمن الرزيحي</v>
      </c>
      <c r="D5" s="9" t="str">
        <f>VLOOKUP(B5,'[2]المقيمين النشطين'!$B$2:$Q$387,15,0)</f>
        <v>شركة ريال البركة للتجارة</v>
      </c>
      <c r="E5" s="9">
        <f>VLOOKUP(B5,[3]سعودة!$B$9:$E$504,4,0)</f>
        <v>1000</v>
      </c>
      <c r="F5" s="9">
        <f>4000*22%</f>
        <v>880</v>
      </c>
      <c r="G5" s="11"/>
      <c r="H5" s="11">
        <f t="shared" ref="H5:H61" si="1">SUM(E5:G5)</f>
        <v>1880</v>
      </c>
      <c r="I5" s="11"/>
      <c r="J5" s="11"/>
      <c r="K5" s="11"/>
      <c r="L5" s="11"/>
      <c r="M5" s="9"/>
    </row>
    <row r="6" spans="1:14" s="8" customFormat="1" ht="20.100000000000001" customHeight="1" x14ac:dyDescent="0.2">
      <c r="A6" s="9">
        <f t="shared" si="0"/>
        <v>3</v>
      </c>
      <c r="B6" s="9">
        <v>1037</v>
      </c>
      <c r="C6" s="9" t="str">
        <f>VLOOKUP(B6,'[1]اسماء الموظفين'!$B$8:$O$1001,2,0)</f>
        <v>نوف عبدالرحمن صالح الرزيحي</v>
      </c>
      <c r="D6" s="9" t="str">
        <f>VLOOKUP(B6,'[2]المقيمين النشطين'!$B$2:$Q$387,15,0)</f>
        <v>شركة ريال البركة للتجارة</v>
      </c>
      <c r="E6" s="9">
        <f>VLOOKUP(B6,[3]سعودة!$B$9:$E$504,4,0)</f>
        <v>2000</v>
      </c>
      <c r="F6" s="9">
        <f t="shared" ref="F6:F60" si="2">4000*22%</f>
        <v>880</v>
      </c>
      <c r="G6" s="11"/>
      <c r="H6" s="11">
        <f t="shared" si="1"/>
        <v>2880</v>
      </c>
      <c r="I6" s="11"/>
      <c r="J6" s="11"/>
      <c r="K6" s="11"/>
      <c r="L6" s="11"/>
      <c r="M6" s="9"/>
    </row>
    <row r="7" spans="1:14" s="8" customFormat="1" ht="20.100000000000001" customHeight="1" x14ac:dyDescent="0.2">
      <c r="A7" s="9">
        <f t="shared" si="0"/>
        <v>4</v>
      </c>
      <c r="B7" s="9">
        <v>1040</v>
      </c>
      <c r="C7" s="9" t="str">
        <f>VLOOKUP(B7,'[1]اسماء الموظفين'!$B$8:$O$1001,2,0)</f>
        <v>فاطمه محمد عبدالعزيز الشليل</v>
      </c>
      <c r="D7" s="9" t="str">
        <f>VLOOKUP(B7,'[2]المقيمين النشطين'!$B$2:$Q$387,15,0)</f>
        <v>شركة ريال البركة للتجارة</v>
      </c>
      <c r="E7" s="9">
        <f>VLOOKUP(B7,[3]سعودة!$B$9:$E$504,4,0)</f>
        <v>1000</v>
      </c>
      <c r="F7" s="9">
        <f t="shared" si="2"/>
        <v>880</v>
      </c>
      <c r="G7" s="11">
        <f>655/12</f>
        <v>54.583333333333336</v>
      </c>
      <c r="H7" s="11">
        <f t="shared" si="1"/>
        <v>1934.5833333333333</v>
      </c>
      <c r="I7" s="11"/>
      <c r="J7" s="11"/>
      <c r="K7" s="11"/>
      <c r="L7" s="11"/>
      <c r="M7" s="9"/>
    </row>
    <row r="8" spans="1:14" s="8" customFormat="1" ht="20.100000000000001" customHeight="1" x14ac:dyDescent="0.2">
      <c r="A8" s="9">
        <f t="shared" si="0"/>
        <v>5</v>
      </c>
      <c r="B8" s="9">
        <v>1042</v>
      </c>
      <c r="C8" s="9" t="str">
        <f>VLOOKUP(B8,'[1]اسماء الموظفين'!$B$8:$O$1001,2,0)</f>
        <v>هياء سليمان صالح المريشد</v>
      </c>
      <c r="D8" s="9" t="str">
        <f>VLOOKUP(B8,'[2]المقيمين النشطين'!$B$2:$Q$387,15,0)</f>
        <v>شركة ريال البركة للتجارة</v>
      </c>
      <c r="E8" s="9">
        <f>VLOOKUP(B8,[3]سعودة!$B$9:$E$504,4,0)</f>
        <v>1000</v>
      </c>
      <c r="F8" s="9">
        <f t="shared" si="2"/>
        <v>880</v>
      </c>
      <c r="G8" s="11">
        <f>596/12</f>
        <v>49.666666666666664</v>
      </c>
      <c r="H8" s="11">
        <f t="shared" si="1"/>
        <v>1929.6666666666667</v>
      </c>
      <c r="I8" s="11"/>
      <c r="J8" s="11"/>
      <c r="K8" s="11"/>
      <c r="L8" s="11"/>
      <c r="M8" s="9"/>
    </row>
    <row r="9" spans="1:14" s="8" customFormat="1" ht="20.100000000000001" customHeight="1" x14ac:dyDescent="0.2">
      <c r="A9" s="9">
        <f t="shared" si="0"/>
        <v>6</v>
      </c>
      <c r="B9" s="9">
        <v>1046</v>
      </c>
      <c r="C9" s="9" t="str">
        <f>VLOOKUP(B9,'[1]اسماء الموظفين'!$B$8:$O$1001,2,0)</f>
        <v>سليمان صالح سليمان المريشد</v>
      </c>
      <c r="D9" s="9" t="str">
        <f>VLOOKUP(B9,'[2]المقيمين النشطين'!$B$2:$Q$387,15,0)</f>
        <v>شركة ريال البركة للتجارة</v>
      </c>
      <c r="E9" s="9">
        <f>VLOOKUP(B9,[3]سعودة!$B$9:$E$504,4,0)</f>
        <v>1500</v>
      </c>
      <c r="F9" s="9">
        <f t="shared" si="2"/>
        <v>880</v>
      </c>
      <c r="G9" s="11">
        <f>1229/12</f>
        <v>102.41666666666667</v>
      </c>
      <c r="H9" s="11">
        <f t="shared" si="1"/>
        <v>2482.4166666666665</v>
      </c>
      <c r="I9" s="11"/>
      <c r="J9" s="11"/>
      <c r="K9" s="11"/>
      <c r="L9" s="11"/>
      <c r="M9" s="9"/>
    </row>
    <row r="10" spans="1:14" s="8" customFormat="1" ht="20.100000000000001" customHeight="1" x14ac:dyDescent="0.2">
      <c r="A10" s="9">
        <f t="shared" si="0"/>
        <v>7</v>
      </c>
      <c r="B10" s="9">
        <v>1101</v>
      </c>
      <c r="C10" s="9" t="str">
        <f>VLOOKUP(B10,'[1]اسماء الموظفين'!$B$8:$O$1001,2,0)</f>
        <v>فاطمة إبراهيم سعود العبودي</v>
      </c>
      <c r="D10" s="9" t="str">
        <f>VLOOKUP(B10,'[2]المقيمين النشطين'!$B$2:$Q$387,15,0)</f>
        <v>شركة ريال البركة للتجارة</v>
      </c>
      <c r="E10" s="9">
        <f>VLOOKUP(B10,[3]سعودة!$B$9:$E$504,4,0)</f>
        <v>1000</v>
      </c>
      <c r="F10" s="9">
        <f t="shared" si="2"/>
        <v>880</v>
      </c>
      <c r="G10" s="11">
        <f>596/12</f>
        <v>49.666666666666664</v>
      </c>
      <c r="H10" s="11">
        <f t="shared" si="1"/>
        <v>1929.6666666666667</v>
      </c>
      <c r="I10" s="11"/>
      <c r="J10" s="11"/>
      <c r="K10" s="11"/>
      <c r="L10" s="11"/>
      <c r="M10" s="9"/>
    </row>
    <row r="11" spans="1:14" s="8" customFormat="1" ht="20.100000000000001" customHeight="1" x14ac:dyDescent="0.2">
      <c r="A11" s="9">
        <f t="shared" si="0"/>
        <v>8</v>
      </c>
      <c r="B11" s="9">
        <v>1103</v>
      </c>
      <c r="C11" s="9" t="str">
        <f>VLOOKUP(B11,'[1]اسماء الموظفين'!$B$8:$O$1001,2,0)</f>
        <v>شهد سلطان عبدالرحمن الرزيحي</v>
      </c>
      <c r="D11" s="9" t="str">
        <f>VLOOKUP(B11,'[2]المقيمين النشطين'!$B$2:$Q$387,15,0)</f>
        <v>شركة ريال البركة للتجارة</v>
      </c>
      <c r="E11" s="9">
        <f>VLOOKUP(B11,[3]سعودة!$B$9:$E$504,4,0)</f>
        <v>1000</v>
      </c>
      <c r="F11" s="9">
        <f t="shared" si="2"/>
        <v>880</v>
      </c>
      <c r="G11" s="11">
        <f>2019/12</f>
        <v>168.25</v>
      </c>
      <c r="H11" s="11">
        <f t="shared" si="1"/>
        <v>2048.25</v>
      </c>
      <c r="I11" s="11"/>
      <c r="J11" s="11"/>
      <c r="K11" s="11"/>
      <c r="L11" s="11"/>
      <c r="M11" s="9"/>
    </row>
    <row r="12" spans="1:14" s="8" customFormat="1" ht="20.100000000000001" customHeight="1" x14ac:dyDescent="0.2">
      <c r="A12" s="9">
        <f t="shared" si="0"/>
        <v>9</v>
      </c>
      <c r="B12" s="9">
        <v>1121</v>
      </c>
      <c r="C12" s="9" t="str">
        <f>VLOOKUP(B12,'[1]اسماء الموظفين'!$B$8:$O$1001,2,0)</f>
        <v>عبدالله سعد عبدالرحمن الرزيحي</v>
      </c>
      <c r="D12" s="9" t="str">
        <f>VLOOKUP(B12,'[2]المقيمين النشطين'!$B$2:$Q$387,15,0)</f>
        <v>مؤسسة عبدالرحمن سلطان عبدالرحمن الرزيحي للتجارة</v>
      </c>
      <c r="E12" s="9">
        <f>VLOOKUP(B12,[3]سعودة!$B$9:$E$504,4,0)</f>
        <v>1000</v>
      </c>
      <c r="F12" s="9">
        <f t="shared" si="2"/>
        <v>880</v>
      </c>
      <c r="G12" s="11"/>
      <c r="H12" s="11">
        <f t="shared" si="1"/>
        <v>1880</v>
      </c>
      <c r="I12" s="11"/>
      <c r="J12" s="11"/>
      <c r="K12" s="11"/>
      <c r="L12" s="11"/>
      <c r="M12" s="9"/>
    </row>
    <row r="13" spans="1:14" s="8" customFormat="1" ht="20.100000000000001" customHeight="1" x14ac:dyDescent="0.2">
      <c r="A13" s="9">
        <f t="shared" si="0"/>
        <v>10</v>
      </c>
      <c r="B13" s="9">
        <v>1122</v>
      </c>
      <c r="C13" s="9" t="str">
        <f>VLOOKUP(B13,'[1]اسماء الموظفين'!$B$8:$O$1001,2,0)</f>
        <v>حصه خالد يوسف الزيد</v>
      </c>
      <c r="D13" s="9" t="str">
        <f>VLOOKUP(B13,'[2]المقيمين النشطين'!$B$2:$Q$387,15,0)</f>
        <v>مؤسسة عبدالرحمن سلطان عبدالرحمن الرزيحي للتجارة</v>
      </c>
      <c r="E13" s="9">
        <f>VLOOKUP(B13,[3]سعودة!$B$9:$E$504,4,0)</f>
        <v>3000</v>
      </c>
      <c r="F13" s="9">
        <f t="shared" si="2"/>
        <v>880</v>
      </c>
      <c r="G13" s="11"/>
      <c r="H13" s="11">
        <f t="shared" si="1"/>
        <v>3880</v>
      </c>
      <c r="I13" s="11"/>
      <c r="J13" s="11"/>
      <c r="K13" s="11"/>
      <c r="L13" s="11"/>
      <c r="M13" s="9"/>
    </row>
    <row r="14" spans="1:14" s="8" customFormat="1" ht="20.100000000000001" customHeight="1" x14ac:dyDescent="0.2">
      <c r="A14" s="9">
        <f t="shared" si="0"/>
        <v>11</v>
      </c>
      <c r="B14" s="9">
        <v>1146</v>
      </c>
      <c r="C14" s="9" t="str">
        <f>VLOOKUP(B14,'[1]اسماء الموظفين'!$B$8:$O$1001,2,0)</f>
        <v>مشاعل زيد زيدان الهلالي</v>
      </c>
      <c r="D14" s="9" t="str">
        <f>VLOOKUP(B14,'[2]المقيمين النشطين'!$B$2:$Q$387,15,0)</f>
        <v>شركة ريال البركة للتجارة</v>
      </c>
      <c r="E14" s="9">
        <f>VLOOKUP(B14,[3]سعودة!$B$9:$E$504,4,0)</f>
        <v>1000</v>
      </c>
      <c r="F14" s="9">
        <f t="shared" si="2"/>
        <v>880</v>
      </c>
      <c r="G14" s="11"/>
      <c r="H14" s="11">
        <f t="shared" si="1"/>
        <v>1880</v>
      </c>
      <c r="I14" s="11"/>
      <c r="J14" s="11"/>
      <c r="K14" s="11"/>
      <c r="L14" s="11"/>
      <c r="M14" s="9"/>
    </row>
    <row r="15" spans="1:14" s="8" customFormat="1" ht="20.100000000000001" customHeight="1" x14ac:dyDescent="0.2">
      <c r="A15" s="9">
        <f t="shared" si="0"/>
        <v>12</v>
      </c>
      <c r="B15" s="9">
        <v>1147</v>
      </c>
      <c r="C15" s="9" t="str">
        <f>VLOOKUP(B15,'[1]اسماء الموظفين'!$B$8:$O$1001,2,0)</f>
        <v>منيره حسن عبدالله قعود</v>
      </c>
      <c r="D15" s="9" t="str">
        <f>VLOOKUP(B15,'[2]المقيمين النشطين'!$B$2:$Q$387,15,0)</f>
        <v>شركة ريال البركة للتجارة</v>
      </c>
      <c r="E15" s="9">
        <f>VLOOKUP(B15,[3]سعودة!$B$9:$E$504,4,0)</f>
        <v>1000</v>
      </c>
      <c r="F15" s="9">
        <f t="shared" si="2"/>
        <v>880</v>
      </c>
      <c r="G15" s="11"/>
      <c r="H15" s="11">
        <f t="shared" si="1"/>
        <v>1880</v>
      </c>
      <c r="I15" s="11"/>
      <c r="J15" s="11"/>
      <c r="K15" s="11"/>
      <c r="L15" s="11"/>
      <c r="M15" s="9"/>
    </row>
    <row r="16" spans="1:14" s="8" customFormat="1" ht="20.100000000000001" customHeight="1" x14ac:dyDescent="0.2">
      <c r="A16" s="9">
        <f t="shared" si="0"/>
        <v>13</v>
      </c>
      <c r="B16" s="9">
        <v>1148</v>
      </c>
      <c r="C16" s="9" t="str">
        <f>VLOOKUP(B16,'[1]اسماء الموظفين'!$B$8:$O$1001,2,0)</f>
        <v>مرام ناصر عبدالرحمن السلمان</v>
      </c>
      <c r="D16" s="9" t="str">
        <f>VLOOKUP(B16,'[2]المقيمين النشطين'!$B$2:$Q$387,15,0)</f>
        <v>شركة ريال البركة للتجارة</v>
      </c>
      <c r="E16" s="9">
        <f>VLOOKUP(B16,[3]سعودة!$B$9:$E$504,4,0)</f>
        <v>1000</v>
      </c>
      <c r="F16" s="9">
        <f t="shared" si="2"/>
        <v>880</v>
      </c>
      <c r="G16" s="11"/>
      <c r="H16" s="11">
        <f t="shared" si="1"/>
        <v>1880</v>
      </c>
      <c r="I16" s="11"/>
      <c r="J16" s="11"/>
      <c r="K16" s="11"/>
      <c r="L16" s="11"/>
      <c r="M16" s="9"/>
    </row>
    <row r="17" spans="1:13" s="8" customFormat="1" ht="20.100000000000001" customHeight="1" x14ac:dyDescent="0.2">
      <c r="A17" s="9">
        <f t="shared" si="0"/>
        <v>14</v>
      </c>
      <c r="B17" s="9">
        <v>1149</v>
      </c>
      <c r="C17" s="9" t="str">
        <f>VLOOKUP(B17,'[1]اسماء الموظفين'!$B$8:$O$1001,2,0)</f>
        <v>أميرة احمد محمد السميح</v>
      </c>
      <c r="D17" s="9" t="str">
        <f>VLOOKUP(B17,'[2]المقيمين النشطين'!$B$2:$Q$387,15,0)</f>
        <v>شركة أدفان للصناعة ( شركة شخص واحد )</v>
      </c>
      <c r="E17" s="9">
        <f>VLOOKUP(B17,[3]سعودة!$B$9:$E$504,4,0)</f>
        <v>1000</v>
      </c>
      <c r="F17" s="9">
        <f t="shared" si="2"/>
        <v>880</v>
      </c>
      <c r="G17" s="11"/>
      <c r="H17" s="11">
        <f t="shared" si="1"/>
        <v>1880</v>
      </c>
      <c r="I17" s="11"/>
      <c r="J17" s="11"/>
      <c r="K17" s="11"/>
      <c r="L17" s="11"/>
      <c r="M17" s="9"/>
    </row>
    <row r="18" spans="1:13" s="8" customFormat="1" ht="20.100000000000001" customHeight="1" x14ac:dyDescent="0.2">
      <c r="A18" s="9">
        <f t="shared" si="0"/>
        <v>15</v>
      </c>
      <c r="B18" s="9">
        <v>1150</v>
      </c>
      <c r="C18" s="9" t="str">
        <f>VLOOKUP(B18,'[1]اسماء الموظفين'!$B$8:$O$1001,2,0)</f>
        <v>نوره عبدالعزيز حسين ابوساق</v>
      </c>
      <c r="D18" s="9" t="str">
        <f>VLOOKUP(B18,'[2]المقيمين النشطين'!$B$2:$Q$387,15,0)</f>
        <v>شركة أدفان للصناعة ( شركة شخص واحد )</v>
      </c>
      <c r="E18" s="9">
        <f>VLOOKUP(B18,[3]سعودة!$B$9:$E$504,4,0)</f>
        <v>1000</v>
      </c>
      <c r="F18" s="9">
        <f t="shared" si="2"/>
        <v>880</v>
      </c>
      <c r="G18" s="11"/>
      <c r="H18" s="11">
        <f t="shared" si="1"/>
        <v>1880</v>
      </c>
      <c r="I18" s="11"/>
      <c r="J18" s="11"/>
      <c r="K18" s="11"/>
      <c r="L18" s="11"/>
      <c r="M18" s="9"/>
    </row>
    <row r="19" spans="1:13" s="8" customFormat="1" ht="20.100000000000001" customHeight="1" x14ac:dyDescent="0.2">
      <c r="A19" s="9">
        <f t="shared" si="0"/>
        <v>16</v>
      </c>
      <c r="B19" s="9">
        <v>1151</v>
      </c>
      <c r="C19" s="9" t="str">
        <f>VLOOKUP(B19,'[1]اسماء الموظفين'!$B$8:$O$1001,2,0)</f>
        <v>ريم عبدالعزيز حسين أبوساق</v>
      </c>
      <c r="D19" s="9" t="str">
        <f>VLOOKUP(B19,'[2]المقيمين النشطين'!$B$2:$Q$387,15,0)</f>
        <v>مؤسسة سلطان عبدالرحمن صالح الرزيحي للتجارة</v>
      </c>
      <c r="E19" s="9">
        <f>VLOOKUP(B19,[3]سعودة!$B$9:$E$504,4,0)</f>
        <v>1000</v>
      </c>
      <c r="F19" s="9">
        <f t="shared" si="2"/>
        <v>880</v>
      </c>
      <c r="G19" s="11">
        <f>1038.29/12</f>
        <v>86.524166666666659</v>
      </c>
      <c r="H19" s="11">
        <f t="shared" si="1"/>
        <v>1966.5241666666666</v>
      </c>
      <c r="I19" s="11"/>
      <c r="J19" s="11"/>
      <c r="K19" s="11"/>
      <c r="L19" s="11"/>
      <c r="M19" s="9"/>
    </row>
    <row r="20" spans="1:13" s="8" customFormat="1" ht="20.100000000000001" customHeight="1" x14ac:dyDescent="0.2">
      <c r="A20" s="9">
        <f t="shared" si="0"/>
        <v>17</v>
      </c>
      <c r="B20" s="9">
        <v>1155</v>
      </c>
      <c r="C20" s="9" t="str">
        <f>VLOOKUP(B20,'[1]اسماء الموظفين'!$B$8:$O$1001,2,0)</f>
        <v>ساره ناصر سليمان الوهيبي</v>
      </c>
      <c r="D20" s="9" t="str">
        <f>VLOOKUP(B20,'[2]المقيمين النشطين'!$B$2:$Q$387,15,0)</f>
        <v>شركة أدفان للصناعة ( شركة شخص واحد )</v>
      </c>
      <c r="E20" s="9">
        <f>VLOOKUP(B20,[3]سعودة!$B$9:$E$504,4,0)</f>
        <v>1000</v>
      </c>
      <c r="F20" s="9">
        <f t="shared" si="2"/>
        <v>880</v>
      </c>
      <c r="G20" s="11"/>
      <c r="H20" s="11">
        <f t="shared" si="1"/>
        <v>1880</v>
      </c>
      <c r="I20" s="11"/>
      <c r="J20" s="11"/>
      <c r="K20" s="11"/>
      <c r="L20" s="11"/>
      <c r="M20" s="9"/>
    </row>
    <row r="21" spans="1:13" s="8" customFormat="1" ht="20.100000000000001" customHeight="1" x14ac:dyDescent="0.2">
      <c r="A21" s="9">
        <f t="shared" si="0"/>
        <v>18</v>
      </c>
      <c r="B21" s="9">
        <v>1156</v>
      </c>
      <c r="C21" s="9" t="str">
        <f>VLOOKUP(B21,'[1]اسماء الموظفين'!$B$8:$O$1001,2,0)</f>
        <v>هديل سليمان صالح المريشد</v>
      </c>
      <c r="D21" s="9" t="str">
        <f>VLOOKUP(B21,'[2]المقيمين النشطين'!$B$2:$Q$387,15,0)</f>
        <v>شركة ريال البركة للتجارة</v>
      </c>
      <c r="E21" s="9">
        <f>VLOOKUP(B21,[3]سعودة!$B$9:$E$504,4,0)</f>
        <v>1000</v>
      </c>
      <c r="F21" s="9">
        <f t="shared" si="2"/>
        <v>880</v>
      </c>
      <c r="G21" s="11"/>
      <c r="H21" s="11">
        <f t="shared" si="1"/>
        <v>1880</v>
      </c>
      <c r="I21" s="11"/>
      <c r="J21" s="11"/>
      <c r="K21" s="11"/>
      <c r="L21" s="11"/>
      <c r="M21" s="9"/>
    </row>
    <row r="22" spans="1:13" s="8" customFormat="1" ht="20.100000000000001" customHeight="1" x14ac:dyDescent="0.2">
      <c r="A22" s="9">
        <f t="shared" si="0"/>
        <v>19</v>
      </c>
      <c r="B22" s="9">
        <v>1161</v>
      </c>
      <c r="C22" s="9" t="str">
        <f>VLOOKUP(B22,'[1]اسماء الموظفين'!$B$8:$O$1001,2,0)</f>
        <v>عبدالمجيد محمد عبدالله النمي</v>
      </c>
      <c r="D22" s="9" t="str">
        <f>VLOOKUP(B22,'[2]المقيمين النشطين'!$B$2:$Q$387,15,0)</f>
        <v>شركة ريال البركة للتجارة</v>
      </c>
      <c r="E22" s="9">
        <f>VLOOKUP(B22,[3]سعودة!$B$9:$E$504,4,0)</f>
        <v>1000</v>
      </c>
      <c r="F22" s="9">
        <f t="shared" si="2"/>
        <v>880</v>
      </c>
      <c r="G22" s="11"/>
      <c r="H22" s="11">
        <f t="shared" si="1"/>
        <v>1880</v>
      </c>
      <c r="I22" s="11"/>
      <c r="J22" s="11"/>
      <c r="K22" s="11"/>
      <c r="L22" s="11"/>
      <c r="M22" s="9"/>
    </row>
    <row r="23" spans="1:13" s="8" customFormat="1" ht="20.100000000000001" customHeight="1" x14ac:dyDescent="0.2">
      <c r="A23" s="9">
        <f t="shared" si="0"/>
        <v>20</v>
      </c>
      <c r="B23" s="9">
        <v>1162</v>
      </c>
      <c r="C23" s="9" t="str">
        <f>VLOOKUP(B23,'[1]اسماء الموظفين'!$B$8:$O$1001,2,0)</f>
        <v>ريم عبدالرحمن صالح الفنتوخ</v>
      </c>
      <c r="D23" s="9" t="str">
        <f>VLOOKUP(B23,'[2]المقيمين النشطين'!$B$2:$Q$387,15,0)</f>
        <v>شركة أدفان للصناعة ( شركة شخص واحد )</v>
      </c>
      <c r="E23" s="9">
        <f>VLOOKUP(B23,[3]سعودة!$B$9:$E$504,4,0)</f>
        <v>1000</v>
      </c>
      <c r="F23" s="9">
        <f t="shared" si="2"/>
        <v>880</v>
      </c>
      <c r="G23" s="11"/>
      <c r="H23" s="11">
        <f t="shared" si="1"/>
        <v>1880</v>
      </c>
      <c r="I23" s="11"/>
      <c r="J23" s="11"/>
      <c r="K23" s="11"/>
      <c r="L23" s="11"/>
      <c r="M23" s="9"/>
    </row>
    <row r="24" spans="1:13" s="8" customFormat="1" ht="20.100000000000001" customHeight="1" x14ac:dyDescent="0.2">
      <c r="A24" s="9">
        <f t="shared" si="0"/>
        <v>21</v>
      </c>
      <c r="B24" s="9">
        <v>1163</v>
      </c>
      <c r="C24" s="9" t="str">
        <f>VLOOKUP(B24,'[1]اسماء الموظفين'!$B$8:$O$1001,2,0)</f>
        <v>لطيفه عبدالله عبدالرحمن رشيد</v>
      </c>
      <c r="D24" s="9" t="str">
        <f>VLOOKUP(B24,'[2]المقيمين النشطين'!$B$2:$Q$387,15,0)</f>
        <v>شركة ريال البركة للتجارة</v>
      </c>
      <c r="E24" s="9">
        <f>VLOOKUP(B24,[3]سعودة!$B$9:$E$504,4,0)</f>
        <v>1500</v>
      </c>
      <c r="F24" s="9">
        <f t="shared" si="2"/>
        <v>880</v>
      </c>
      <c r="G24" s="11"/>
      <c r="H24" s="11">
        <f t="shared" si="1"/>
        <v>2380</v>
      </c>
      <c r="I24" s="11"/>
      <c r="J24" s="11"/>
      <c r="K24" s="11"/>
      <c r="L24" s="11"/>
      <c r="M24" s="9"/>
    </row>
    <row r="25" spans="1:13" s="8" customFormat="1" ht="20.100000000000001" customHeight="1" x14ac:dyDescent="0.2">
      <c r="A25" s="9">
        <f t="shared" si="0"/>
        <v>22</v>
      </c>
      <c r="B25" s="9">
        <v>1202</v>
      </c>
      <c r="C25" s="9" t="str">
        <f>VLOOKUP(B25,'[1]اسماء الموظفين'!$B$8:$O$1001,2,0)</f>
        <v>اثير إبراهيم سعود العبودي</v>
      </c>
      <c r="D25" s="9" t="str">
        <f>VLOOKUP(B25,'[2]المقيمين النشطين'!$B$2:$Q$387,15,0)</f>
        <v>مصنع سلطان عبدالرحمن صالح الرزيحي للمنتجات الورقية</v>
      </c>
      <c r="E25" s="9">
        <f>VLOOKUP(B25,[3]سعودة!$B$9:$E$504,4,0)</f>
        <v>1000</v>
      </c>
      <c r="F25" s="9">
        <f t="shared" si="2"/>
        <v>880</v>
      </c>
      <c r="G25" s="11">
        <f>806.64/12</f>
        <v>67.22</v>
      </c>
      <c r="H25" s="11">
        <f t="shared" si="1"/>
        <v>1947.22</v>
      </c>
      <c r="I25" s="11"/>
      <c r="J25" s="11"/>
      <c r="K25" s="11"/>
      <c r="L25" s="11"/>
      <c r="M25" s="9"/>
    </row>
    <row r="26" spans="1:13" s="8" customFormat="1" ht="20.100000000000001" customHeight="1" x14ac:dyDescent="0.2">
      <c r="A26" s="9">
        <f t="shared" si="0"/>
        <v>23</v>
      </c>
      <c r="B26" s="9">
        <v>1203</v>
      </c>
      <c r="C26" s="9" t="str">
        <f>VLOOKUP(B26,'[1]اسماء الموظفين'!$B$8:$O$1001,2,0)</f>
        <v>منال عبدالعزيز ابراهيم الطلاسي</v>
      </c>
      <c r="D26" s="9" t="str">
        <f>VLOOKUP(B26,'[2]المقيمين النشطين'!$B$2:$Q$387,15,0)</f>
        <v>مصنع سلطان عبدالرحمن صالح الرزيحي للمنتجات الورقية</v>
      </c>
      <c r="E26" s="9">
        <f>VLOOKUP(B26,[3]سعودة!$B$9:$E$504,4,0)</f>
        <v>1000</v>
      </c>
      <c r="F26" s="9">
        <f t="shared" si="2"/>
        <v>880</v>
      </c>
      <c r="G26" s="11"/>
      <c r="H26" s="11">
        <f t="shared" si="1"/>
        <v>1880</v>
      </c>
      <c r="I26" s="11"/>
      <c r="J26" s="11"/>
      <c r="K26" s="11"/>
      <c r="L26" s="11"/>
      <c r="M26" s="9"/>
    </row>
    <row r="27" spans="1:13" s="8" customFormat="1" ht="20.100000000000001" customHeight="1" x14ac:dyDescent="0.2">
      <c r="A27" s="9">
        <f t="shared" si="0"/>
        <v>24</v>
      </c>
      <c r="B27" s="9">
        <v>1254</v>
      </c>
      <c r="C27" s="9" t="str">
        <f>VLOOKUP(B27,'[1]اسماء الموظفين'!$B$8:$O$1001,2,0)</f>
        <v>نوف حسن عبدالله قعود</v>
      </c>
      <c r="D27" s="9" t="str">
        <f>VLOOKUP(B27,'[2]المقيمين النشطين'!$B$2:$Q$387,15,0)</f>
        <v>شركة ريال البركة للتجارة</v>
      </c>
      <c r="E27" s="9">
        <f>VLOOKUP(B27,[3]سعودة!$B$9:$E$504,4,0)</f>
        <v>1120</v>
      </c>
      <c r="F27" s="9">
        <f t="shared" si="2"/>
        <v>880</v>
      </c>
      <c r="G27" s="11"/>
      <c r="H27" s="11">
        <f t="shared" si="1"/>
        <v>2000</v>
      </c>
      <c r="I27" s="11"/>
      <c r="J27" s="11"/>
      <c r="K27" s="11"/>
      <c r="L27" s="11"/>
      <c r="M27" s="9"/>
    </row>
    <row r="28" spans="1:13" s="8" customFormat="1" ht="20.100000000000001" customHeight="1" x14ac:dyDescent="0.2">
      <c r="A28" s="9">
        <f t="shared" si="0"/>
        <v>25</v>
      </c>
      <c r="B28" s="9">
        <v>1274</v>
      </c>
      <c r="C28" s="9" t="str">
        <f>VLOOKUP(B28,'[1]اسماء الموظفين'!$B$8:$O$1001,2,0)</f>
        <v>منصور محمد يحي حكمي</v>
      </c>
      <c r="D28" s="9" t="str">
        <f>VLOOKUP(B28,'[2]المقيمين النشطين'!$B$2:$Q$387,15,0)</f>
        <v>شركة ريال البركة للتجارة</v>
      </c>
      <c r="E28" s="9">
        <f>VLOOKUP(B28,[3]سعودة!$B$9:$E$504,4,0)</f>
        <v>1000</v>
      </c>
      <c r="F28" s="9">
        <f t="shared" si="2"/>
        <v>880</v>
      </c>
      <c r="G28" s="11"/>
      <c r="H28" s="11">
        <f t="shared" si="1"/>
        <v>1880</v>
      </c>
      <c r="I28" s="11"/>
      <c r="J28" s="11"/>
      <c r="K28" s="11"/>
      <c r="L28" s="11"/>
      <c r="M28" s="9"/>
    </row>
    <row r="29" spans="1:13" s="8" customFormat="1" ht="20.100000000000001" customHeight="1" x14ac:dyDescent="0.2">
      <c r="A29" s="9">
        <f t="shared" si="0"/>
        <v>26</v>
      </c>
      <c r="B29" s="9">
        <v>1277</v>
      </c>
      <c r="C29" s="9" t="str">
        <f>VLOOKUP(B29,'[1]اسماء الموظفين'!$B$8:$O$1001,2,0)</f>
        <v>منى احمد محمد السميح</v>
      </c>
      <c r="D29" s="9" t="str">
        <f>VLOOKUP(B29,'[2]المقيمين النشطين'!$B$2:$Q$387,15,0)</f>
        <v>شركة ريال البركة للتجارة</v>
      </c>
      <c r="E29" s="9">
        <f>VLOOKUP(B29,[3]سعودة!$B$9:$E$504,4,0)</f>
        <v>1000</v>
      </c>
      <c r="F29" s="9">
        <f t="shared" si="2"/>
        <v>880</v>
      </c>
      <c r="G29" s="11"/>
      <c r="H29" s="11">
        <f t="shared" si="1"/>
        <v>1880</v>
      </c>
      <c r="I29" s="11"/>
      <c r="J29" s="11"/>
      <c r="K29" s="11"/>
      <c r="L29" s="11"/>
      <c r="M29" s="9"/>
    </row>
    <row r="30" spans="1:13" s="8" customFormat="1" ht="20.100000000000001" customHeight="1" x14ac:dyDescent="0.2">
      <c r="A30" s="9">
        <f t="shared" si="0"/>
        <v>27</v>
      </c>
      <c r="B30" s="9">
        <v>1284</v>
      </c>
      <c r="C30" s="9" t="str">
        <f>VLOOKUP(B30,'[1]اسماء الموظفين'!$B$8:$O$1001,2,0)</f>
        <v>نوره محمد عبدالله النمي</v>
      </c>
      <c r="D30" s="9" t="str">
        <f>VLOOKUP(B30,'[2]المقيمين النشطين'!$B$2:$Q$387,15,0)</f>
        <v>شركة ريال البركة للتجارة</v>
      </c>
      <c r="E30" s="9">
        <f>VLOOKUP(B30,[3]سعودة!$B$9:$E$504,4,0)</f>
        <v>1000</v>
      </c>
      <c r="F30" s="9">
        <f t="shared" si="2"/>
        <v>880</v>
      </c>
      <c r="G30" s="11"/>
      <c r="H30" s="11">
        <f t="shared" si="1"/>
        <v>1880</v>
      </c>
      <c r="I30" s="11"/>
      <c r="J30" s="11"/>
      <c r="K30" s="11"/>
      <c r="L30" s="11"/>
      <c r="M30" s="9"/>
    </row>
    <row r="31" spans="1:13" s="8" customFormat="1" ht="20.100000000000001" customHeight="1" x14ac:dyDescent="0.2">
      <c r="A31" s="9">
        <f t="shared" si="0"/>
        <v>28</v>
      </c>
      <c r="B31" s="9">
        <v>1298</v>
      </c>
      <c r="C31" s="9" t="str">
        <f>VLOOKUP(B31,'[1]اسماء الموظفين'!$B$8:$O$1001,2,0)</f>
        <v>احلام ذياب يوسف الزهراني</v>
      </c>
      <c r="D31" s="9" t="str">
        <f>VLOOKUP(B31,'[2]المقيمين النشطين'!$B$2:$Q$387,15,0)</f>
        <v>شركة ريال البركة للتجارة</v>
      </c>
      <c r="E31" s="9">
        <f>VLOOKUP(B31,[3]سعودة!$B$9:$E$504,4,0)</f>
        <v>1000</v>
      </c>
      <c r="F31" s="9">
        <f t="shared" si="2"/>
        <v>880</v>
      </c>
      <c r="G31" s="11"/>
      <c r="H31" s="11">
        <f t="shared" si="1"/>
        <v>1880</v>
      </c>
      <c r="I31" s="11"/>
      <c r="J31" s="11"/>
      <c r="K31" s="11"/>
      <c r="L31" s="11"/>
      <c r="M31" s="9"/>
    </row>
    <row r="32" spans="1:13" s="8" customFormat="1" ht="20.100000000000001" customHeight="1" x14ac:dyDescent="0.2">
      <c r="A32" s="9">
        <f t="shared" si="0"/>
        <v>29</v>
      </c>
      <c r="B32" s="9">
        <v>1301</v>
      </c>
      <c r="C32" s="9" t="str">
        <f>VLOOKUP(B32,'[1]اسماء الموظفين'!$B$8:$O$1001,2,0)</f>
        <v>وعد سعد عبدالله الهويمل</v>
      </c>
      <c r="D32" s="9" t="str">
        <f>VLOOKUP(B32,'[2]المقيمين النشطين'!$B$2:$Q$387,15,0)</f>
        <v>شركة ريال البركة للتجارة</v>
      </c>
      <c r="E32" s="9">
        <f>VLOOKUP(B32,[3]سعودة!$B$9:$E$504,4,0)</f>
        <v>1000</v>
      </c>
      <c r="F32" s="9">
        <f t="shared" si="2"/>
        <v>880</v>
      </c>
      <c r="G32" s="11"/>
      <c r="H32" s="11">
        <f t="shared" si="1"/>
        <v>1880</v>
      </c>
      <c r="I32" s="11"/>
      <c r="J32" s="11"/>
      <c r="K32" s="11"/>
      <c r="L32" s="11"/>
      <c r="M32" s="9"/>
    </row>
    <row r="33" spans="1:13" s="8" customFormat="1" ht="20.100000000000001" customHeight="1" x14ac:dyDescent="0.2">
      <c r="A33" s="9">
        <f t="shared" si="0"/>
        <v>30</v>
      </c>
      <c r="B33" s="9">
        <v>1302</v>
      </c>
      <c r="C33" s="9" t="str">
        <f>VLOOKUP(B33,'[1]اسماء الموظفين'!$B$8:$O$1001,2,0)</f>
        <v>خلود عبدالرحمن سعود الجبيرى</v>
      </c>
      <c r="D33" s="9" t="str">
        <f>VLOOKUP(B33,'[2]المقيمين النشطين'!$B$2:$Q$387,15,0)</f>
        <v>شركة ريال البركة للتجارة</v>
      </c>
      <c r="E33" s="9">
        <f>VLOOKUP(B33,[3]سعودة!$B$9:$E$504,4,0)</f>
        <v>1000</v>
      </c>
      <c r="F33" s="9">
        <f t="shared" si="2"/>
        <v>880</v>
      </c>
      <c r="G33" s="11"/>
      <c r="H33" s="11">
        <f t="shared" si="1"/>
        <v>1880</v>
      </c>
      <c r="I33" s="11"/>
      <c r="J33" s="11"/>
      <c r="K33" s="11"/>
      <c r="L33" s="11"/>
      <c r="M33" s="9"/>
    </row>
    <row r="34" spans="1:13" s="8" customFormat="1" ht="20.100000000000001" customHeight="1" x14ac:dyDescent="0.2">
      <c r="A34" s="9">
        <f t="shared" si="0"/>
        <v>31</v>
      </c>
      <c r="B34" s="9">
        <v>1306</v>
      </c>
      <c r="C34" s="9" t="str">
        <f>VLOOKUP(B34,'[1]اسماء الموظفين'!$B$8:$O$1001,2,0)</f>
        <v>الهام سليمان فهد الطريمان</v>
      </c>
      <c r="D34" s="9" t="str">
        <f>VLOOKUP(B34,'[2]المقيمين النشطين'!$B$2:$Q$387,15,0)</f>
        <v>شركة ريال البركة للتجارة</v>
      </c>
      <c r="E34" s="9">
        <f>VLOOKUP(B34,[3]سعودة!$B$9:$E$504,4,0)</f>
        <v>1000</v>
      </c>
      <c r="F34" s="9">
        <f t="shared" si="2"/>
        <v>880</v>
      </c>
      <c r="G34" s="11"/>
      <c r="H34" s="11">
        <f t="shared" si="1"/>
        <v>1880</v>
      </c>
      <c r="I34" s="11"/>
      <c r="J34" s="11"/>
      <c r="K34" s="11"/>
      <c r="L34" s="11"/>
      <c r="M34" s="9"/>
    </row>
    <row r="35" spans="1:13" s="8" customFormat="1" ht="20.100000000000001" customHeight="1" x14ac:dyDescent="0.2">
      <c r="A35" s="9">
        <f t="shared" si="0"/>
        <v>32</v>
      </c>
      <c r="B35" s="9">
        <v>1307</v>
      </c>
      <c r="C35" s="9" t="str">
        <f>VLOOKUP(B35,'[1]اسماء الموظفين'!$B$8:$O$1001,2,0)</f>
        <v>وفاء عبدالرحمن سعود الجبيرى</v>
      </c>
      <c r="D35" s="9" t="str">
        <f>VLOOKUP(B35,'[2]المقيمين النشطين'!$B$2:$Q$387,15,0)</f>
        <v>شركة ريال البركة للتجارة</v>
      </c>
      <c r="E35" s="9">
        <f>VLOOKUP(B35,[3]سعودة!$B$9:$E$504,4,0)</f>
        <v>1000</v>
      </c>
      <c r="F35" s="9">
        <f t="shared" si="2"/>
        <v>880</v>
      </c>
      <c r="G35" s="11"/>
      <c r="H35" s="11">
        <f t="shared" si="1"/>
        <v>1880</v>
      </c>
      <c r="I35" s="11"/>
      <c r="J35" s="11"/>
      <c r="K35" s="11"/>
      <c r="L35" s="11"/>
      <c r="M35" s="9"/>
    </row>
    <row r="36" spans="1:13" s="8" customFormat="1" ht="20.100000000000001" customHeight="1" x14ac:dyDescent="0.2">
      <c r="A36" s="9">
        <f t="shared" si="0"/>
        <v>33</v>
      </c>
      <c r="B36" s="9">
        <v>1308</v>
      </c>
      <c r="C36" s="9" t="str">
        <f>VLOOKUP(B36,'[1]اسماء الموظفين'!$B$8:$O$1001,2,0)</f>
        <v>رولا سعد عبدالله بن هويمل</v>
      </c>
      <c r="D36" s="9" t="str">
        <f>VLOOKUP(B36,'[2]المقيمين النشطين'!$B$2:$Q$387,15,0)</f>
        <v>شركة ريال البركة للتجارة</v>
      </c>
      <c r="E36" s="9">
        <f>VLOOKUP(B36,[3]سعودة!$B$9:$E$504,4,0)</f>
        <v>1000</v>
      </c>
      <c r="F36" s="9">
        <f t="shared" si="2"/>
        <v>880</v>
      </c>
      <c r="G36" s="11"/>
      <c r="H36" s="11">
        <f t="shared" si="1"/>
        <v>1880</v>
      </c>
      <c r="I36" s="11"/>
      <c r="J36" s="11"/>
      <c r="K36" s="11"/>
      <c r="L36" s="11"/>
      <c r="M36" s="9"/>
    </row>
    <row r="37" spans="1:13" s="8" customFormat="1" ht="20.100000000000001" customHeight="1" x14ac:dyDescent="0.2">
      <c r="A37" s="9">
        <f t="shared" si="0"/>
        <v>34</v>
      </c>
      <c r="B37" s="9">
        <v>1350</v>
      </c>
      <c r="C37" s="9" t="str">
        <f>VLOOKUP(B37,'[1]اسماء الموظفين'!$B$8:$O$1001,2,0)</f>
        <v>رقيه علي مهدي سماني</v>
      </c>
      <c r="D37" s="9" t="str">
        <f>VLOOKUP(B37,'[2]المقيمين النشطين'!$B$2:$Q$387,15,0)</f>
        <v>مؤسسة سلطان عبدالرحمن صالح الرزيحي للتجارة</v>
      </c>
      <c r="E37" s="9">
        <f>VLOOKUP(B37,[3]سعودة!$B$9:$E$504,4,0)</f>
        <v>1000</v>
      </c>
      <c r="F37" s="9">
        <f t="shared" si="2"/>
        <v>880</v>
      </c>
      <c r="G37" s="11"/>
      <c r="H37" s="11">
        <f t="shared" si="1"/>
        <v>1880</v>
      </c>
      <c r="I37" s="11"/>
      <c r="J37" s="11"/>
      <c r="K37" s="11"/>
      <c r="L37" s="11"/>
      <c r="M37" s="9"/>
    </row>
    <row r="38" spans="1:13" s="8" customFormat="1" ht="20.100000000000001" customHeight="1" x14ac:dyDescent="0.2">
      <c r="A38" s="9">
        <f t="shared" si="0"/>
        <v>35</v>
      </c>
      <c r="B38" s="9">
        <v>1355</v>
      </c>
      <c r="C38" s="9" t="str">
        <f>VLOOKUP(B38,'[1]اسماء الموظفين'!$B$8:$O$1001,2,0)</f>
        <v>شهد فهد إبراهيم الرزيحي</v>
      </c>
      <c r="D38" s="9" t="str">
        <f>VLOOKUP(B38,'[2]المقيمين النشطين'!$B$2:$Q$387,15,0)</f>
        <v>مؤسسة سلطان عبدالرحمن صالح الرزيحي للتجارة</v>
      </c>
      <c r="E38" s="9">
        <f>VLOOKUP(B38,[3]سعودة!$B$9:$E$504,4,0)</f>
        <v>1200</v>
      </c>
      <c r="F38" s="9">
        <f t="shared" si="2"/>
        <v>880</v>
      </c>
      <c r="G38" s="11"/>
      <c r="H38" s="11">
        <f t="shared" si="1"/>
        <v>2080</v>
      </c>
      <c r="I38" s="11"/>
      <c r="J38" s="11"/>
      <c r="K38" s="11"/>
      <c r="L38" s="11"/>
      <c r="M38" s="9"/>
    </row>
    <row r="39" spans="1:13" s="8" customFormat="1" ht="20.100000000000001" customHeight="1" x14ac:dyDescent="0.2">
      <c r="A39" s="9">
        <f t="shared" si="0"/>
        <v>36</v>
      </c>
      <c r="B39" s="9">
        <v>1356</v>
      </c>
      <c r="C39" s="9" t="str">
        <f>VLOOKUP(B39,'[1]اسماء الموظفين'!$B$8:$O$1001,2,0)</f>
        <v>دانه أحمد صالح المبيريك</v>
      </c>
      <c r="D39" s="9" t="str">
        <f>VLOOKUP(B39,'[2]المقيمين النشطين'!$B$2:$Q$387,15,0)</f>
        <v>مصنع سلطان عبدالرحمن صالح الرزيحي للمنتجات الورقية</v>
      </c>
      <c r="E39" s="9">
        <f>VLOOKUP(B39,[3]سعودة!$B$9:$E$504,4,0)</f>
        <v>1000</v>
      </c>
      <c r="F39" s="9">
        <f t="shared" si="2"/>
        <v>880</v>
      </c>
      <c r="G39" s="11"/>
      <c r="H39" s="11">
        <f t="shared" si="1"/>
        <v>1880</v>
      </c>
      <c r="I39" s="11"/>
      <c r="J39" s="11"/>
      <c r="K39" s="11"/>
      <c r="L39" s="11"/>
      <c r="M39" s="9"/>
    </row>
    <row r="40" spans="1:13" s="8" customFormat="1" ht="20.100000000000001" customHeight="1" x14ac:dyDescent="0.2">
      <c r="A40" s="9">
        <f t="shared" si="0"/>
        <v>37</v>
      </c>
      <c r="B40" s="9">
        <v>1357</v>
      </c>
      <c r="C40" s="9" t="str">
        <f>VLOOKUP(B40,'[1]اسماء الموظفين'!$B$8:$O$1001,2,0)</f>
        <v>راويه محمد بن عبده رياني</v>
      </c>
      <c r="D40" s="9" t="str">
        <f>VLOOKUP(B40,'[2]المقيمين النشطين'!$B$2:$Q$387,15,0)</f>
        <v>مؤسسة سلطان عبدالرحمن صالح الرزيحي للتجارة</v>
      </c>
      <c r="E40" s="9">
        <f>VLOOKUP(B40,[3]سعودة!$B$9:$E$504,4,0)</f>
        <v>1000</v>
      </c>
      <c r="F40" s="9">
        <f t="shared" si="2"/>
        <v>880</v>
      </c>
      <c r="G40" s="11"/>
      <c r="H40" s="11">
        <f t="shared" si="1"/>
        <v>1880</v>
      </c>
      <c r="I40" s="11"/>
      <c r="J40" s="11"/>
      <c r="K40" s="11"/>
      <c r="L40" s="11"/>
      <c r="M40" s="9"/>
    </row>
    <row r="41" spans="1:13" s="8" customFormat="1" ht="20.100000000000001" customHeight="1" x14ac:dyDescent="0.2">
      <c r="A41" s="9">
        <f t="shared" si="0"/>
        <v>38</v>
      </c>
      <c r="B41" s="9">
        <v>1358</v>
      </c>
      <c r="C41" s="9" t="str">
        <f>VLOOKUP(B41,'[1]اسماء الموظفين'!$B$8:$O$1001,2,0)</f>
        <v>بيان صالح عبدالعزيز العجيان</v>
      </c>
      <c r="D41" s="9" t="str">
        <f>VLOOKUP(B41,'[2]المقيمين النشطين'!$B$2:$Q$387,15,0)</f>
        <v>مؤسسة سلطان عبدالرحمن صالح الرزيحي للتجارة</v>
      </c>
      <c r="E41" s="9">
        <f>VLOOKUP(B41,[3]سعودة!$B$9:$E$504,4,0)</f>
        <v>1200</v>
      </c>
      <c r="F41" s="9">
        <f t="shared" si="2"/>
        <v>880</v>
      </c>
      <c r="G41" s="11"/>
      <c r="H41" s="11">
        <f t="shared" si="1"/>
        <v>2080</v>
      </c>
      <c r="I41" s="11"/>
      <c r="J41" s="11"/>
      <c r="K41" s="11"/>
      <c r="L41" s="11"/>
      <c r="M41" s="9"/>
    </row>
    <row r="42" spans="1:13" s="8" customFormat="1" ht="20.100000000000001" customHeight="1" x14ac:dyDescent="0.2">
      <c r="A42" s="9">
        <f t="shared" si="0"/>
        <v>39</v>
      </c>
      <c r="B42" s="9">
        <v>1359</v>
      </c>
      <c r="C42" s="9" t="str">
        <f>VLOOKUP(B42,'[1]اسماء الموظفين'!$B$8:$O$1001,2,0)</f>
        <v>سهام احمد محمد السميح</v>
      </c>
      <c r="D42" s="9" t="str">
        <f>VLOOKUP(B42,'[2]المقيمين النشطين'!$B$2:$Q$387,15,0)</f>
        <v>مؤسسة سلطان عبدالرحمن صالح الرزيحي للتجارة</v>
      </c>
      <c r="E42" s="9">
        <f>VLOOKUP(B42,[3]سعودة!$B$9:$E$504,4,0)</f>
        <v>1000</v>
      </c>
      <c r="F42" s="9">
        <f t="shared" si="2"/>
        <v>880</v>
      </c>
      <c r="G42" s="11"/>
      <c r="H42" s="11">
        <f t="shared" si="1"/>
        <v>1880</v>
      </c>
      <c r="I42" s="11"/>
      <c r="J42" s="11"/>
      <c r="K42" s="11"/>
      <c r="L42" s="11"/>
      <c r="M42" s="9"/>
    </row>
    <row r="43" spans="1:13" s="8" customFormat="1" ht="20.100000000000001" customHeight="1" x14ac:dyDescent="0.2">
      <c r="A43" s="9">
        <f t="shared" si="0"/>
        <v>40</v>
      </c>
      <c r="B43" s="9">
        <v>1367</v>
      </c>
      <c r="C43" s="9" t="str">
        <f>VLOOKUP(B43,'[1]اسماء الموظفين'!$B$8:$O$1001,2,0)</f>
        <v>نجد سعد زيد الشايقي</v>
      </c>
      <c r="D43" s="9" t="str">
        <f>VLOOKUP(B43,'[2]المقيمين النشطين'!$B$2:$Q$387,15,0)</f>
        <v>مؤسسة سلطان عبدالرحمن صالح الرزيحي للتجارة</v>
      </c>
      <c r="E43" s="9">
        <f>VLOOKUP(B43,[3]سعودة!$B$9:$E$504,4,0)</f>
        <v>1200</v>
      </c>
      <c r="F43" s="9">
        <f t="shared" si="2"/>
        <v>880</v>
      </c>
      <c r="G43" s="11"/>
      <c r="H43" s="11">
        <f t="shared" si="1"/>
        <v>2080</v>
      </c>
      <c r="I43" s="11"/>
      <c r="J43" s="11"/>
      <c r="K43" s="11"/>
      <c r="L43" s="11"/>
      <c r="M43" s="9"/>
    </row>
    <row r="44" spans="1:13" s="8" customFormat="1" ht="20.100000000000001" customHeight="1" x14ac:dyDescent="0.2">
      <c r="A44" s="9">
        <f t="shared" si="0"/>
        <v>41</v>
      </c>
      <c r="B44" s="9">
        <v>1368</v>
      </c>
      <c r="C44" s="9" t="str">
        <f>VLOOKUP(B44,'[1]اسماء الموظفين'!$B$8:$O$1001,2,0)</f>
        <v>شوق مرشد عبدالله ال خرعان</v>
      </c>
      <c r="D44" s="9" t="str">
        <f>VLOOKUP(B44,'[2]المقيمين النشطين'!$B$2:$Q$387,15,0)</f>
        <v>مؤسسة سلطان عبدالرحمن صالح الرزيحي للتجارة</v>
      </c>
      <c r="E44" s="9">
        <f>VLOOKUP(B44,[3]سعودة!$B$9:$E$504,4,0)</f>
        <v>1200</v>
      </c>
      <c r="F44" s="9">
        <f t="shared" si="2"/>
        <v>880</v>
      </c>
      <c r="G44" s="11"/>
      <c r="H44" s="11">
        <f t="shared" si="1"/>
        <v>2080</v>
      </c>
      <c r="I44" s="11"/>
      <c r="J44" s="11"/>
      <c r="K44" s="11"/>
      <c r="L44" s="11"/>
      <c r="M44" s="9"/>
    </row>
    <row r="45" spans="1:13" s="8" customFormat="1" ht="20.100000000000001" customHeight="1" x14ac:dyDescent="0.2">
      <c r="A45" s="9">
        <f t="shared" si="0"/>
        <v>42</v>
      </c>
      <c r="B45" s="9">
        <v>1370</v>
      </c>
      <c r="C45" s="9" t="str">
        <f>VLOOKUP(B45,'[1]اسماء الموظفين'!$B$8:$O$1001,2,0)</f>
        <v>رغد زيد سلطان الكثيري</v>
      </c>
      <c r="D45" s="9" t="str">
        <f>VLOOKUP(B45,'[2]المقيمين النشطين'!$B$2:$Q$387,15,0)</f>
        <v>مؤسسة سلطان عبدالرحمن صالح الرزيحي للتجارة</v>
      </c>
      <c r="E45" s="9">
        <f>VLOOKUP(B45,[3]سعودة!$B$9:$E$504,4,0)</f>
        <v>1000</v>
      </c>
      <c r="F45" s="9">
        <f t="shared" si="2"/>
        <v>880</v>
      </c>
      <c r="G45" s="11"/>
      <c r="H45" s="11">
        <f t="shared" si="1"/>
        <v>1880</v>
      </c>
      <c r="I45" s="11"/>
      <c r="J45" s="11"/>
      <c r="K45" s="11"/>
      <c r="L45" s="11"/>
      <c r="M45" s="9"/>
    </row>
    <row r="46" spans="1:13" s="8" customFormat="1" ht="20.100000000000001" customHeight="1" x14ac:dyDescent="0.2">
      <c r="A46" s="9">
        <f t="shared" si="0"/>
        <v>43</v>
      </c>
      <c r="B46" s="9">
        <v>1371</v>
      </c>
      <c r="C46" s="9" t="str">
        <f>VLOOKUP(B46,'[1]اسماء الموظفين'!$B$8:$O$1001,2,0)</f>
        <v>لينا ناصر بن محمد المنقور</v>
      </c>
      <c r="D46" s="9" t="str">
        <f>VLOOKUP(B46,'[2]المقيمين النشطين'!$B$2:$Q$387,15,0)</f>
        <v>مؤسسة عبدالرحمن سلطان عبدالرحمن الرزيحي للتجارة</v>
      </c>
      <c r="E46" s="9">
        <f>VLOOKUP(B46,[3]سعودة!$B$9:$E$504,4,0)</f>
        <v>1000</v>
      </c>
      <c r="F46" s="9">
        <f t="shared" si="2"/>
        <v>880</v>
      </c>
      <c r="G46" s="11"/>
      <c r="H46" s="11">
        <f t="shared" si="1"/>
        <v>1880</v>
      </c>
      <c r="I46" s="11"/>
      <c r="J46" s="11"/>
      <c r="K46" s="11"/>
      <c r="L46" s="11"/>
      <c r="M46" s="9"/>
    </row>
    <row r="47" spans="1:13" s="8" customFormat="1" ht="20.100000000000001" customHeight="1" x14ac:dyDescent="0.2">
      <c r="A47" s="9">
        <f t="shared" si="0"/>
        <v>44</v>
      </c>
      <c r="B47" s="9">
        <v>1372</v>
      </c>
      <c r="C47" s="9" t="str">
        <f>VLOOKUP(B47,'[1]اسماء الموظفين'!$B$8:$O$1001,2,0)</f>
        <v>لولوه ناصر محمد الخنين</v>
      </c>
      <c r="D47" s="9" t="str">
        <f>VLOOKUP(B47,'[2]المقيمين النشطين'!$B$2:$Q$387,15,0)</f>
        <v>مؤسسة عبدالرحمن سلطان عبدالرحمن الرزيحي للتجارة</v>
      </c>
      <c r="E47" s="9">
        <f>VLOOKUP(B47,[3]سعودة!$B$9:$E$504,4,0)</f>
        <v>1000</v>
      </c>
      <c r="F47" s="9">
        <f t="shared" si="2"/>
        <v>880</v>
      </c>
      <c r="G47" s="11"/>
      <c r="H47" s="11">
        <f t="shared" si="1"/>
        <v>1880</v>
      </c>
      <c r="I47" s="11"/>
      <c r="J47" s="11"/>
      <c r="K47" s="11"/>
      <c r="L47" s="11"/>
      <c r="M47" s="9"/>
    </row>
    <row r="48" spans="1:13" s="8" customFormat="1" ht="20.100000000000001" customHeight="1" x14ac:dyDescent="0.2">
      <c r="A48" s="9">
        <f t="shared" si="0"/>
        <v>45</v>
      </c>
      <c r="B48" s="9">
        <v>1374</v>
      </c>
      <c r="C48" s="9" t="str">
        <f>VLOOKUP(B48,'[1]اسماء الموظفين'!$B$8:$O$1001,2,0)</f>
        <v>زهراء مطاعن محمد شيخين</v>
      </c>
      <c r="D48" s="9" t="str">
        <f>VLOOKUP(B48,'[2]المقيمين النشطين'!$B$2:$Q$387,15,0)</f>
        <v>مؤسسة عبدالرحمن سلطان عبدالرحمن الرزيحي للتجارة</v>
      </c>
      <c r="E48" s="9">
        <f>VLOOKUP(B48,[3]سعودة!$B$9:$E$504,4,0)</f>
        <v>1000</v>
      </c>
      <c r="F48" s="9">
        <f t="shared" si="2"/>
        <v>880</v>
      </c>
      <c r="G48" s="11"/>
      <c r="H48" s="11">
        <f t="shared" si="1"/>
        <v>1880</v>
      </c>
      <c r="I48" s="11"/>
      <c r="J48" s="11"/>
      <c r="K48" s="11"/>
      <c r="L48" s="11"/>
      <c r="M48" s="9"/>
    </row>
    <row r="49" spans="1:13" s="8" customFormat="1" ht="20.100000000000001" customHeight="1" x14ac:dyDescent="0.2">
      <c r="A49" s="9">
        <f t="shared" si="0"/>
        <v>46</v>
      </c>
      <c r="B49" s="9">
        <v>1375</v>
      </c>
      <c r="C49" s="9" t="str">
        <f>VLOOKUP(B49,'[1]اسماء الموظفين'!$B$8:$O$1001,2,0)</f>
        <v>ريناد احمد محمد جرشي مجرشي</v>
      </c>
      <c r="D49" s="9" t="str">
        <f>VLOOKUP(B49,'[2]المقيمين النشطين'!$B$2:$Q$387,15,0)</f>
        <v>مؤسسة سلطان عبدالرحمن صالح الرزيحي للتجارة</v>
      </c>
      <c r="E49" s="9">
        <f>VLOOKUP(B49,[3]سعودة!$B$9:$E$504,4,0)</f>
        <v>1500</v>
      </c>
      <c r="F49" s="9">
        <f t="shared" si="2"/>
        <v>880</v>
      </c>
      <c r="G49" s="11"/>
      <c r="H49" s="11">
        <f t="shared" si="1"/>
        <v>2380</v>
      </c>
      <c r="I49" s="11"/>
      <c r="J49" s="11"/>
      <c r="K49" s="11"/>
      <c r="L49" s="11"/>
      <c r="M49" s="9"/>
    </row>
    <row r="50" spans="1:13" s="8" customFormat="1" ht="20.100000000000001" customHeight="1" x14ac:dyDescent="0.2">
      <c r="A50" s="9">
        <f t="shared" si="0"/>
        <v>47</v>
      </c>
      <c r="B50" s="9">
        <v>1376</v>
      </c>
      <c r="C50" s="9" t="str">
        <f>VLOOKUP(B50,'[1]اسماء الموظفين'!$B$8:$O$1001,2,0)</f>
        <v>ساره عبدالله بن علي الغامدي</v>
      </c>
      <c r="D50" s="9" t="str">
        <f>VLOOKUP(B50,'[2]المقيمين النشطين'!$B$2:$Q$387,15,0)</f>
        <v>مؤسسة سلطان عبدالرحمن صالح الرزيحي للتجارة</v>
      </c>
      <c r="E50" s="9">
        <f>VLOOKUP(B50,[3]سعودة!$B$9:$E$504,4,0)</f>
        <v>1500</v>
      </c>
      <c r="F50" s="9">
        <f t="shared" si="2"/>
        <v>880</v>
      </c>
      <c r="G50" s="11"/>
      <c r="H50" s="11">
        <f t="shared" si="1"/>
        <v>2380</v>
      </c>
      <c r="I50" s="11"/>
      <c r="J50" s="11"/>
      <c r="K50" s="11"/>
      <c r="L50" s="11"/>
      <c r="M50" s="9"/>
    </row>
    <row r="51" spans="1:13" s="8" customFormat="1" ht="20.100000000000001" customHeight="1" x14ac:dyDescent="0.2">
      <c r="A51" s="9">
        <f t="shared" si="0"/>
        <v>48</v>
      </c>
      <c r="B51" s="9">
        <v>1377</v>
      </c>
      <c r="C51" s="9" t="str">
        <f>VLOOKUP(B51,'[1]اسماء الموظفين'!$B$8:$O$1001,2,0)</f>
        <v>نوره مرشد عبد الله ال خرعان</v>
      </c>
      <c r="D51" s="9" t="str">
        <f>VLOOKUP(B51,'[2]المقيمين النشطين'!$B$2:$Q$387,15,0)</f>
        <v>مؤسسة عبدالرحمن سلطان عبدالرحمن الرزيحي للتجارة</v>
      </c>
      <c r="E51" s="9">
        <f>VLOOKUP(B51,[3]سعودة!$B$9:$E$504,4,0)</f>
        <v>1200</v>
      </c>
      <c r="F51" s="9">
        <f t="shared" si="2"/>
        <v>880</v>
      </c>
      <c r="G51" s="11"/>
      <c r="H51" s="11">
        <f t="shared" si="1"/>
        <v>2080</v>
      </c>
      <c r="I51" s="11"/>
      <c r="J51" s="11"/>
      <c r="K51" s="11"/>
      <c r="L51" s="11"/>
      <c r="M51" s="9"/>
    </row>
    <row r="52" spans="1:13" s="8" customFormat="1" ht="20.100000000000001" customHeight="1" x14ac:dyDescent="0.2">
      <c r="A52" s="9">
        <f t="shared" si="0"/>
        <v>49</v>
      </c>
      <c r="B52" s="9">
        <v>1379</v>
      </c>
      <c r="C52" s="9" t="str">
        <f>VLOOKUP(B52,'[1]اسماء الموظفين'!$B$8:$O$1001,2,0)</f>
        <v>موضي راشد حمد بن دهيش</v>
      </c>
      <c r="D52" s="9" t="str">
        <f>VLOOKUP(B52,'[2]المقيمين النشطين'!$B$2:$Q$387,15,0)</f>
        <v>شركة ريال البركة للتجارة</v>
      </c>
      <c r="E52" s="9">
        <f>VLOOKUP(B52,[3]سعودة!$B$9:$E$504,4,0)</f>
        <v>1000</v>
      </c>
      <c r="F52" s="9">
        <f t="shared" si="2"/>
        <v>880</v>
      </c>
      <c r="G52" s="11"/>
      <c r="H52" s="11">
        <f t="shared" si="1"/>
        <v>1880</v>
      </c>
      <c r="I52" s="11"/>
      <c r="J52" s="11"/>
      <c r="K52" s="11"/>
      <c r="L52" s="11"/>
      <c r="M52" s="9"/>
    </row>
    <row r="53" spans="1:13" s="8" customFormat="1" ht="20.100000000000001" customHeight="1" x14ac:dyDescent="0.2">
      <c r="A53" s="9">
        <f t="shared" si="0"/>
        <v>50</v>
      </c>
      <c r="B53" s="9">
        <v>1380</v>
      </c>
      <c r="C53" s="9" t="str">
        <f>VLOOKUP(B53,'[1]اسماء الموظفين'!$B$8:$O$1001,2,0)</f>
        <v>روابي راشد حمد بن دهيش</v>
      </c>
      <c r="D53" s="9" t="str">
        <f>VLOOKUP(B53,'[2]المقيمين النشطين'!$B$2:$Q$387,15,0)</f>
        <v>شركة ريال البركة للتجارة</v>
      </c>
      <c r="E53" s="9">
        <f>VLOOKUP(B53,[3]سعودة!$B$9:$E$504,4,0)</f>
        <v>1000</v>
      </c>
      <c r="F53" s="9">
        <f t="shared" si="2"/>
        <v>880</v>
      </c>
      <c r="G53" s="11"/>
      <c r="H53" s="11">
        <f t="shared" si="1"/>
        <v>1880</v>
      </c>
      <c r="I53" s="11"/>
      <c r="J53" s="11"/>
      <c r="K53" s="11"/>
      <c r="L53" s="11"/>
      <c r="M53" s="9"/>
    </row>
    <row r="54" spans="1:13" s="8" customFormat="1" ht="20.100000000000001" customHeight="1" x14ac:dyDescent="0.2">
      <c r="A54" s="9">
        <f t="shared" si="0"/>
        <v>51</v>
      </c>
      <c r="B54" s="9">
        <v>1384</v>
      </c>
      <c r="C54" s="9" t="str">
        <f>VLOOKUP(B54,'[1]اسماء الموظفين'!$B$8:$O$1001,2,0)</f>
        <v>ساره عبدالمحسن عبدالله البجادي</v>
      </c>
      <c r="D54" s="9" t="str">
        <f>VLOOKUP(B54,'[2]المقيمين النشطين'!$B$2:$Q$387,15,0)</f>
        <v>مؤسسة سلطان عبدالرحمن صالح الرزيحي للتجارة</v>
      </c>
      <c r="E54" s="9">
        <f>VLOOKUP(B54,[3]سعودة!$B$9:$E$504,4,0)</f>
        <v>1000</v>
      </c>
      <c r="F54" s="9">
        <f t="shared" si="2"/>
        <v>880</v>
      </c>
      <c r="G54" s="11"/>
      <c r="H54" s="11">
        <f t="shared" si="1"/>
        <v>1880</v>
      </c>
      <c r="I54" s="11"/>
      <c r="J54" s="11"/>
      <c r="K54" s="11"/>
      <c r="L54" s="11"/>
      <c r="M54" s="9"/>
    </row>
    <row r="55" spans="1:13" s="8" customFormat="1" ht="20.100000000000001" customHeight="1" x14ac:dyDescent="0.2">
      <c r="A55" s="9">
        <f t="shared" si="0"/>
        <v>52</v>
      </c>
      <c r="B55" s="9">
        <v>1385</v>
      </c>
      <c r="C55" s="9" t="str">
        <f>VLOOKUP(B55,'[1]اسماء الموظفين'!$B$8:$O$1001,2,0)</f>
        <v>فاطمه ابراهيم محمد السريبي</v>
      </c>
      <c r="D55" s="9" t="str">
        <f>VLOOKUP(B55,'[2]المقيمين النشطين'!$B$2:$Q$387,15,0)</f>
        <v>مؤسسة سلطان عبدالرحمن صالح الرزيحي للتجارة</v>
      </c>
      <c r="E55" s="9">
        <f>VLOOKUP(B55,[3]سعودة!$B$9:$E$504,4,0)</f>
        <v>1000</v>
      </c>
      <c r="F55" s="9">
        <f t="shared" si="2"/>
        <v>880</v>
      </c>
      <c r="G55" s="11"/>
      <c r="H55" s="11">
        <f t="shared" si="1"/>
        <v>1880</v>
      </c>
      <c r="I55" s="11"/>
      <c r="J55" s="11"/>
      <c r="K55" s="11"/>
      <c r="L55" s="11"/>
      <c r="M55" s="9"/>
    </row>
    <row r="56" spans="1:13" s="8" customFormat="1" ht="20.100000000000001" customHeight="1" x14ac:dyDescent="0.2">
      <c r="A56" s="9">
        <f t="shared" si="0"/>
        <v>53</v>
      </c>
      <c r="B56" s="9">
        <v>1386</v>
      </c>
      <c r="C56" s="9" t="str">
        <f>VLOOKUP(B56,'[1]اسماء الموظفين'!$B$8:$O$1001,2,0)</f>
        <v>مي ابراهيم محمد السريبي</v>
      </c>
      <c r="D56" s="9" t="str">
        <f>VLOOKUP(B56,'[2]المقيمين النشطين'!$B$2:$Q$387,15,0)</f>
        <v>مؤسسة عبدالرحمن سلطان عبدالرحمن الرزيحي للتجارة</v>
      </c>
      <c r="E56" s="9">
        <f>VLOOKUP(B56,[3]سعودة!$B$9:$E$504,4,0)</f>
        <v>1000</v>
      </c>
      <c r="F56" s="9">
        <f t="shared" si="2"/>
        <v>880</v>
      </c>
      <c r="G56" s="11"/>
      <c r="H56" s="11">
        <f t="shared" si="1"/>
        <v>1880</v>
      </c>
      <c r="I56" s="11"/>
      <c r="J56" s="11"/>
      <c r="K56" s="11"/>
      <c r="L56" s="11"/>
      <c r="M56" s="9"/>
    </row>
    <row r="57" spans="1:13" s="8" customFormat="1" ht="20.100000000000001" customHeight="1" x14ac:dyDescent="0.2">
      <c r="A57" s="9">
        <f t="shared" si="0"/>
        <v>54</v>
      </c>
      <c r="B57" s="9">
        <v>1388</v>
      </c>
      <c r="C57" s="9" t="str">
        <f>VLOOKUP(B57,'[1]اسماء الموظفين'!$B$8:$O$1001,2,0)</f>
        <v>خديجة مطاعن محمد شيخين</v>
      </c>
      <c r="D57" s="9" t="str">
        <f>VLOOKUP(B57,'[2]المقيمين النشطين'!$B$2:$Q$387,15,0)</f>
        <v>مؤسسة سلطان عبدالرحمن صالح الرزيحي للتجارة</v>
      </c>
      <c r="E57" s="9">
        <f>VLOOKUP(B57,[3]سعودة!$B$9:$E$504,4,0)</f>
        <v>1000</v>
      </c>
      <c r="F57" s="9">
        <f t="shared" si="2"/>
        <v>880</v>
      </c>
      <c r="G57" s="11"/>
      <c r="H57" s="11">
        <f t="shared" si="1"/>
        <v>1880</v>
      </c>
      <c r="I57" s="11"/>
      <c r="J57" s="11"/>
      <c r="K57" s="11"/>
      <c r="L57" s="11"/>
      <c r="M57" s="9"/>
    </row>
    <row r="58" spans="1:13" s="8" customFormat="1" ht="20.100000000000001" customHeight="1" x14ac:dyDescent="0.2">
      <c r="A58" s="9">
        <f t="shared" si="0"/>
        <v>55</v>
      </c>
      <c r="B58" s="9">
        <v>1389</v>
      </c>
      <c r="C58" s="9" t="str">
        <f>VLOOKUP(B58,'[1]اسماء الموظفين'!$B$8:$O$1001,2,0)</f>
        <v>افنان صالح بن محمد الحمدي</v>
      </c>
      <c r="D58" s="9" t="str">
        <f>VLOOKUP(B58,'[2]المقيمين النشطين'!$B$2:$Q$387,15,0)</f>
        <v>مؤسسة سلطان عبدالرحمن صالح الرزيحي للتجارة</v>
      </c>
      <c r="E58" s="9">
        <f>VLOOKUP(B58,[3]سعودة!$B$9:$E$504,4,0)</f>
        <v>1200</v>
      </c>
      <c r="F58" s="9">
        <f t="shared" si="2"/>
        <v>880</v>
      </c>
      <c r="G58" s="11"/>
      <c r="H58" s="11">
        <f t="shared" si="1"/>
        <v>2080</v>
      </c>
      <c r="I58" s="11"/>
      <c r="J58" s="11"/>
      <c r="K58" s="11"/>
      <c r="L58" s="11"/>
      <c r="M58" s="9"/>
    </row>
    <row r="59" spans="1:13" s="8" customFormat="1" ht="20.100000000000001" customHeight="1" x14ac:dyDescent="0.2">
      <c r="A59" s="9">
        <f t="shared" si="0"/>
        <v>56</v>
      </c>
      <c r="B59" s="9">
        <v>1392</v>
      </c>
      <c r="C59" s="9" t="str">
        <f>VLOOKUP(B59,'[1]اسماء الموظفين'!$B$8:$O$1001,2,0)</f>
        <v>زينب محمد مغيض الحايطي</v>
      </c>
      <c r="D59" s="9" t="str">
        <f>VLOOKUP(B59,'[2]المقيمين النشطين'!$B$2:$Q$387,15,0)</f>
        <v>مؤسسة عبدالرحمن سلطان عبدالرحمن الرزيحي للتجارة</v>
      </c>
      <c r="E59" s="9">
        <f>VLOOKUP(B59,[3]سعودة!$B$9:$E$504,4,0)</f>
        <v>1200</v>
      </c>
      <c r="F59" s="9">
        <f t="shared" si="2"/>
        <v>880</v>
      </c>
      <c r="G59" s="11"/>
      <c r="H59" s="11">
        <f t="shared" si="1"/>
        <v>2080</v>
      </c>
      <c r="I59" s="11"/>
      <c r="J59" s="11"/>
      <c r="K59" s="11"/>
      <c r="L59" s="11"/>
      <c r="M59" s="9"/>
    </row>
    <row r="60" spans="1:13" s="8" customFormat="1" ht="20.100000000000001" customHeight="1" x14ac:dyDescent="0.2">
      <c r="A60" s="9">
        <f t="shared" si="0"/>
        <v>57</v>
      </c>
      <c r="B60" s="9">
        <v>1406</v>
      </c>
      <c r="C60" s="9" t="str">
        <f>VLOOKUP(B60,'[1]اسماء الموظفين'!$B$8:$O$1001,2,0)</f>
        <v>مها ناصر سعد المهيدي</v>
      </c>
      <c r="D60" s="9" t="str">
        <f>VLOOKUP(B60,'[2]المقيمين النشطين'!$B$2:$Q$1000,15,0)</f>
        <v>شركة ريال البركة للتجارة</v>
      </c>
      <c r="E60" s="9">
        <f>VLOOKUP(B60,[3]سعودة!$B$9:$E$504,4,0)</f>
        <v>1000</v>
      </c>
      <c r="F60" s="9">
        <f t="shared" si="2"/>
        <v>880</v>
      </c>
      <c r="G60" s="11"/>
      <c r="H60" s="11">
        <f t="shared" si="1"/>
        <v>1880</v>
      </c>
      <c r="I60" s="11"/>
      <c r="J60" s="11"/>
      <c r="K60" s="11"/>
      <c r="L60" s="11"/>
      <c r="M60" s="9"/>
    </row>
    <row r="61" spans="1:13" s="8" customFormat="1" ht="20.100000000000001" customHeight="1" x14ac:dyDescent="0.2">
      <c r="A61" s="9">
        <f t="shared" si="0"/>
        <v>58</v>
      </c>
      <c r="B61" s="9">
        <v>1435</v>
      </c>
      <c r="C61" s="9" t="str">
        <f>VLOOKUP(B61,'[1]اسماء الموظفين'!$B$8:$O$1001,2,0)</f>
        <v>شما عبدالعزيز عبدالرحمن آل عتيق</v>
      </c>
      <c r="D61" s="9" t="s">
        <v>903</v>
      </c>
      <c r="E61" s="9">
        <v>0</v>
      </c>
      <c r="F61" s="9">
        <v>880</v>
      </c>
      <c r="G61" s="11"/>
      <c r="H61" s="11">
        <f t="shared" si="1"/>
        <v>880</v>
      </c>
      <c r="I61" s="11"/>
      <c r="J61" s="11"/>
      <c r="K61" s="11"/>
      <c r="L61" s="11"/>
      <c r="M61" s="9"/>
    </row>
    <row r="62" spans="1:13" s="8" customFormat="1" ht="20.100000000000001" customHeight="1" x14ac:dyDescent="0.2">
      <c r="A62" s="9">
        <f t="shared" si="0"/>
        <v>59</v>
      </c>
      <c r="B62" s="9"/>
      <c r="C62" s="9"/>
      <c r="D62" s="9"/>
      <c r="E62" s="9"/>
      <c r="F62" s="9"/>
      <c r="G62" s="11"/>
      <c r="H62" s="11"/>
      <c r="I62" s="11"/>
      <c r="J62" s="11"/>
      <c r="K62" s="11"/>
      <c r="L62" s="11"/>
      <c r="M62" s="9"/>
    </row>
    <row r="63" spans="1:13" s="8" customFormat="1" ht="20.100000000000001" customHeight="1" x14ac:dyDescent="0.2">
      <c r="A63" s="9" t="s">
        <v>3530</v>
      </c>
      <c r="B63" s="9"/>
      <c r="C63" s="9"/>
      <c r="D63" s="9"/>
      <c r="E63" s="9">
        <f>SUM(E4:E26)</f>
        <v>28000</v>
      </c>
      <c r="F63" s="9">
        <f>SUM(F4:F26)</f>
        <v>20240</v>
      </c>
      <c r="G63" s="11">
        <f>SUM(G4:G26)</f>
        <v>1215.9941666666666</v>
      </c>
      <c r="H63" s="11">
        <f>SUM(H4:H27)</f>
        <v>51455.994166666671</v>
      </c>
      <c r="I63" s="11"/>
      <c r="J63" s="11"/>
      <c r="K63" s="11"/>
      <c r="L63" s="11"/>
      <c r="M63" s="9"/>
    </row>
    <row r="64" spans="1:13" s="8" customFormat="1" ht="20.100000000000001" customHeight="1" x14ac:dyDescent="0.2">
      <c r="A64" s="9" t="s">
        <v>3531</v>
      </c>
      <c r="B64" s="9"/>
      <c r="C64" s="9"/>
      <c r="D64" s="9"/>
      <c r="E64" s="9">
        <f>E63*12</f>
        <v>336000</v>
      </c>
      <c r="F64" s="9">
        <f>F63*12</f>
        <v>242880</v>
      </c>
      <c r="G64" s="11">
        <f>SUM(G4:G26)*12</f>
        <v>14591.93</v>
      </c>
      <c r="H64" s="11">
        <f>SUM(E64:G64)</f>
        <v>593471.93000000005</v>
      </c>
      <c r="I64" s="11"/>
      <c r="J64" s="11"/>
      <c r="K64" s="11"/>
      <c r="L64" s="11"/>
      <c r="M64" s="9"/>
    </row>
    <row r="66" spans="4:8" x14ac:dyDescent="0.65">
      <c r="H66" s="19"/>
    </row>
    <row r="67" spans="4:8" x14ac:dyDescent="0.65">
      <c r="D67" s="20" t="s">
        <v>28</v>
      </c>
      <c r="E67" s="20" t="s">
        <v>3532</v>
      </c>
      <c r="F67" s="20" t="s">
        <v>3533</v>
      </c>
      <c r="G67" s="19"/>
    </row>
    <row r="68" spans="4:8" x14ac:dyDescent="0.65">
      <c r="D68" s="20" t="s">
        <v>65</v>
      </c>
      <c r="E68" s="20">
        <f>COUNTIF(D4:D62,$D$68)</f>
        <v>27</v>
      </c>
      <c r="F68" s="21">
        <f t="shared" ref="F68:F74" si="3">SUMIFS($H$4:$H$62,$D$4:$D$62,D68)</f>
        <v>54942.25</v>
      </c>
    </row>
    <row r="69" spans="4:8" x14ac:dyDescent="0.65">
      <c r="D69" s="20" t="s">
        <v>3534</v>
      </c>
      <c r="E69" s="20">
        <f>COUNTIF(D5:D62,$D$69)</f>
        <v>0</v>
      </c>
      <c r="F69" s="21">
        <f t="shared" si="3"/>
        <v>0</v>
      </c>
    </row>
    <row r="70" spans="4:8" x14ac:dyDescent="0.65">
      <c r="D70" s="20" t="s">
        <v>103</v>
      </c>
      <c r="E70" s="20">
        <f>COUNTIF(D6:D62,$D$70)</f>
        <v>15</v>
      </c>
      <c r="F70" s="21">
        <f t="shared" si="3"/>
        <v>30286.524166666666</v>
      </c>
    </row>
    <row r="71" spans="4:8" x14ac:dyDescent="0.65">
      <c r="D71" s="20" t="s">
        <v>3535</v>
      </c>
      <c r="E71" s="20">
        <f>COUNTIF(D7:D62,$D$71)</f>
        <v>3</v>
      </c>
      <c r="F71" s="21">
        <f t="shared" si="3"/>
        <v>5707.22</v>
      </c>
    </row>
    <row r="72" spans="4:8" x14ac:dyDescent="0.65">
      <c r="D72" s="20" t="s">
        <v>3536</v>
      </c>
      <c r="E72" s="20">
        <f>COUNTIF(D8:D63,$D$72)</f>
        <v>0</v>
      </c>
      <c r="F72" s="21">
        <f t="shared" si="3"/>
        <v>0</v>
      </c>
    </row>
    <row r="73" spans="4:8" x14ac:dyDescent="0.65">
      <c r="D73" s="20" t="s">
        <v>3506</v>
      </c>
      <c r="E73" s="20">
        <f>COUNTIF(D8:D62,$D$73)</f>
        <v>8</v>
      </c>
      <c r="F73" s="21">
        <f t="shared" si="3"/>
        <v>17440</v>
      </c>
    </row>
    <row r="74" spans="4:8" ht="25.5" thickBot="1" x14ac:dyDescent="0.7">
      <c r="D74" s="20" t="s">
        <v>903</v>
      </c>
      <c r="E74" s="20">
        <f>COUNTIF(D9:D62,$D$74)</f>
        <v>5</v>
      </c>
      <c r="F74" s="21">
        <f t="shared" si="3"/>
        <v>8400</v>
      </c>
    </row>
    <row r="75" spans="4:8" s="14" customFormat="1" ht="25.5" thickBot="1" x14ac:dyDescent="0.7">
      <c r="D75" s="22" t="s">
        <v>3533</v>
      </c>
      <c r="E75" s="16">
        <f>SUM(E68:E74)</f>
        <v>58</v>
      </c>
      <c r="F75" s="17">
        <f>SUM(F68:F74)</f>
        <v>116775.99416666667</v>
      </c>
    </row>
  </sheetData>
  <autoFilter ref="A3:H64" xr:uid="{00000000-0001-0000-0000-000000000000}"/>
  <mergeCells count="1">
    <mergeCell ref="A1:H1"/>
  </mergeCells>
  <conditionalFormatting sqref="B4:C62">
    <cfRule type="duplicateValues" dxfId="11" priority="10"/>
  </conditionalFormatting>
  <conditionalFormatting sqref="D73:D74">
    <cfRule type="expression" dxfId="10" priority="2">
      <formula>$B73="مصنع سلطان عبدالرحمن صالح الرزيحي للمنتجات الورقية"</formula>
    </cfRule>
    <cfRule type="expression" dxfId="9" priority="3">
      <formula>$B73="مؤسسة سلطان عبدالرحمن صالح الرزيحي للتجارة"</formula>
    </cfRule>
    <cfRule type="expression" dxfId="8" priority="4">
      <formula>$B73="محل دكان الحلوي للحلويات"</formula>
    </cfRule>
    <cfRule type="expression" dxfId="7" priority="5">
      <formula>$B73="شركة ريال البركة للتجارة"</formula>
    </cfRule>
    <cfRule type="cellIs" dxfId="6" priority="6" operator="equal">
      <formula>"مصنع سلطان عبدالرحمن صالح الرزيحي للمنتجات الورقية"</formula>
    </cfRule>
    <cfRule type="cellIs" dxfId="5" priority="7" operator="equal">
      <formula>"محل دكان الحلوي للحلويات"</formula>
    </cfRule>
    <cfRule type="cellIs" dxfId="4" priority="8" operator="equal">
      <formula>"مؤسسة سلطان عبدالرحمن صالح الرزيحي للتجارة"</formula>
    </cfRule>
    <cfRule type="cellIs" dxfId="3" priority="9" operator="equal">
      <formula>"شركة ريال البركة للتجارة"</formula>
    </cfRule>
  </conditionalFormatting>
  <conditionalFormatting sqref="I3">
    <cfRule type="expression" dxfId="2" priority="1">
      <formula>$AL3="استبعاد نهائي"</formula>
    </cfRule>
  </conditionalFormatting>
  <pageMargins left="0.7" right="0.7" top="0.75" bottom="0.75" header="0.3" footer="0.3"/>
  <pageSetup paperSize="9" scale="4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3421-C272-4BA4-B01E-1D9EA92B1723}">
  <sheetPr>
    <pageSetUpPr fitToPage="1"/>
  </sheetPr>
  <dimension ref="A1:T377"/>
  <sheetViews>
    <sheetView rightToLeft="1" zoomScaleNormal="100" workbookViewId="0">
      <selection activeCell="G15" sqref="G15"/>
    </sheetView>
  </sheetViews>
  <sheetFormatPr defaultColWidth="8" defaultRowHeight="24.75" x14ac:dyDescent="0.65"/>
  <cols>
    <col min="1" max="1" width="4.75" style="15" customWidth="1"/>
    <col min="2" max="2" width="10.125" style="15" customWidth="1"/>
    <col min="3" max="3" width="30.5" style="15" customWidth="1"/>
    <col min="4" max="4" width="16.5" style="15" customWidth="1"/>
    <col min="5" max="5" width="39.5" style="15" customWidth="1"/>
    <col min="6" max="6" width="15.375" style="15" customWidth="1"/>
    <col min="7" max="7" width="15.375" style="38" customWidth="1"/>
    <col min="8" max="8" width="15.125" style="38" customWidth="1"/>
    <col min="9" max="9" width="13.75" style="18" customWidth="1"/>
    <col min="10" max="10" width="16.5" style="18" bestFit="1" customWidth="1"/>
    <col min="11" max="13" width="15.125" style="38" customWidth="1"/>
    <col min="14" max="14" width="15.125" style="15" customWidth="1"/>
    <col min="15" max="16" width="13.75" style="38" customWidth="1"/>
    <col min="17" max="17" width="15.5" style="18" customWidth="1"/>
    <col min="18" max="18" width="13.75" style="18" customWidth="1"/>
    <col min="19" max="19" width="16.875" style="18" customWidth="1"/>
    <col min="20" max="20" width="18.875" style="18" customWidth="1"/>
    <col min="21" max="16384" width="8" style="15"/>
  </cols>
  <sheetData>
    <row r="1" spans="1:20" x14ac:dyDescent="0.65">
      <c r="A1" s="45" t="s">
        <v>3525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46"/>
      <c r="N1" s="45"/>
      <c r="O1" s="45"/>
      <c r="P1" s="45"/>
      <c r="Q1" s="45"/>
      <c r="R1" s="45"/>
      <c r="S1" s="45"/>
      <c r="T1" s="45"/>
    </row>
    <row r="2" spans="1:20" x14ac:dyDescent="0.65">
      <c r="C2" s="23">
        <v>44197</v>
      </c>
      <c r="D2" s="23"/>
      <c r="E2" s="23">
        <f ca="1">TODAY()</f>
        <v>45228</v>
      </c>
      <c r="F2" s="24"/>
    </row>
    <row r="3" spans="1:20" s="8" customFormat="1" ht="20.100000000000001" customHeight="1" x14ac:dyDescent="0.2">
      <c r="A3" s="12" t="s">
        <v>3505</v>
      </c>
      <c r="B3" s="12" t="s">
        <v>3504</v>
      </c>
      <c r="C3" s="12" t="s">
        <v>3511</v>
      </c>
      <c r="D3" s="12" t="s">
        <v>2</v>
      </c>
      <c r="E3" s="12" t="s">
        <v>3518</v>
      </c>
      <c r="F3" s="12" t="s">
        <v>14</v>
      </c>
      <c r="G3" s="13" t="s">
        <v>3526</v>
      </c>
      <c r="H3" s="13" t="s">
        <v>3527</v>
      </c>
      <c r="I3" s="13" t="s">
        <v>3537</v>
      </c>
      <c r="J3" s="13" t="s">
        <v>3538</v>
      </c>
      <c r="K3" s="13" t="s">
        <v>3539</v>
      </c>
      <c r="L3" s="13" t="s">
        <v>3540</v>
      </c>
      <c r="M3" s="13" t="s">
        <v>3541</v>
      </c>
      <c r="N3" s="13" t="s">
        <v>3542</v>
      </c>
      <c r="O3" s="13" t="s">
        <v>3543</v>
      </c>
      <c r="P3" s="13" t="s">
        <v>3544</v>
      </c>
      <c r="Q3" s="13" t="s">
        <v>3584</v>
      </c>
      <c r="R3" s="13" t="s">
        <v>3545</v>
      </c>
      <c r="S3" s="13" t="s">
        <v>3546</v>
      </c>
      <c r="T3" s="13" t="s">
        <v>3547</v>
      </c>
    </row>
    <row r="4" spans="1:20" s="8" customFormat="1" ht="20.100000000000001" customHeight="1" x14ac:dyDescent="0.2">
      <c r="A4" s="9">
        <v>2</v>
      </c>
      <c r="B4" s="9">
        <v>1000</v>
      </c>
      <c r="C4" s="9" t="str">
        <f>VLOOKUP(B4,'[1]اسماء الموظفين'!$B$8:$O$501,2,0)</f>
        <v xml:space="preserve">سلطان عبدالرحمن صالح الرزيحي </v>
      </c>
      <c r="D4" s="9" t="str">
        <f>VLOOKUP(B4,'[1]اسماء الموظفين'!$B$8:$O$501,4,0)</f>
        <v>سعودي</v>
      </c>
      <c r="E4" s="9" t="str">
        <f>VLOOKUP(B4,'[2]المقيمين النشطين'!$B$2:$Q$980,15,0)</f>
        <v>المالك</v>
      </c>
      <c r="F4" s="9" t="str">
        <f>VLOOKUP(B4,'[1]اسماء الموظفين'!$B$8:$O$501,11,0)</f>
        <v>الإدارة</v>
      </c>
      <c r="G4" s="11">
        <f>VLOOKUP(B4,'[3]رواتب الموظفين 2022'!$B$9:$J$1019,9,0)</f>
        <v>90000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O4" s="10">
        <v>0</v>
      </c>
      <c r="P4" s="10">
        <v>0</v>
      </c>
      <c r="Q4" s="10">
        <v>0</v>
      </c>
      <c r="R4" s="10">
        <v>0</v>
      </c>
      <c r="S4" s="10">
        <f t="shared" ref="S4:S67" si="0">SUM(G4:R4)</f>
        <v>90000</v>
      </c>
      <c r="T4" s="10">
        <f t="shared" ref="T4:T68" si="1">S4*12</f>
        <v>1080000</v>
      </c>
    </row>
    <row r="5" spans="1:20" s="8" customFormat="1" ht="20.100000000000001" customHeight="1" x14ac:dyDescent="0.2">
      <c r="A5" s="9">
        <f t="shared" ref="A5:A69" si="2">ROW()-3</f>
        <v>2</v>
      </c>
      <c r="B5" s="9">
        <v>1001</v>
      </c>
      <c r="C5" s="9" t="str">
        <f>VLOOKUP(B5,'[1]اسماء الموظفين'!$B$8:$O$501,2,0)</f>
        <v>سنوار عبد المجيد</v>
      </c>
      <c r="D5" s="9" t="str">
        <f>VLOOKUP(B5,'[1]اسماء الموظفين'!$B$8:$O$501,4,0)</f>
        <v>بنجلاديش</v>
      </c>
      <c r="E5" s="9" t="str">
        <f>VLOOKUP(B5,'[2]المقيمين النشطين'!$B$2:$Q$980,15,0)</f>
        <v>شركة ريال البركة للتجارة</v>
      </c>
      <c r="F5" s="9" t="str">
        <f>VLOOKUP(B5,'[1]اسماء الموظفين'!$B$8:$O$501,11,0)</f>
        <v>النسيم</v>
      </c>
      <c r="G5" s="11">
        <f>VLOOKUP(B5,'[3]رواتب الموظفين 2022'!$B$9:$J$1019,9,0)</f>
        <v>2500</v>
      </c>
      <c r="H5" s="11">
        <f>VLOOKUP(B5,'[3]رواتب الموظفين 2022'!$B$9:$E$438,4,0)*2%</f>
        <v>36</v>
      </c>
      <c r="I5" s="11">
        <f>844/12</f>
        <v>70.333333333333329</v>
      </c>
      <c r="J5" s="11">
        <v>0</v>
      </c>
      <c r="K5" s="11">
        <f t="shared" ref="K5:K10" si="3">G5/30*21/12</f>
        <v>145.83333333333334</v>
      </c>
      <c r="L5" s="11">
        <f t="shared" ref="L5:L10" si="4">G5/2/12</f>
        <v>104.16666666666667</v>
      </c>
      <c r="M5" s="11">
        <f>1800/24</f>
        <v>75</v>
      </c>
      <c r="O5" s="10">
        <f t="shared" ref="O5:O10" si="5">650/12</f>
        <v>54.166666666666664</v>
      </c>
      <c r="P5" s="10">
        <f t="shared" ref="P5:P10" si="6">9700/12</f>
        <v>808.33333333333337</v>
      </c>
      <c r="Q5" s="10">
        <f>VLOOKUP(B5,[4]بيان!$B$6:$G$112,4,0)</f>
        <v>291.66666666666669</v>
      </c>
      <c r="R5" s="10">
        <f t="shared" ref="R5:R13" si="7">$K$329</f>
        <v>739.31702574525752</v>
      </c>
      <c r="S5" s="10">
        <f t="shared" si="0"/>
        <v>4824.8170257452575</v>
      </c>
      <c r="T5" s="10">
        <f t="shared" si="1"/>
        <v>57897.804308943087</v>
      </c>
    </row>
    <row r="6" spans="1:20" s="8" customFormat="1" ht="20.100000000000001" customHeight="1" x14ac:dyDescent="0.2">
      <c r="A6" s="9">
        <f t="shared" si="2"/>
        <v>3</v>
      </c>
      <c r="B6" s="9">
        <v>1002</v>
      </c>
      <c r="C6" s="9" t="str">
        <f>VLOOKUP(B6,'[1]اسماء الموظفين'!$B$8:$O$501,2,0)</f>
        <v>عبدالرحمن محمد عبده السلمي</v>
      </c>
      <c r="D6" s="9" t="str">
        <f>VLOOKUP(B6,'[1]اسماء الموظفين'!$B$8:$O$501,4,0)</f>
        <v>اليمن</v>
      </c>
      <c r="E6" s="9" t="str">
        <f>VLOOKUP(B6,'[2]المقيمين النشطين'!$B$2:$Q$980,15,0)</f>
        <v>شركة ريال البركة للتجارة</v>
      </c>
      <c r="F6" s="9" t="str">
        <f>VLOOKUP(B6,'[1]اسماء الموظفين'!$B$8:$O$501,11,0)</f>
        <v>جملة ريال البركة</v>
      </c>
      <c r="G6" s="11">
        <f>VLOOKUP(B6,'[3]رواتب الموظفين 2022'!$B$9:$J$1019,9,0)</f>
        <v>10000</v>
      </c>
      <c r="H6" s="11">
        <f>VLOOKUP(B6,'[3]رواتب الموظفين 2022'!$B$9:$E$438,4,0)*2%</f>
        <v>72</v>
      </c>
      <c r="I6" s="11">
        <f>773+1958/12</f>
        <v>936.16666666666663</v>
      </c>
      <c r="J6" s="11">
        <v>0</v>
      </c>
      <c r="K6" s="11">
        <f t="shared" si="3"/>
        <v>583.33333333333337</v>
      </c>
      <c r="L6" s="11">
        <f t="shared" si="4"/>
        <v>416.66666666666669</v>
      </c>
      <c r="M6" s="11">
        <f>1800/24</f>
        <v>75</v>
      </c>
      <c r="O6" s="10">
        <f t="shared" si="5"/>
        <v>54.166666666666664</v>
      </c>
      <c r="P6" s="10">
        <f t="shared" si="6"/>
        <v>808.33333333333337</v>
      </c>
      <c r="Q6" s="10">
        <f>12000/12</f>
        <v>1000</v>
      </c>
      <c r="R6" s="10">
        <f t="shared" si="7"/>
        <v>739.31702574525752</v>
      </c>
      <c r="S6" s="10">
        <f t="shared" si="0"/>
        <v>14684.983692411923</v>
      </c>
      <c r="T6" s="10">
        <f t="shared" si="1"/>
        <v>176219.80430894307</v>
      </c>
    </row>
    <row r="7" spans="1:20" s="8" customFormat="1" ht="20.100000000000001" customHeight="1" x14ac:dyDescent="0.2">
      <c r="A7" s="9">
        <f t="shared" si="2"/>
        <v>4</v>
      </c>
      <c r="B7" s="9">
        <v>1003</v>
      </c>
      <c r="C7" s="9" t="str">
        <f>VLOOKUP(B7,'[1]اسماء الموظفين'!$B$8:$O$501,2,0)</f>
        <v>سليم عبده علي الرعوي</v>
      </c>
      <c r="D7" s="9" t="str">
        <f>VLOOKUP(B7,'[1]اسماء الموظفين'!$B$8:$O$501,4,0)</f>
        <v>اليمن</v>
      </c>
      <c r="E7" s="9" t="str">
        <f>VLOOKUP(B7,'[2]المقيمين النشطين'!$B$2:$Q$980,15,0)</f>
        <v>شركة ريال البركة للتجارة</v>
      </c>
      <c r="F7" s="9" t="str">
        <f>VLOOKUP(B7,'[1]اسماء الموظفين'!$B$8:$O$501,11,0)</f>
        <v>الإدارة</v>
      </c>
      <c r="G7" s="11">
        <f>VLOOKUP(B7,'[3]رواتب الموظفين 2022'!$B$9:$J$1019,9,0)</f>
        <v>10000</v>
      </c>
      <c r="H7" s="11">
        <f>VLOOKUP(B7,'[3]رواتب الموظفين 2022'!$B$9:$E$438,4,0)*2%</f>
        <v>72</v>
      </c>
      <c r="I7" s="11">
        <f>533+520+773+2233/12</f>
        <v>2012.0833333333333</v>
      </c>
      <c r="J7" s="11">
        <v>0</v>
      </c>
      <c r="K7" s="11">
        <f t="shared" si="3"/>
        <v>583.33333333333337</v>
      </c>
      <c r="L7" s="11">
        <f t="shared" si="4"/>
        <v>416.66666666666669</v>
      </c>
      <c r="M7" s="11">
        <f>1500/12</f>
        <v>125</v>
      </c>
      <c r="O7" s="10">
        <f t="shared" si="5"/>
        <v>54.166666666666664</v>
      </c>
      <c r="P7" s="10">
        <f t="shared" si="6"/>
        <v>808.33333333333337</v>
      </c>
      <c r="Q7" s="10">
        <f>12000/12</f>
        <v>1000</v>
      </c>
      <c r="R7" s="10">
        <f t="shared" si="7"/>
        <v>739.31702574525752</v>
      </c>
      <c r="S7" s="10">
        <f t="shared" si="0"/>
        <v>15810.900359078591</v>
      </c>
      <c r="T7" s="10">
        <f t="shared" si="1"/>
        <v>189730.8043089431</v>
      </c>
    </row>
    <row r="8" spans="1:20" s="8" customFormat="1" ht="20.100000000000001" customHeight="1" x14ac:dyDescent="0.2">
      <c r="A8" s="9">
        <f t="shared" si="2"/>
        <v>5</v>
      </c>
      <c r="B8" s="9">
        <v>1004</v>
      </c>
      <c r="C8" s="9" t="str">
        <f>VLOOKUP(B8,'[1]اسماء الموظفين'!$B$8:$O$501,2,0)</f>
        <v>مصطفى عبده علي صالح</v>
      </c>
      <c r="D8" s="9" t="str">
        <f>VLOOKUP(B8,'[1]اسماء الموظفين'!$B$8:$O$501,4,0)</f>
        <v>اليمن</v>
      </c>
      <c r="E8" s="9" t="str">
        <f>VLOOKUP(B8,'[2]المقيمين النشطين'!$B$2:$Q$980,15,0)</f>
        <v>شركة ريال البركة للتجارة</v>
      </c>
      <c r="F8" s="9" t="str">
        <f>VLOOKUP(B8,'[1]اسماء الموظفين'!$B$8:$O$501,11,0)</f>
        <v>جملة ريال البركة</v>
      </c>
      <c r="G8" s="11">
        <f>VLOOKUP(B8,'[3]رواتب الموظفين 2022'!$B$9:$J$1019,9,0)</f>
        <v>8000</v>
      </c>
      <c r="H8" s="11">
        <f>VLOOKUP(B8,'[3]رواتب الموظفين 2022'!$B$9:$E$438,4,0)*2%</f>
        <v>72</v>
      </c>
      <c r="I8" s="11">
        <f>773/12</f>
        <v>64.416666666666671</v>
      </c>
      <c r="J8" s="11">
        <v>0</v>
      </c>
      <c r="K8" s="11">
        <f t="shared" si="3"/>
        <v>466.66666666666669</v>
      </c>
      <c r="L8" s="11">
        <f t="shared" si="4"/>
        <v>333.33333333333331</v>
      </c>
      <c r="M8" s="11">
        <f>1500/24</f>
        <v>62.5</v>
      </c>
      <c r="O8" s="10">
        <f t="shared" si="5"/>
        <v>54.166666666666664</v>
      </c>
      <c r="P8" s="10">
        <f t="shared" si="6"/>
        <v>808.33333333333337</v>
      </c>
      <c r="Q8" s="10">
        <f>VLOOKUP(B8,[4]بيان!$B$6:$G$112,4,0)</f>
        <v>96.491228070175438</v>
      </c>
      <c r="R8" s="10">
        <f t="shared" si="7"/>
        <v>739.31702574525752</v>
      </c>
      <c r="S8" s="10">
        <f t="shared" si="0"/>
        <v>10697.224920482102</v>
      </c>
      <c r="T8" s="10">
        <f t="shared" si="1"/>
        <v>128366.69904578522</v>
      </c>
    </row>
    <row r="9" spans="1:20" s="8" customFormat="1" ht="20.100000000000001" customHeight="1" x14ac:dyDescent="0.2">
      <c r="A9" s="9">
        <f t="shared" si="2"/>
        <v>6</v>
      </c>
      <c r="B9" s="9">
        <v>1005</v>
      </c>
      <c r="C9" s="9" t="str">
        <f>VLOOKUP(B9,'[1]اسماء الموظفين'!$B$8:$O$501,2,0)</f>
        <v>عبدالسلام محمد سعيد ناجي</v>
      </c>
      <c r="D9" s="9" t="str">
        <f>VLOOKUP(B9,'[1]اسماء الموظفين'!$B$8:$O$501,4,0)</f>
        <v>اليمن</v>
      </c>
      <c r="E9" s="9" t="str">
        <f>VLOOKUP(B9,'[2]المقيمين النشطين'!$B$2:$Q$980,15,0)</f>
        <v>مؤسسة سلطان عبدالرحمن صالح الرزيحي للتجارة</v>
      </c>
      <c r="F9" s="9" t="str">
        <f>VLOOKUP(B9,'[1]اسماء الموظفين'!$B$8:$O$501,11,0)</f>
        <v>جملة سلطان/السويلم</v>
      </c>
      <c r="G9" s="11">
        <f>VLOOKUP(B9,'[3]رواتب الموظفين 2022'!$B$9:$J$1019,9,0)</f>
        <v>4500</v>
      </c>
      <c r="H9" s="11">
        <f>VLOOKUP(B9,'[3]رواتب الموظفين 2022'!$B$9:$E$438,4,0)*2%</f>
        <v>50</v>
      </c>
      <c r="I9" s="11">
        <f>542.14+642/12</f>
        <v>595.64</v>
      </c>
      <c r="J9" s="11">
        <v>0</v>
      </c>
      <c r="K9" s="11">
        <f t="shared" si="3"/>
        <v>262.5</v>
      </c>
      <c r="L9" s="11">
        <f t="shared" si="4"/>
        <v>187.5</v>
      </c>
      <c r="M9" s="11">
        <f>1500/24</f>
        <v>62.5</v>
      </c>
      <c r="O9" s="10">
        <f t="shared" si="5"/>
        <v>54.166666666666664</v>
      </c>
      <c r="P9" s="10">
        <f t="shared" si="6"/>
        <v>808.33333333333337</v>
      </c>
      <c r="Q9" s="10">
        <f>VLOOKUP(B9,[4]بيان!$B$6:$G$112,4,0)</f>
        <v>312.5</v>
      </c>
      <c r="R9" s="10">
        <f t="shared" si="7"/>
        <v>739.31702574525752</v>
      </c>
      <c r="S9" s="10">
        <f t="shared" si="0"/>
        <v>7572.4570257452579</v>
      </c>
      <c r="T9" s="10">
        <f t="shared" si="1"/>
        <v>90869.484308943094</v>
      </c>
    </row>
    <row r="10" spans="1:20" s="8" customFormat="1" ht="20.100000000000001" customHeight="1" x14ac:dyDescent="0.2">
      <c r="A10" s="9">
        <f t="shared" si="2"/>
        <v>7</v>
      </c>
      <c r="B10" s="9">
        <v>1006</v>
      </c>
      <c r="C10" s="9" t="str">
        <f>VLOOKUP(B10,'[1]اسماء الموظفين'!$B$8:$O$501,2,0)</f>
        <v>بلال صالح حمود الفهد</v>
      </c>
      <c r="D10" s="9" t="str">
        <f>VLOOKUP(B10,'[1]اسماء الموظفين'!$B$8:$O$501,4,0)</f>
        <v>اليمن</v>
      </c>
      <c r="E10" s="9" t="str">
        <f>VLOOKUP(B10,'[2]المقيمين النشطين'!$B$2:$Q$980,15,0)</f>
        <v>شركة ريال البركة للتجارة</v>
      </c>
      <c r="F10" s="9" t="str">
        <f>VLOOKUP(B10,'[1]اسماء الموظفين'!$B$8:$O$501,11,0)</f>
        <v>النسيم 2</v>
      </c>
      <c r="G10" s="11">
        <f>VLOOKUP(B10,'[3]رواتب الموظفين 2022'!$B$9:$J$1019,9,0)</f>
        <v>2800</v>
      </c>
      <c r="H10" s="11">
        <f>VLOOKUP(B10,'[3]رواتب الموظفين 2022'!$B$9:$E$438,4,0)*2%</f>
        <v>40</v>
      </c>
      <c r="I10" s="11">
        <f>550.02/12</f>
        <v>45.835000000000001</v>
      </c>
      <c r="J10" s="11">
        <f>220/12</f>
        <v>18.333333333333332</v>
      </c>
      <c r="K10" s="11">
        <f t="shared" si="3"/>
        <v>163.33333333333334</v>
      </c>
      <c r="L10" s="11">
        <f t="shared" si="4"/>
        <v>116.66666666666667</v>
      </c>
      <c r="M10" s="11">
        <f>1500/24</f>
        <v>62.5</v>
      </c>
      <c r="O10" s="10">
        <f t="shared" si="5"/>
        <v>54.166666666666664</v>
      </c>
      <c r="P10" s="10">
        <f t="shared" si="6"/>
        <v>808.33333333333337</v>
      </c>
      <c r="Q10" s="10">
        <f>VLOOKUP(B10,[4]بيان!$B$6:$G$112,4,0)</f>
        <v>187.5</v>
      </c>
      <c r="R10" s="10">
        <f t="shared" si="7"/>
        <v>739.31702574525752</v>
      </c>
      <c r="S10" s="10">
        <f t="shared" si="0"/>
        <v>5035.9853590785906</v>
      </c>
      <c r="T10" s="10">
        <f t="shared" si="1"/>
        <v>60431.824308943091</v>
      </c>
    </row>
    <row r="11" spans="1:20" s="8" customFormat="1" ht="20.100000000000001" customHeight="1" x14ac:dyDescent="0.2">
      <c r="A11" s="9">
        <f t="shared" si="2"/>
        <v>8</v>
      </c>
      <c r="B11" s="9">
        <v>1007</v>
      </c>
      <c r="C11" s="9" t="str">
        <f>VLOOKUP(B11,'[1]اسماء الموظفين'!$B$8:$O$501,2,0)</f>
        <v>محمد عبدالدائم محمد عبدالرحمن</v>
      </c>
      <c r="D11" s="9" t="str">
        <f>VLOOKUP(B11,'[1]اسماء الموظفين'!$B$8:$O$501,4,0)</f>
        <v>اليمن</v>
      </c>
      <c r="E11" s="9" t="str">
        <f>VLOOKUP(B11,'[2]المقيمين النشطين'!$B$2:$Q$980,15,0)</f>
        <v>شركة ريال البركة للتجارة</v>
      </c>
      <c r="F11" s="9" t="str">
        <f>VLOOKUP(B11,'[1]اسماء الموظفين'!$B$8:$O$501,11,0)</f>
        <v>مستودع عكاظ 23</v>
      </c>
      <c r="G11" s="11">
        <f>VLOOKUP(B11,'[3]رواتب الموظفين 2022'!$B$9:$J$1019,9,0)</f>
        <v>1000</v>
      </c>
      <c r="H11" s="11">
        <f>VLOOKUP(B11,'[3]رواتب الموظفين 2022'!$B$9:$E$438,4,0)*2%</f>
        <v>20</v>
      </c>
      <c r="I11" s="11">
        <f>773+533+1958+623/12</f>
        <v>3315.9166666666665</v>
      </c>
      <c r="J11" s="11">
        <v>0</v>
      </c>
      <c r="K11" s="11">
        <v>0</v>
      </c>
      <c r="L11" s="11">
        <v>0</v>
      </c>
      <c r="M11" s="11">
        <v>0</v>
      </c>
      <c r="O11" s="10">
        <v>0</v>
      </c>
      <c r="P11" s="10">
        <v>0</v>
      </c>
      <c r="Q11" s="10">
        <v>0</v>
      </c>
      <c r="R11" s="10">
        <f t="shared" si="7"/>
        <v>739.31702574525752</v>
      </c>
      <c r="S11" s="10">
        <f t="shared" si="0"/>
        <v>5075.2336924119236</v>
      </c>
      <c r="T11" s="10">
        <f t="shared" si="1"/>
        <v>60902.804308943087</v>
      </c>
    </row>
    <row r="12" spans="1:20" s="8" customFormat="1" ht="20.100000000000001" customHeight="1" x14ac:dyDescent="0.2">
      <c r="A12" s="9">
        <f t="shared" si="2"/>
        <v>9</v>
      </c>
      <c r="B12" s="9">
        <v>1009</v>
      </c>
      <c r="C12" s="9" t="str">
        <f>VLOOKUP(B12,'[1]اسماء الموظفين'!$B$8:$O$501,2,0)</f>
        <v>اسد الزمان علي</v>
      </c>
      <c r="D12" s="9" t="str">
        <f>VLOOKUP(B12,'[1]اسماء الموظفين'!$B$8:$O$501,4,0)</f>
        <v>بنجلاديش</v>
      </c>
      <c r="E12" s="9" t="str">
        <f>VLOOKUP(B12,'[2]المقيمين النشطين'!$B$2:$Q$980,15,0)</f>
        <v>شركة ريال البركة للتجارة</v>
      </c>
      <c r="F12" s="9" t="str">
        <f>VLOOKUP(B12,'[1]اسماء الموظفين'!$B$8:$O$501,11,0)</f>
        <v>أونلاين</v>
      </c>
      <c r="G12" s="11">
        <f>VLOOKUP(B12,'[3]رواتب الموظفين 2022'!$B$9:$J$1019,9,0)</f>
        <v>2200</v>
      </c>
      <c r="H12" s="11">
        <f>VLOOKUP(B12,'[3]رواتب الموظفين 2022'!$B$9:$E$438,4,0)*2%</f>
        <v>32</v>
      </c>
      <c r="I12" s="11">
        <f>1229/12</f>
        <v>102.41666666666667</v>
      </c>
      <c r="J12" s="11">
        <v>0</v>
      </c>
      <c r="K12" s="11">
        <f>G12/30*21/12</f>
        <v>128.33333333333334</v>
      </c>
      <c r="L12" s="11">
        <f>G12/2/12</f>
        <v>91.666666666666671</v>
      </c>
      <c r="M12" s="11">
        <f>1800/24</f>
        <v>75</v>
      </c>
      <c r="O12" s="10">
        <f>650/12</f>
        <v>54.166666666666664</v>
      </c>
      <c r="P12" s="10">
        <f>9700/12</f>
        <v>808.33333333333337</v>
      </c>
      <c r="Q12" s="10">
        <f>VLOOKUP(B12,[4]بيان!$B$6:$G$112,4,0)</f>
        <v>96.491228070175438</v>
      </c>
      <c r="R12" s="10">
        <f t="shared" si="7"/>
        <v>739.31702574525752</v>
      </c>
      <c r="S12" s="10">
        <f t="shared" si="0"/>
        <v>4327.7249204821001</v>
      </c>
      <c r="T12" s="10">
        <f t="shared" si="1"/>
        <v>51932.699045785201</v>
      </c>
    </row>
    <row r="13" spans="1:20" s="8" customFormat="1" ht="20.100000000000001" customHeight="1" x14ac:dyDescent="0.2">
      <c r="A13" s="9">
        <f t="shared" si="2"/>
        <v>10</v>
      </c>
      <c r="B13" s="9">
        <v>1010</v>
      </c>
      <c r="C13" s="9" t="str">
        <f>VLOOKUP(B13,'[1]اسماء الموظفين'!$B$8:$O$501,2,0)</f>
        <v>تفضل ولي</v>
      </c>
      <c r="D13" s="9" t="str">
        <f>VLOOKUP(B13,'[1]اسماء الموظفين'!$B$8:$O$501,4,0)</f>
        <v>بنجلاديش</v>
      </c>
      <c r="E13" s="9" t="str">
        <f>VLOOKUP(B13,'[2]المقيمين النشطين'!$B$2:$Q$980,15,0)</f>
        <v>مؤسسة سلطان عبدالرحمن صالح الرزيحي للتجارة</v>
      </c>
      <c r="F13" s="9" t="str">
        <f>VLOOKUP(B13,'[1]اسماء الموظفين'!$B$8:$O$501,11,0)</f>
        <v>جملة سلطان/السويلم</v>
      </c>
      <c r="G13" s="11">
        <f>VLOOKUP(B13,'[3]رواتب الموظفين 2022'!$B$9:$J$1019,9,0)</f>
        <v>2200</v>
      </c>
      <c r="H13" s="11">
        <f>VLOOKUP(B13,'[3]رواتب الموظفين 2022'!$B$9:$E$438,4,0)*2%</f>
        <v>32</v>
      </c>
      <c r="I13" s="11">
        <f>1237.07/12</f>
        <v>103.08916666666666</v>
      </c>
      <c r="J13" s="11">
        <v>0</v>
      </c>
      <c r="K13" s="11">
        <f>G13/30*21/12</f>
        <v>128.33333333333334</v>
      </c>
      <c r="L13" s="11">
        <f>G13/2/12</f>
        <v>91.666666666666671</v>
      </c>
      <c r="M13" s="11">
        <f>1800/24</f>
        <v>75</v>
      </c>
      <c r="O13" s="10">
        <f>650/12</f>
        <v>54.166666666666664</v>
      </c>
      <c r="P13" s="10">
        <f>9700/12</f>
        <v>808.33333333333337</v>
      </c>
      <c r="Q13" s="10">
        <f>VLOOKUP(B13,[4]بيان!$B$6:$G$112,4,0)</f>
        <v>312.5</v>
      </c>
      <c r="R13" s="10">
        <f t="shared" si="7"/>
        <v>739.31702574525752</v>
      </c>
      <c r="S13" s="10">
        <f t="shared" si="0"/>
        <v>4544.4061924119242</v>
      </c>
      <c r="T13" s="10">
        <f t="shared" si="1"/>
        <v>54532.874308943094</v>
      </c>
    </row>
    <row r="14" spans="1:20" s="8" customFormat="1" ht="20.100000000000001" customHeight="1" x14ac:dyDescent="0.2">
      <c r="A14" s="9">
        <f t="shared" si="2"/>
        <v>11</v>
      </c>
      <c r="B14" s="9">
        <v>1011</v>
      </c>
      <c r="C14" s="9" t="str">
        <f>VLOOKUP(B14,'[1]اسماء الموظفين'!$B$8:$O$501,2,0)</f>
        <v>أيمن محمد فتحي خلف</v>
      </c>
      <c r="D14" s="9" t="str">
        <f>VLOOKUP(B14,'[1]اسماء الموظفين'!$B$8:$O$501,4,0)</f>
        <v>مصر</v>
      </c>
      <c r="E14" s="9" t="str">
        <f>VLOOKUP(B14,'[2]المقيمين النشطين'!$B$2:$Q$980,15,0)</f>
        <v>دوام جزئي</v>
      </c>
      <c r="F14" s="9" t="str">
        <f>VLOOKUP(B14,'[1]اسماء الموظفين'!$B$8:$O$501,11,0)</f>
        <v>الإدارة</v>
      </c>
      <c r="G14" s="11">
        <f>VLOOKUP(B14,'[3]رواتب الموظفين 2022'!$B$9:$J$1019,9,0)</f>
        <v>3000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8">
        <v>0</v>
      </c>
      <c r="O14" s="10">
        <v>0</v>
      </c>
      <c r="P14" s="10">
        <v>0</v>
      </c>
      <c r="Q14" s="10">
        <v>0</v>
      </c>
      <c r="R14" s="10">
        <v>0</v>
      </c>
      <c r="S14" s="10">
        <f t="shared" si="0"/>
        <v>3000</v>
      </c>
      <c r="T14" s="10">
        <f t="shared" si="1"/>
        <v>36000</v>
      </c>
    </row>
    <row r="15" spans="1:20" s="8" customFormat="1" ht="20.100000000000001" customHeight="1" x14ac:dyDescent="0.2">
      <c r="A15" s="9">
        <f t="shared" si="2"/>
        <v>12</v>
      </c>
      <c r="B15" s="9">
        <v>1012</v>
      </c>
      <c r="C15" s="9" t="str">
        <f>VLOOKUP(B15,'[1]اسماء الموظفين'!$B$8:$O$501,2,0)</f>
        <v>نوبي امير شيخ</v>
      </c>
      <c r="D15" s="9" t="str">
        <f>VLOOKUP(B15,'[1]اسماء الموظفين'!$B$8:$O$501,4,0)</f>
        <v>الهند</v>
      </c>
      <c r="E15" s="9" t="str">
        <f>VLOOKUP(B15,'[2]المقيمين النشطين'!$B$2:$Q$980,15,0)</f>
        <v>شركة ريال البركة للتجارة</v>
      </c>
      <c r="F15" s="9" t="str">
        <f>VLOOKUP(B15,'[1]اسماء الموظفين'!$B$8:$O$501,11,0)</f>
        <v>العنود</v>
      </c>
      <c r="G15" s="11">
        <f>VLOOKUP(B15,'[3]رواتب الموظفين 2022'!$B$9:$J$1019,9,0)</f>
        <v>1900</v>
      </c>
      <c r="H15" s="11">
        <f>VLOOKUP(B15,'[3]رواتب الموظفين 2022'!$B$9:$E$438,4,0)*2%</f>
        <v>28</v>
      </c>
      <c r="I15" s="11">
        <f>480/12</f>
        <v>40</v>
      </c>
      <c r="J15" s="11">
        <v>0</v>
      </c>
      <c r="K15" s="11">
        <f t="shared" ref="K15:K46" si="8">G15/30*21/12</f>
        <v>110.83333333333333</v>
      </c>
      <c r="L15" s="11">
        <f t="shared" ref="L15:L46" si="9">G15/2/12</f>
        <v>79.166666666666671</v>
      </c>
      <c r="M15" s="11">
        <f>1800/24</f>
        <v>75</v>
      </c>
      <c r="O15" s="10">
        <f>650/12</f>
        <v>54.166666666666664</v>
      </c>
      <c r="P15" s="10">
        <f>9700/12</f>
        <v>808.33333333333337</v>
      </c>
      <c r="Q15" s="10">
        <f>VLOOKUP(B15,[4]بيان!$B$6:$G$112,4,0)</f>
        <v>325</v>
      </c>
      <c r="R15" s="10">
        <f>$K$329</f>
        <v>739.31702574525752</v>
      </c>
      <c r="S15" s="10">
        <f t="shared" si="0"/>
        <v>4159.8170257452575</v>
      </c>
      <c r="T15" s="10">
        <f t="shared" si="1"/>
        <v>49917.804308943087</v>
      </c>
    </row>
    <row r="16" spans="1:20" s="8" customFormat="1" ht="20.100000000000001" customHeight="1" x14ac:dyDescent="0.2">
      <c r="A16" s="9">
        <f t="shared" si="2"/>
        <v>13</v>
      </c>
      <c r="B16" s="9">
        <v>1015</v>
      </c>
      <c r="C16" s="9" t="str">
        <f>VLOOKUP(B16,'[1]اسماء الموظفين'!$B$8:$O$501,2,0)</f>
        <v>عجيب بيلافي</v>
      </c>
      <c r="D16" s="9" t="str">
        <f>VLOOKUP(B16,'[1]اسماء الموظفين'!$B$8:$O$501,4,0)</f>
        <v>الهند</v>
      </c>
      <c r="E16" s="9" t="str">
        <f>VLOOKUP(B16,'[2]المقيمين النشطين'!$B$2:$Q$980,15,0)</f>
        <v>شركة ريال البركة للتجارة</v>
      </c>
      <c r="F16" s="9" t="str">
        <f>VLOOKUP(B16,'[1]اسماء الموظفين'!$B$8:$O$501,11,0)</f>
        <v>جملة ريال البركة</v>
      </c>
      <c r="G16" s="11">
        <f>VLOOKUP(B16,'[3]رواتب الموظفين 2022'!$B$9:$J$1019,9,0)</f>
        <v>2500</v>
      </c>
      <c r="H16" s="11">
        <f>VLOOKUP(B16,'[3]رواتب الموظفين 2022'!$B$9:$E$438,4,0)*2%</f>
        <v>32</v>
      </c>
      <c r="I16" s="11">
        <f>145.38/12</f>
        <v>12.115</v>
      </c>
      <c r="J16" s="11">
        <v>0</v>
      </c>
      <c r="K16" s="11">
        <f t="shared" si="8"/>
        <v>145.83333333333334</v>
      </c>
      <c r="L16" s="11">
        <f t="shared" si="9"/>
        <v>104.16666666666667</v>
      </c>
      <c r="M16" s="11">
        <f>1800/24</f>
        <v>75</v>
      </c>
      <c r="O16" s="10">
        <f>650/12</f>
        <v>54.166666666666664</v>
      </c>
      <c r="P16" s="10">
        <f>9700/12</f>
        <v>808.33333333333337</v>
      </c>
      <c r="Q16" s="10">
        <f>VLOOKUP(B16,[4]بيان!$B$6:$G$112,4,0)</f>
        <v>96.491228070175438</v>
      </c>
      <c r="R16" s="10">
        <f>$K$329</f>
        <v>739.31702574525752</v>
      </c>
      <c r="S16" s="10">
        <f t="shared" si="0"/>
        <v>4567.4232538154329</v>
      </c>
      <c r="T16" s="10">
        <f t="shared" si="1"/>
        <v>54809.079045785198</v>
      </c>
    </row>
    <row r="17" spans="1:20" s="8" customFormat="1" ht="20.100000000000001" customHeight="1" x14ac:dyDescent="0.2">
      <c r="A17" s="9">
        <f t="shared" si="2"/>
        <v>14</v>
      </c>
      <c r="B17" s="9">
        <v>1016</v>
      </c>
      <c r="C17" s="9" t="str">
        <f>VLOOKUP(B17,'[1]اسماء الموظفين'!$B$8:$O$501,2,0)</f>
        <v>معشوق أحمد أنصاري</v>
      </c>
      <c r="D17" s="9" t="str">
        <f>VLOOKUP(B17,'[1]اسماء الموظفين'!$B$8:$O$501,4,0)</f>
        <v>هندي</v>
      </c>
      <c r="E17" s="9" t="str">
        <f>VLOOKUP(B17,'[2]المقيمين النشطين'!$B$2:$Q$980,15,0)</f>
        <v>سعد عبدالرحمن صالح الرزيحي</v>
      </c>
      <c r="F17" s="9" t="str">
        <f>VLOOKUP(B17,'[1]اسماء الموظفين'!$B$8:$O$501,11,0)</f>
        <v>الإستراحة</v>
      </c>
      <c r="G17" s="11">
        <f>VLOOKUP(B17,'[3]رواتب الموظفين 2022'!$B$9:$J$1019,9,0)</f>
        <v>1800</v>
      </c>
      <c r="H17" s="11">
        <v>0</v>
      </c>
      <c r="I17" s="11">
        <v>0</v>
      </c>
      <c r="J17" s="11">
        <v>0</v>
      </c>
      <c r="K17" s="11">
        <f t="shared" si="8"/>
        <v>105</v>
      </c>
      <c r="L17" s="11">
        <f t="shared" si="9"/>
        <v>75</v>
      </c>
      <c r="M17" s="11">
        <f>1800/24</f>
        <v>75</v>
      </c>
      <c r="O17" s="10">
        <f>600/12</f>
        <v>50</v>
      </c>
      <c r="P17" s="10"/>
      <c r="Q17" s="10">
        <v>0</v>
      </c>
      <c r="R17" s="10">
        <v>0</v>
      </c>
      <c r="S17" s="10">
        <f t="shared" si="0"/>
        <v>2105</v>
      </c>
      <c r="T17" s="10">
        <f t="shared" si="1"/>
        <v>25260</v>
      </c>
    </row>
    <row r="18" spans="1:20" s="8" customFormat="1" ht="20.100000000000001" customHeight="1" x14ac:dyDescent="0.2">
      <c r="A18" s="9">
        <f t="shared" si="2"/>
        <v>15</v>
      </c>
      <c r="B18" s="9">
        <v>1017</v>
      </c>
      <c r="C18" s="9" t="str">
        <f>VLOOKUP(B18,'[1]اسماء الموظفين'!$B$8:$O$501,2,0)</f>
        <v>جهانقير عبد الرزاق بادي</v>
      </c>
      <c r="D18" s="9" t="str">
        <f>VLOOKUP(B18,'[1]اسماء الموظفين'!$B$8:$O$501,4,0)</f>
        <v>بنجلاديش</v>
      </c>
      <c r="E18" s="9" t="str">
        <f>VLOOKUP(B18,'[2]المقيمين النشطين'!$B$2:$Q$980,15,0)</f>
        <v>شركة ريال البركة للتجارة</v>
      </c>
      <c r="F18" s="9" t="str">
        <f>VLOOKUP(B18,'[1]اسماء الموظفين'!$B$8:$O$501,11,0)</f>
        <v>الدائري الغربي</v>
      </c>
      <c r="G18" s="11">
        <f>VLOOKUP(B18,'[3]رواتب الموظفين 2022'!$B$9:$J$1019,9,0)</f>
        <v>2000</v>
      </c>
      <c r="H18" s="11">
        <f>VLOOKUP(B18,'[3]رواتب الموظفين 2022'!$B$9:$E$438,4,0)*2%</f>
        <v>26</v>
      </c>
      <c r="I18" s="11">
        <f>367/12</f>
        <v>30.583333333333332</v>
      </c>
      <c r="J18" s="11">
        <v>0</v>
      </c>
      <c r="K18" s="11">
        <f t="shared" si="8"/>
        <v>116.66666666666667</v>
      </c>
      <c r="L18" s="11">
        <f t="shared" si="9"/>
        <v>83.333333333333329</v>
      </c>
      <c r="M18" s="11">
        <f>1800/24</f>
        <v>75</v>
      </c>
      <c r="O18" s="10">
        <f t="shared" ref="O18:O23" si="10">650/12</f>
        <v>54.166666666666664</v>
      </c>
      <c r="P18" s="10">
        <f>9700/12</f>
        <v>808.33333333333337</v>
      </c>
      <c r="Q18" s="10">
        <f>VLOOKUP(B18,[4]بيان!$B$6:$G$112,4,0)</f>
        <v>291.66666666666669</v>
      </c>
      <c r="R18" s="10">
        <f>$K$329</f>
        <v>739.31702574525752</v>
      </c>
      <c r="S18" s="10">
        <f t="shared" si="0"/>
        <v>4225.0670257452575</v>
      </c>
      <c r="T18" s="10">
        <f t="shared" si="1"/>
        <v>50700.804308943087</v>
      </c>
    </row>
    <row r="19" spans="1:20" s="8" customFormat="1" ht="20.100000000000001" customHeight="1" x14ac:dyDescent="0.2">
      <c r="A19" s="9">
        <f t="shared" si="2"/>
        <v>16</v>
      </c>
      <c r="B19" s="9">
        <v>1018</v>
      </c>
      <c r="C19" s="9" t="str">
        <f>VLOOKUP(B19,'[1]اسماء الموظفين'!$B$8:$O$501,2,0)</f>
        <v>محمد عبدالله محمد الحبجي</v>
      </c>
      <c r="D19" s="9" t="str">
        <f>VLOOKUP(B19,'[1]اسماء الموظفين'!$B$8:$O$501,4,0)</f>
        <v>اليمن</v>
      </c>
      <c r="E19" s="9" t="str">
        <f>VLOOKUP(B19,'[2]المقيمين النشطين'!$B$2:$Q$980,15,0)</f>
        <v>شركة ريال البركة للتجارة</v>
      </c>
      <c r="F19" s="9" t="str">
        <f>VLOOKUP(B19,'[1]اسماء الموظفين'!$B$8:$O$501,11,0)</f>
        <v>الإدارة</v>
      </c>
      <c r="G19" s="11">
        <f>VLOOKUP(B19,'[3]رواتب الموظفين 2022'!$B$9:$J$1019,9,0)</f>
        <v>5500</v>
      </c>
      <c r="H19" s="11">
        <f>VLOOKUP(B19,'[3]رواتب الموظفين 2022'!$B$9:$E$438,4,0)*2%</f>
        <v>44</v>
      </c>
      <c r="I19" s="11"/>
      <c r="J19" s="11">
        <v>0</v>
      </c>
      <c r="K19" s="11">
        <f t="shared" si="8"/>
        <v>320.83333333333331</v>
      </c>
      <c r="L19" s="11">
        <f t="shared" si="9"/>
        <v>229.16666666666666</v>
      </c>
      <c r="M19" s="11">
        <f>1500/12</f>
        <v>125</v>
      </c>
      <c r="O19" s="10">
        <f t="shared" si="10"/>
        <v>54.166666666666664</v>
      </c>
      <c r="P19" s="10">
        <f>9700/12</f>
        <v>808.33333333333337</v>
      </c>
      <c r="Q19" s="10">
        <v>0</v>
      </c>
      <c r="R19" s="10">
        <f>$K$329</f>
        <v>739.31702574525752</v>
      </c>
      <c r="S19" s="10">
        <f t="shared" si="0"/>
        <v>7820.8170257452575</v>
      </c>
      <c r="T19" s="10">
        <f t="shared" si="1"/>
        <v>93849.804308943087</v>
      </c>
    </row>
    <row r="20" spans="1:20" s="8" customFormat="1" ht="20.100000000000001" customHeight="1" x14ac:dyDescent="0.2">
      <c r="A20" s="9">
        <f t="shared" si="2"/>
        <v>17</v>
      </c>
      <c r="B20" s="9">
        <v>1019</v>
      </c>
      <c r="C20" s="9" t="str">
        <f>VLOOKUP(B20,'[1]اسماء الموظفين'!$B$8:$O$501,2,0)</f>
        <v>رؤوف انصاري سفيدة</v>
      </c>
      <c r="D20" s="9" t="str">
        <f>VLOOKUP(B20,'[1]اسماء الموظفين'!$B$8:$O$501,4,0)</f>
        <v>نيبال</v>
      </c>
      <c r="E20" s="9" t="str">
        <f>VLOOKUP(B20,'[2]المقيمين النشطين'!$B$2:$Q$980,15,0)</f>
        <v>شركة ريال البركة للتجارة</v>
      </c>
      <c r="F20" s="9" t="str">
        <f>VLOOKUP(B20,'[1]اسماء الموظفين'!$B$8:$O$501,11,0)</f>
        <v>المصنع</v>
      </c>
      <c r="G20" s="11">
        <f>VLOOKUP(B20,'[3]رواتب الموظفين 2022'!$B$9:$J$1019,9,0)</f>
        <v>2000</v>
      </c>
      <c r="H20" s="11">
        <f>VLOOKUP(B20,'[3]رواتب الموظفين 2022'!$B$9:$E$438,4,0)*2%</f>
        <v>28</v>
      </c>
      <c r="I20" s="11">
        <f>480/12</f>
        <v>40</v>
      </c>
      <c r="J20" s="11">
        <f>1251.55/12</f>
        <v>104.29583333333333</v>
      </c>
      <c r="K20" s="11">
        <f t="shared" si="8"/>
        <v>116.66666666666667</v>
      </c>
      <c r="L20" s="11">
        <f t="shared" si="9"/>
        <v>83.333333333333329</v>
      </c>
      <c r="M20" s="11">
        <f>1800/24</f>
        <v>75</v>
      </c>
      <c r="O20" s="10">
        <f t="shared" si="10"/>
        <v>54.166666666666664</v>
      </c>
      <c r="P20" s="10">
        <f>9700/12</f>
        <v>808.33333333333337</v>
      </c>
      <c r="Q20" s="10">
        <v>0</v>
      </c>
      <c r="R20" s="10">
        <f>$K$329</f>
        <v>739.31702574525752</v>
      </c>
      <c r="S20" s="10">
        <f t="shared" si="0"/>
        <v>4049.1128590785906</v>
      </c>
      <c r="T20" s="10">
        <f t="shared" si="1"/>
        <v>48589.35430894309</v>
      </c>
    </row>
    <row r="21" spans="1:20" s="8" customFormat="1" ht="20.100000000000001" customHeight="1" x14ac:dyDescent="0.2">
      <c r="A21" s="9">
        <f t="shared" si="2"/>
        <v>18</v>
      </c>
      <c r="B21" s="9">
        <v>1020</v>
      </c>
      <c r="C21" s="9" t="str">
        <f>VLOOKUP(B21,'[1]اسماء الموظفين'!$B$8:$O$501,2,0)</f>
        <v>محمد فاروق خليل</v>
      </c>
      <c r="D21" s="9" t="str">
        <f>VLOOKUP(B21,'[1]اسماء الموظفين'!$B$8:$O$501,4,0)</f>
        <v>الهند</v>
      </c>
      <c r="E21" s="9" t="str">
        <f>VLOOKUP(B21,'[2]المقيمين النشطين'!$B$2:$Q$980,15,0)</f>
        <v>عبدالرحمن سلطان الرزيحي</v>
      </c>
      <c r="F21" s="9" t="str">
        <f>VLOOKUP(B21,'[1]اسماء الموظفين'!$B$8:$O$501,11,0)</f>
        <v>المصنع</v>
      </c>
      <c r="G21" s="11">
        <f>VLOOKUP(B21,'[3]رواتب الموظفين 2022'!$B$9:$J$1019,9,0)</f>
        <v>1700</v>
      </c>
      <c r="H21" s="11">
        <v>0</v>
      </c>
      <c r="I21" s="11">
        <v>0</v>
      </c>
      <c r="J21" s="11">
        <v>0</v>
      </c>
      <c r="K21" s="11">
        <f t="shared" si="8"/>
        <v>99.166666666666671</v>
      </c>
      <c r="L21" s="11">
        <f t="shared" si="9"/>
        <v>70.833333333333329</v>
      </c>
      <c r="M21" s="11">
        <f>1800/24</f>
        <v>75</v>
      </c>
      <c r="O21" s="10">
        <f t="shared" si="10"/>
        <v>54.166666666666664</v>
      </c>
      <c r="P21" s="10">
        <v>0</v>
      </c>
      <c r="Q21" s="10">
        <v>0</v>
      </c>
      <c r="R21" s="10">
        <v>0</v>
      </c>
      <c r="S21" s="10">
        <f t="shared" si="0"/>
        <v>1999.1666666666667</v>
      </c>
      <c r="T21" s="10">
        <f t="shared" si="1"/>
        <v>23990</v>
      </c>
    </row>
    <row r="22" spans="1:20" s="8" customFormat="1" ht="20.100000000000001" customHeight="1" x14ac:dyDescent="0.2">
      <c r="A22" s="9">
        <f t="shared" si="2"/>
        <v>19</v>
      </c>
      <c r="B22" s="9">
        <v>1021</v>
      </c>
      <c r="C22" s="9" t="str">
        <f>VLOOKUP(B22,'[1]اسماء الموظفين'!$B$8:$O$501,2,0)</f>
        <v>ياسر عبدالولي قايد الغابري</v>
      </c>
      <c r="D22" s="9" t="str">
        <f>VLOOKUP(B22,'[1]اسماء الموظفين'!$B$8:$O$501,4,0)</f>
        <v>اليمن</v>
      </c>
      <c r="E22" s="9" t="str">
        <f>VLOOKUP(B22,'[2]المقيمين النشطين'!$B$2:$Q$980,15,0)</f>
        <v>شركة ريال البركة للتجارة</v>
      </c>
      <c r="F22" s="9" t="str">
        <f>VLOOKUP(B22,'[1]اسماء الموظفين'!$B$8:$O$501,11,0)</f>
        <v>وكالة ممكن</v>
      </c>
      <c r="G22" s="11">
        <f>VLOOKUP(B22,'[3]رواتب الموظفين 2022'!$B$9:$J$1019,9,0)</f>
        <v>8000</v>
      </c>
      <c r="H22" s="11">
        <f>VLOOKUP(B22,'[3]رواتب الموظفين 2022'!$B$9:$E$438,4,0)*2%</f>
        <v>72</v>
      </c>
      <c r="I22" s="11">
        <f>1824+517/12</f>
        <v>1867.0833333333333</v>
      </c>
      <c r="J22" s="11">
        <v>0</v>
      </c>
      <c r="K22" s="11">
        <f t="shared" si="8"/>
        <v>466.66666666666669</v>
      </c>
      <c r="L22" s="11">
        <f t="shared" si="9"/>
        <v>333.33333333333331</v>
      </c>
      <c r="M22" s="11">
        <f>1500/12</f>
        <v>125</v>
      </c>
      <c r="O22" s="10">
        <f t="shared" si="10"/>
        <v>54.166666666666664</v>
      </c>
      <c r="P22" s="10">
        <f>9700/12</f>
        <v>808.33333333333337</v>
      </c>
      <c r="Q22" s="10">
        <f>7000/12</f>
        <v>583.33333333333337</v>
      </c>
      <c r="R22" s="10">
        <f>$K$329</f>
        <v>739.31702574525752</v>
      </c>
      <c r="S22" s="10">
        <f t="shared" si="0"/>
        <v>13049.233692411926</v>
      </c>
      <c r="T22" s="10">
        <f t="shared" si="1"/>
        <v>156590.8043089431</v>
      </c>
    </row>
    <row r="23" spans="1:20" s="8" customFormat="1" ht="20.100000000000001" customHeight="1" x14ac:dyDescent="0.2">
      <c r="A23" s="9">
        <f t="shared" si="2"/>
        <v>20</v>
      </c>
      <c r="B23" s="9">
        <v>1022</v>
      </c>
      <c r="C23" s="9" t="str">
        <f>VLOOKUP(B23,'[1]اسماء الموظفين'!$B$8:$O$501,2,0)</f>
        <v>عمر احمد علي الشامي</v>
      </c>
      <c r="D23" s="9" t="str">
        <f>VLOOKUP(B23,'[1]اسماء الموظفين'!$B$8:$O$501,4,0)</f>
        <v>اليمن</v>
      </c>
      <c r="E23" s="9" t="str">
        <f>VLOOKUP(B23,'[2]المقيمين النشطين'!$B$2:$Q$980,15,0)</f>
        <v>شركة ريال البركة للتجارة</v>
      </c>
      <c r="F23" s="9" t="str">
        <f>VLOOKUP(B23,'[1]اسماء الموظفين'!$B$8:$O$501,11,0)</f>
        <v>جملة ريال البركة</v>
      </c>
      <c r="G23" s="11">
        <f>VLOOKUP(B23,'[3]رواتب الموظفين 2022'!$B$9:$J$1019,9,0)</f>
        <v>5000</v>
      </c>
      <c r="H23" s="11">
        <f>VLOOKUP(B23,'[3]رواتب الموظفين 2022'!$B$9:$E$438,4,0)*2%</f>
        <v>44</v>
      </c>
      <c r="I23" s="11"/>
      <c r="J23" s="11">
        <v>0</v>
      </c>
      <c r="K23" s="11">
        <f t="shared" si="8"/>
        <v>291.66666666666669</v>
      </c>
      <c r="L23" s="11">
        <f t="shared" si="9"/>
        <v>208.33333333333334</v>
      </c>
      <c r="M23" s="11">
        <f>1500/24</f>
        <v>62.5</v>
      </c>
      <c r="O23" s="10">
        <f t="shared" si="10"/>
        <v>54.166666666666664</v>
      </c>
      <c r="P23" s="10">
        <f>9700/12</f>
        <v>808.33333333333337</v>
      </c>
      <c r="Q23" s="10">
        <v>0</v>
      </c>
      <c r="R23" s="10">
        <f>$K$329</f>
        <v>739.31702574525752</v>
      </c>
      <c r="S23" s="10">
        <f t="shared" si="0"/>
        <v>7208.3170257452575</v>
      </c>
      <c r="T23" s="10">
        <f t="shared" si="1"/>
        <v>86499.804308943087</v>
      </c>
    </row>
    <row r="24" spans="1:20" s="8" customFormat="1" ht="20.100000000000001" customHeight="1" x14ac:dyDescent="0.2">
      <c r="A24" s="9">
        <f t="shared" si="2"/>
        <v>21</v>
      </c>
      <c r="B24" s="9">
        <v>1023</v>
      </c>
      <c r="C24" s="9" t="str">
        <f>VLOOKUP(B24,'[1]اسماء الموظفين'!$B$8:$O$501,2,0)</f>
        <v>عبدالرحمن سلطان الرزيحي</v>
      </c>
      <c r="D24" s="9" t="str">
        <f>VLOOKUP(B24,'[1]اسماء الموظفين'!$B$8:$O$501,4,0)</f>
        <v>سعودي</v>
      </c>
      <c r="E24" s="9" t="str">
        <f>VLOOKUP(B24,'[2]المقيمين النشطين'!$B$2:$Q$980,15,0)</f>
        <v>شركة ريال البركة للتجارة</v>
      </c>
      <c r="F24" s="9" t="str">
        <f>VLOOKUP(B24,'[1]اسماء الموظفين'!$B$8:$O$501,11,0)</f>
        <v>الإدارة</v>
      </c>
      <c r="G24" s="11">
        <f>VLOOKUP(B24,'[3]رواتب الموظفين 2022'!$B$9:$J$1019,9,0)</f>
        <v>65000</v>
      </c>
      <c r="H24" s="11">
        <f>VLOOKUP(B24,'[3]رواتب الموظفين 2022'!$B$9:$E$438,4,0)*2%</f>
        <v>192</v>
      </c>
      <c r="I24" s="11">
        <v>0</v>
      </c>
      <c r="J24" s="11">
        <v>0</v>
      </c>
      <c r="K24" s="11">
        <f t="shared" si="8"/>
        <v>3791.6666666666665</v>
      </c>
      <c r="L24" s="11">
        <f t="shared" si="9"/>
        <v>2708.3333333333335</v>
      </c>
      <c r="M24" s="11">
        <v>0</v>
      </c>
      <c r="O24" s="10">
        <v>0</v>
      </c>
      <c r="P24" s="10">
        <v>0</v>
      </c>
      <c r="Q24" s="10">
        <v>0</v>
      </c>
      <c r="R24" s="10">
        <v>0</v>
      </c>
      <c r="S24" s="10">
        <f t="shared" si="0"/>
        <v>71692</v>
      </c>
      <c r="T24" s="10">
        <f t="shared" si="1"/>
        <v>860304</v>
      </c>
    </row>
    <row r="25" spans="1:20" s="8" customFormat="1" ht="20.100000000000001" customHeight="1" x14ac:dyDescent="0.2">
      <c r="A25" s="9">
        <f t="shared" si="2"/>
        <v>22</v>
      </c>
      <c r="B25" s="9">
        <v>1024</v>
      </c>
      <c r="C25" s="9" t="str">
        <f>VLOOKUP(B25,'[1]اسماء الموظفين'!$B$8:$O$501,2,0)</f>
        <v>إسماعيل دحدوح مياه</v>
      </c>
      <c r="D25" s="9" t="str">
        <f>VLOOKUP(B25,'[1]اسماء الموظفين'!$B$8:$O$501,4,0)</f>
        <v>بنجلاديش</v>
      </c>
      <c r="E25" s="9" t="str">
        <f>VLOOKUP(B25,'[2]المقيمين النشطين'!$B$2:$Q$980,15,0)</f>
        <v>شركة ريال البركة للتجارة</v>
      </c>
      <c r="F25" s="9" t="str">
        <f>VLOOKUP(B25,'[1]اسماء الموظفين'!$B$8:$O$501,11,0)</f>
        <v>جملة ريال البركة</v>
      </c>
      <c r="G25" s="11">
        <f>VLOOKUP(B25,'[3]رواتب الموظفين 2022'!$B$9:$J$1019,9,0)</f>
        <v>1800</v>
      </c>
      <c r="H25" s="11">
        <f>VLOOKUP(B25,'[3]رواتب الموظفين 2022'!$B$9:$E$438,4,0)*2%</f>
        <v>26</v>
      </c>
      <c r="I25" s="11">
        <f>480/12</f>
        <v>40</v>
      </c>
      <c r="J25" s="11">
        <v>0</v>
      </c>
      <c r="K25" s="11">
        <f t="shared" si="8"/>
        <v>105</v>
      </c>
      <c r="L25" s="11">
        <f t="shared" si="9"/>
        <v>75</v>
      </c>
      <c r="M25" s="11">
        <f t="shared" ref="M25:M32" si="11">1800/24</f>
        <v>75</v>
      </c>
      <c r="O25" s="10">
        <f t="shared" ref="O25:O33" si="12">650/12</f>
        <v>54.166666666666664</v>
      </c>
      <c r="P25" s="10">
        <f t="shared" ref="P25:P33" si="13">9700/12</f>
        <v>808.33333333333337</v>
      </c>
      <c r="Q25" s="10">
        <v>0</v>
      </c>
      <c r="R25" s="10">
        <f t="shared" ref="R25:R31" si="14">$K$329</f>
        <v>739.31702574525752</v>
      </c>
      <c r="S25" s="10">
        <f t="shared" si="0"/>
        <v>3722.8170257452575</v>
      </c>
      <c r="T25" s="10">
        <f t="shared" si="1"/>
        <v>44673.804308943087</v>
      </c>
    </row>
    <row r="26" spans="1:20" s="8" customFormat="1" ht="20.100000000000001" customHeight="1" x14ac:dyDescent="0.2">
      <c r="A26" s="9">
        <f t="shared" si="2"/>
        <v>23</v>
      </c>
      <c r="B26" s="9">
        <v>1025</v>
      </c>
      <c r="C26" s="9" t="str">
        <f>VLOOKUP(B26,'[1]اسماء الموظفين'!$B$8:$O$501,2,0)</f>
        <v>فرهد حسين</v>
      </c>
      <c r="D26" s="9" t="str">
        <f>VLOOKUP(B26,'[1]اسماء الموظفين'!$B$8:$O$501,4,0)</f>
        <v>بنجلاديش</v>
      </c>
      <c r="E26" s="9" t="str">
        <f>VLOOKUP(B26,'[2]المقيمين النشطين'!$B$2:$Q$980,15,0)</f>
        <v>شركة ريال البركة للتجارة</v>
      </c>
      <c r="F26" s="9" t="str">
        <f>VLOOKUP(B26,'[1]اسماء الموظفين'!$B$8:$O$501,11,0)</f>
        <v>الدائري الغربي</v>
      </c>
      <c r="G26" s="11">
        <f>VLOOKUP(B26,'[3]رواتب الموظفين 2022'!$B$9:$J$1019,9,0)</f>
        <v>2500</v>
      </c>
      <c r="H26" s="11">
        <f>VLOOKUP(B26,'[3]رواتب الموظفين 2022'!$B$9:$E$438,4,0)*2%</f>
        <v>36</v>
      </c>
      <c r="I26" s="11">
        <f>245/12</f>
        <v>20.416666666666668</v>
      </c>
      <c r="J26" s="11">
        <f>220/12</f>
        <v>18.333333333333332</v>
      </c>
      <c r="K26" s="11">
        <f t="shared" si="8"/>
        <v>145.83333333333334</v>
      </c>
      <c r="L26" s="11">
        <f t="shared" si="9"/>
        <v>104.16666666666667</v>
      </c>
      <c r="M26" s="11">
        <f t="shared" si="11"/>
        <v>75</v>
      </c>
      <c r="O26" s="10">
        <f t="shared" si="12"/>
        <v>54.166666666666664</v>
      </c>
      <c r="P26" s="10">
        <f t="shared" si="13"/>
        <v>808.33333333333337</v>
      </c>
      <c r="Q26" s="10">
        <f>VLOOKUP(B26,[4]بيان!$B$6:$G$112,4,0)</f>
        <v>183.33333333333334</v>
      </c>
      <c r="R26" s="10">
        <f t="shared" si="14"/>
        <v>739.31702574525752</v>
      </c>
      <c r="S26" s="10">
        <f t="shared" si="0"/>
        <v>4684.9003590785906</v>
      </c>
      <c r="T26" s="10">
        <f t="shared" si="1"/>
        <v>56218.804308943087</v>
      </c>
    </row>
    <row r="27" spans="1:20" s="8" customFormat="1" ht="20.100000000000001" customHeight="1" x14ac:dyDescent="0.2">
      <c r="A27" s="9">
        <f t="shared" si="2"/>
        <v>24</v>
      </c>
      <c r="B27" s="9">
        <v>1026</v>
      </c>
      <c r="C27" s="9" t="str">
        <f>VLOOKUP(B27,'[1]اسماء الموظفين'!$B$8:$O$501,2,0)</f>
        <v>أنور حسين</v>
      </c>
      <c r="D27" s="9" t="str">
        <f>VLOOKUP(B27,'[1]اسماء الموظفين'!$B$8:$O$501,4,0)</f>
        <v>بنجلاديش</v>
      </c>
      <c r="E27" s="9" t="str">
        <f>VLOOKUP(B27,'[2]المقيمين النشطين'!$B$2:$Q$980,15,0)</f>
        <v>شركة ريال البركة للتجارة</v>
      </c>
      <c r="F27" s="9" t="str">
        <f>VLOOKUP(B27,'[1]اسماء الموظفين'!$B$8:$O$501,11,0)</f>
        <v>النسيم</v>
      </c>
      <c r="G27" s="11">
        <f>VLOOKUP(B27,'[3]رواتب الموظفين 2022'!$B$9:$J$1019,9,0)</f>
        <v>1950</v>
      </c>
      <c r="H27" s="11">
        <f>VLOOKUP(B27,'[3]رواتب الموظفين 2022'!$B$9:$E$438,4,0)*2%</f>
        <v>26</v>
      </c>
      <c r="I27" s="11">
        <f>245/12</f>
        <v>20.416666666666668</v>
      </c>
      <c r="J27" s="11">
        <v>0</v>
      </c>
      <c r="K27" s="11">
        <f t="shared" si="8"/>
        <v>113.75</v>
      </c>
      <c r="L27" s="11">
        <f t="shared" si="9"/>
        <v>81.25</v>
      </c>
      <c r="M27" s="11">
        <f t="shared" si="11"/>
        <v>75</v>
      </c>
      <c r="O27" s="10">
        <f t="shared" si="12"/>
        <v>54.166666666666664</v>
      </c>
      <c r="P27" s="10">
        <f t="shared" si="13"/>
        <v>808.33333333333337</v>
      </c>
      <c r="Q27" s="10">
        <f>VLOOKUP(B27,[4]بيان!$B$6:$G$112,4,0)</f>
        <v>291.66666666666669</v>
      </c>
      <c r="R27" s="10">
        <f t="shared" si="14"/>
        <v>739.31702574525752</v>
      </c>
      <c r="S27" s="10">
        <f t="shared" si="0"/>
        <v>4159.9003590785906</v>
      </c>
      <c r="T27" s="10">
        <f t="shared" si="1"/>
        <v>49918.804308943087</v>
      </c>
    </row>
    <row r="28" spans="1:20" s="8" customFormat="1" ht="20.100000000000001" customHeight="1" x14ac:dyDescent="0.2">
      <c r="A28" s="9">
        <f t="shared" si="2"/>
        <v>25</v>
      </c>
      <c r="B28" s="9">
        <v>1027</v>
      </c>
      <c r="C28" s="9" t="str">
        <f>VLOOKUP(B28,'[1]اسماء الموظفين'!$B$8:$O$501,2,0)</f>
        <v>محمد شيمون</v>
      </c>
      <c r="D28" s="9" t="str">
        <f>VLOOKUP(B28,'[1]اسماء الموظفين'!$B$8:$O$501,4,0)</f>
        <v>بنجلاديش</v>
      </c>
      <c r="E28" s="9" t="str">
        <f>VLOOKUP(B28,'[2]المقيمين النشطين'!$B$2:$Q$980,15,0)</f>
        <v>شركة ريال البركة للتجارة</v>
      </c>
      <c r="F28" s="9" t="str">
        <f>VLOOKUP(B28,'[1]اسماء الموظفين'!$B$8:$O$501,11,0)</f>
        <v>الدائري الغربي</v>
      </c>
      <c r="G28" s="11">
        <f>VLOOKUP(B28,'[3]رواتب الموظفين 2022'!$B$9:$J$1019,9,0)</f>
        <v>2100</v>
      </c>
      <c r="H28" s="11">
        <f>VLOOKUP(B28,'[3]رواتب الموظفين 2022'!$B$9:$E$438,4,0)*2%</f>
        <v>28</v>
      </c>
      <c r="I28" s="11"/>
      <c r="J28" s="11">
        <f>220/12</f>
        <v>18.333333333333332</v>
      </c>
      <c r="K28" s="11">
        <f t="shared" si="8"/>
        <v>122.5</v>
      </c>
      <c r="L28" s="11">
        <f t="shared" si="9"/>
        <v>87.5</v>
      </c>
      <c r="M28" s="11">
        <f t="shared" si="11"/>
        <v>75</v>
      </c>
      <c r="O28" s="10">
        <f t="shared" si="12"/>
        <v>54.166666666666664</v>
      </c>
      <c r="P28" s="10">
        <f t="shared" si="13"/>
        <v>808.33333333333337</v>
      </c>
      <c r="Q28" s="10">
        <f>VLOOKUP(B28,[4]بيان!$B$6:$G$112,4,0)</f>
        <v>183.33333333333334</v>
      </c>
      <c r="R28" s="10">
        <f t="shared" si="14"/>
        <v>739.31702574525752</v>
      </c>
      <c r="S28" s="10">
        <f t="shared" si="0"/>
        <v>4216.4836924119245</v>
      </c>
      <c r="T28" s="10">
        <f t="shared" si="1"/>
        <v>50597.804308943094</v>
      </c>
    </row>
    <row r="29" spans="1:20" s="8" customFormat="1" ht="20.100000000000001" customHeight="1" x14ac:dyDescent="0.2">
      <c r="A29" s="9">
        <f t="shared" si="2"/>
        <v>26</v>
      </c>
      <c r="B29" s="9">
        <v>1028</v>
      </c>
      <c r="C29" s="9" t="str">
        <f>VLOOKUP(B29,'[1]اسماء الموظفين'!$B$8:$O$501,2,0)</f>
        <v>فاكي أحمد بري خان</v>
      </c>
      <c r="D29" s="9" t="str">
        <f>VLOOKUP(B29,'[1]اسماء الموظفين'!$B$8:$O$501,4,0)</f>
        <v>الهند</v>
      </c>
      <c r="E29" s="9" t="str">
        <f>VLOOKUP(B29,'[2]المقيمين النشطين'!$B$2:$Q$980,15,0)</f>
        <v>شركة ريال البركة للتجارة</v>
      </c>
      <c r="F29" s="9" t="str">
        <f>VLOOKUP(B29,'[1]اسماء الموظفين'!$B$8:$O$501,11,0)</f>
        <v>الدائري الغربي</v>
      </c>
      <c r="G29" s="11">
        <f>VLOOKUP(B29,'[3]رواتب الموظفين 2022'!$B$9:$J$1019,9,0)</f>
        <v>1900</v>
      </c>
      <c r="H29" s="11">
        <f>VLOOKUP(B29,'[3]رواتب الموظفين 2022'!$B$9:$E$438,4,0)*2%</f>
        <v>30</v>
      </c>
      <c r="I29" s="11">
        <f>367/12</f>
        <v>30.583333333333332</v>
      </c>
      <c r="J29" s="11">
        <f>220/12</f>
        <v>18.333333333333332</v>
      </c>
      <c r="K29" s="11">
        <f t="shared" si="8"/>
        <v>110.83333333333333</v>
      </c>
      <c r="L29" s="11">
        <f t="shared" si="9"/>
        <v>79.166666666666671</v>
      </c>
      <c r="M29" s="11">
        <f t="shared" si="11"/>
        <v>75</v>
      </c>
      <c r="O29" s="10">
        <f t="shared" si="12"/>
        <v>54.166666666666664</v>
      </c>
      <c r="P29" s="10">
        <f t="shared" si="13"/>
        <v>808.33333333333337</v>
      </c>
      <c r="Q29" s="10">
        <f>VLOOKUP(B29,[4]بيان!$B$6:$G$112,4,0)</f>
        <v>183.33333333333334</v>
      </c>
      <c r="R29" s="10">
        <f t="shared" si="14"/>
        <v>739.31702574525752</v>
      </c>
      <c r="S29" s="10">
        <f t="shared" si="0"/>
        <v>4029.0670257452575</v>
      </c>
      <c r="T29" s="10">
        <f t="shared" si="1"/>
        <v>48348.804308943087</v>
      </c>
    </row>
    <row r="30" spans="1:20" s="8" customFormat="1" ht="20.100000000000001" customHeight="1" x14ac:dyDescent="0.2">
      <c r="A30" s="9">
        <f t="shared" si="2"/>
        <v>27</v>
      </c>
      <c r="B30" s="9">
        <v>1029</v>
      </c>
      <c r="C30" s="9" t="str">
        <f>VLOOKUP(B30,'[1]اسماء الموظفين'!$B$8:$O$501,2,0)</f>
        <v>محمد رفيق الإسلام</v>
      </c>
      <c r="D30" s="9" t="str">
        <f>VLOOKUP(B30,'[1]اسماء الموظفين'!$B$8:$O$501,4,0)</f>
        <v>بنجلاديش</v>
      </c>
      <c r="E30" s="9" t="str">
        <f>VLOOKUP(B30,'[2]المقيمين النشطين'!$B$2:$Q$980,15,0)</f>
        <v>شركة ريال البركة للتجارة</v>
      </c>
      <c r="F30" s="9" t="str">
        <f>VLOOKUP(B30,'[1]اسماء الموظفين'!$B$8:$O$501,11,0)</f>
        <v>غرناطة</v>
      </c>
      <c r="G30" s="11">
        <f>VLOOKUP(B30,'[3]رواتب الموظفين 2022'!$B$9:$J$1019,9,0)</f>
        <v>2100</v>
      </c>
      <c r="H30" s="11">
        <f>VLOOKUP(B30,'[3]رواتب الموظفين 2022'!$B$9:$E$438,4,0)*2%</f>
        <v>26</v>
      </c>
      <c r="I30" s="11">
        <f>303/12</f>
        <v>25.25</v>
      </c>
      <c r="J30" s="11">
        <f>220/12</f>
        <v>18.333333333333332</v>
      </c>
      <c r="K30" s="11">
        <f t="shared" si="8"/>
        <v>122.5</v>
      </c>
      <c r="L30" s="11">
        <f t="shared" si="9"/>
        <v>87.5</v>
      </c>
      <c r="M30" s="11">
        <f t="shared" si="11"/>
        <v>75</v>
      </c>
      <c r="O30" s="10">
        <f t="shared" si="12"/>
        <v>54.166666666666664</v>
      </c>
      <c r="P30" s="10">
        <f t="shared" si="13"/>
        <v>808.33333333333337</v>
      </c>
      <c r="Q30" s="10">
        <f>VLOOKUP(B30,[4]بيان!$B$6:$G$112,4,0)</f>
        <v>187.5</v>
      </c>
      <c r="R30" s="10">
        <f t="shared" si="14"/>
        <v>739.31702574525752</v>
      </c>
      <c r="S30" s="10">
        <f t="shared" si="0"/>
        <v>4243.9003590785906</v>
      </c>
      <c r="T30" s="10">
        <f t="shared" si="1"/>
        <v>50926.804308943087</v>
      </c>
    </row>
    <row r="31" spans="1:20" s="8" customFormat="1" ht="20.100000000000001" customHeight="1" x14ac:dyDescent="0.2">
      <c r="A31" s="9">
        <f t="shared" si="2"/>
        <v>28</v>
      </c>
      <c r="B31" s="9">
        <v>1030</v>
      </c>
      <c r="C31" s="9" t="str">
        <f>VLOOKUP(B31,'[1]اسماء الموظفين'!$B$8:$O$501,2,0)</f>
        <v>ميدى حسن</v>
      </c>
      <c r="D31" s="9" t="str">
        <f>VLOOKUP(B31,'[1]اسماء الموظفين'!$B$8:$O$501,4,0)</f>
        <v>بنجلاديش</v>
      </c>
      <c r="E31" s="9" t="str">
        <f>VLOOKUP(B31,'[2]المقيمين النشطين'!$B$2:$Q$980,15,0)</f>
        <v>شركة ريال البركة للتجارة</v>
      </c>
      <c r="F31" s="9" t="str">
        <f>VLOOKUP(B31,'[1]اسماء الموظفين'!$B$8:$O$501,11,0)</f>
        <v>جملة ريال البركة</v>
      </c>
      <c r="G31" s="11">
        <f>VLOOKUP(B31,'[3]رواتب الموظفين 2022'!$B$9:$J$1019,9,0)</f>
        <v>2000</v>
      </c>
      <c r="H31" s="11">
        <f>VLOOKUP(B31,'[3]رواتب الموظفين 2022'!$B$9:$E$438,4,0)*2%</f>
        <v>26</v>
      </c>
      <c r="I31" s="11">
        <f>1030/12</f>
        <v>85.833333333333329</v>
      </c>
      <c r="J31" s="11">
        <v>0</v>
      </c>
      <c r="K31" s="11">
        <f t="shared" si="8"/>
        <v>116.66666666666667</v>
      </c>
      <c r="L31" s="11">
        <f t="shared" si="9"/>
        <v>83.333333333333329</v>
      </c>
      <c r="M31" s="11">
        <f t="shared" si="11"/>
        <v>75</v>
      </c>
      <c r="O31" s="10">
        <f t="shared" si="12"/>
        <v>54.166666666666664</v>
      </c>
      <c r="P31" s="10">
        <f t="shared" si="13"/>
        <v>808.33333333333337</v>
      </c>
      <c r="Q31" s="10">
        <v>0</v>
      </c>
      <c r="R31" s="10">
        <f t="shared" si="14"/>
        <v>739.31702574525752</v>
      </c>
      <c r="S31" s="10">
        <f t="shared" si="0"/>
        <v>3988.650359078591</v>
      </c>
      <c r="T31" s="10">
        <f t="shared" si="1"/>
        <v>47863.804308943094</v>
      </c>
    </row>
    <row r="32" spans="1:20" s="8" customFormat="1" ht="20.100000000000001" customHeight="1" x14ac:dyDescent="0.2">
      <c r="A32" s="9">
        <f t="shared" si="2"/>
        <v>29</v>
      </c>
      <c r="B32" s="9">
        <v>1031</v>
      </c>
      <c r="C32" s="9" t="str">
        <f>VLOOKUP(B32,'[1]اسماء الموظفين'!$B$8:$O$501,2,0)</f>
        <v>أبو بكر عبد اللطيف</v>
      </c>
      <c r="D32" s="9" t="str">
        <f>VLOOKUP(B32,'[1]اسماء الموظفين'!$B$8:$O$501,4,0)</f>
        <v>بنجلاديش</v>
      </c>
      <c r="E32" s="9" t="str">
        <f>VLOOKUP(B32,'[2]المقيمين النشطين'!$B$2:$Q$980,15,0)</f>
        <v>مؤسسة عبدالرحمن سلطان عبدالرحمن الرزيحي للتجارة</v>
      </c>
      <c r="F32" s="9" t="str">
        <f>VLOOKUP(B32,'[1]اسماء الموظفين'!$B$8:$O$501,11,0)</f>
        <v>الشفا</v>
      </c>
      <c r="G32" s="11">
        <f>VLOOKUP(B32,'[3]رواتب الموظفين 2022'!$B$9:$J$1019,9,0)</f>
        <v>1900</v>
      </c>
      <c r="H32" s="11">
        <f>VLOOKUP(B32,'[3]رواتب الموظفين 2022'!$B$9:$E$438,4,0)*2%</f>
        <v>26</v>
      </c>
      <c r="I32" s="11"/>
      <c r="J32" s="11">
        <f>220/12</f>
        <v>18.333333333333332</v>
      </c>
      <c r="K32" s="11">
        <f t="shared" si="8"/>
        <v>110.83333333333333</v>
      </c>
      <c r="L32" s="11">
        <f t="shared" si="9"/>
        <v>79.166666666666671</v>
      </c>
      <c r="M32" s="11">
        <f t="shared" si="11"/>
        <v>75</v>
      </c>
      <c r="O32" s="10">
        <f t="shared" si="12"/>
        <v>54.166666666666664</v>
      </c>
      <c r="P32" s="10">
        <f t="shared" si="13"/>
        <v>808.33333333333337</v>
      </c>
      <c r="Q32" s="10">
        <f>VLOOKUP(B32,[4]بيان!$B$6:$G$112,4,0)</f>
        <v>220.23809523809521</v>
      </c>
      <c r="R32" s="10">
        <f>J$334</f>
        <v>581.33333333333337</v>
      </c>
      <c r="S32" s="10">
        <f t="shared" si="0"/>
        <v>3873.4047619047619</v>
      </c>
      <c r="T32" s="10">
        <f t="shared" si="1"/>
        <v>46480.857142857145</v>
      </c>
    </row>
    <row r="33" spans="1:20" s="8" customFormat="1" ht="20.100000000000001" customHeight="1" x14ac:dyDescent="0.2">
      <c r="A33" s="9">
        <f t="shared" si="2"/>
        <v>30</v>
      </c>
      <c r="B33" s="9">
        <v>1032</v>
      </c>
      <c r="C33" s="9" t="str">
        <f>VLOOKUP(B33,'[1]اسماء الموظفين'!$B$8:$O$501,2,0)</f>
        <v>حمزه الاحمر</v>
      </c>
      <c r="D33" s="9" t="str">
        <f>VLOOKUP(B33,'[1]اسماء الموظفين'!$B$8:$O$501,4,0)</f>
        <v>سوريا</v>
      </c>
      <c r="E33" s="9" t="str">
        <f>VLOOKUP(B33,'[2]المقيمين النشطين'!$B$2:$Q$980,15,0)</f>
        <v>شركة ريال البركة للتجارة</v>
      </c>
      <c r="F33" s="9" t="str">
        <f>VLOOKUP(B33,'[1]اسماء الموظفين'!$B$8:$O$501,11,0)</f>
        <v>مستودع جملة سلطان</v>
      </c>
      <c r="G33" s="11">
        <f>VLOOKUP(B33,'[3]رواتب الموظفين 2022'!$B$9:$J$1019,9,0)</f>
        <v>10000</v>
      </c>
      <c r="H33" s="11">
        <f>VLOOKUP(B33,'[3]رواتب الموظفين 2022'!$B$9:$E$438,4,0)*2%</f>
        <v>80</v>
      </c>
      <c r="I33" s="11">
        <f>2941+1492+4860/12</f>
        <v>4838</v>
      </c>
      <c r="J33" s="11">
        <v>0</v>
      </c>
      <c r="K33" s="11">
        <f t="shared" si="8"/>
        <v>583.33333333333337</v>
      </c>
      <c r="L33" s="11">
        <f t="shared" si="9"/>
        <v>416.66666666666669</v>
      </c>
      <c r="M33" s="11">
        <f>1500/24</f>
        <v>62.5</v>
      </c>
      <c r="O33" s="10">
        <f t="shared" si="12"/>
        <v>54.166666666666664</v>
      </c>
      <c r="P33" s="10">
        <f t="shared" si="13"/>
        <v>808.33333333333337</v>
      </c>
      <c r="Q33" s="10">
        <f>12000/12</f>
        <v>1000</v>
      </c>
      <c r="R33" s="10">
        <f>$K$329</f>
        <v>739.31702574525752</v>
      </c>
      <c r="S33" s="10">
        <f t="shared" si="0"/>
        <v>18582.317025745258</v>
      </c>
      <c r="T33" s="10">
        <f t="shared" si="1"/>
        <v>222987.8043089431</v>
      </c>
    </row>
    <row r="34" spans="1:20" s="8" customFormat="1" ht="20.100000000000001" customHeight="1" x14ac:dyDescent="0.2">
      <c r="A34" s="9">
        <f t="shared" si="2"/>
        <v>31</v>
      </c>
      <c r="B34" s="9">
        <v>1033</v>
      </c>
      <c r="C34" s="9" t="str">
        <f>VLOOKUP(B34,'[1]اسماء الموظفين'!$B$8:$O$501,2,0)</f>
        <v>محمد بدرفيج محمد أكتير</v>
      </c>
      <c r="D34" s="9" t="str">
        <f>VLOOKUP(B34,'[1]اسماء الموظفين'!$B$8:$O$501,4,0)</f>
        <v>بنجلاديش</v>
      </c>
      <c r="E34" s="9" t="str">
        <f>VLOOKUP(B34,'[2]المقيمين النشطين'!$B$2:$Q$980,15,0)</f>
        <v>عبدالرحمن سلطان الرزيحي</v>
      </c>
      <c r="F34" s="9" t="str">
        <f>VLOOKUP(B34,'[1]اسماء الموظفين'!$B$8:$O$501,11,0)</f>
        <v>جملة ريال البركة</v>
      </c>
      <c r="G34" s="11">
        <f>VLOOKUP(B34,'[3]رواتب الموظفين 2022'!$B$9:$J$1019,9,0)</f>
        <v>1900</v>
      </c>
      <c r="H34" s="11"/>
      <c r="I34" s="11">
        <v>0</v>
      </c>
      <c r="J34" s="11">
        <v>0</v>
      </c>
      <c r="K34" s="11">
        <f t="shared" si="8"/>
        <v>110.83333333333333</v>
      </c>
      <c r="L34" s="11">
        <f t="shared" si="9"/>
        <v>79.166666666666671</v>
      </c>
      <c r="M34" s="11">
        <f>1800/24</f>
        <v>75</v>
      </c>
      <c r="O34" s="10">
        <f>600/12</f>
        <v>50</v>
      </c>
      <c r="P34" s="10">
        <v>0</v>
      </c>
      <c r="Q34" s="10">
        <v>0</v>
      </c>
      <c r="R34" s="10">
        <v>0</v>
      </c>
      <c r="S34" s="10">
        <f t="shared" si="0"/>
        <v>2215</v>
      </c>
      <c r="T34" s="10">
        <f t="shared" si="1"/>
        <v>26580</v>
      </c>
    </row>
    <row r="35" spans="1:20" s="8" customFormat="1" ht="20.100000000000001" customHeight="1" x14ac:dyDescent="0.2">
      <c r="A35" s="9">
        <f t="shared" si="2"/>
        <v>32</v>
      </c>
      <c r="B35" s="9">
        <v>1034</v>
      </c>
      <c r="C35" s="9" t="str">
        <f>VLOOKUP(B35,'[1]اسماء الموظفين'!$B$8:$O$501,2,0)</f>
        <v>مد ميلون باطوري</v>
      </c>
      <c r="D35" s="9" t="str">
        <f>VLOOKUP(B35,'[1]اسماء الموظفين'!$B$8:$O$501,4,0)</f>
        <v>بنجلاديش</v>
      </c>
      <c r="E35" s="9" t="str">
        <f>VLOOKUP(B35,'[2]المقيمين النشطين'!$B$2:$Q$980,15,0)</f>
        <v>شركة ريال البركة للتجارة</v>
      </c>
      <c r="F35" s="9" t="str">
        <f>VLOOKUP(B35,'[1]اسماء الموظفين'!$B$8:$O$501,11,0)</f>
        <v>أونلاين</v>
      </c>
      <c r="G35" s="11">
        <f>VLOOKUP(B35,'[3]رواتب الموظفين 2022'!$B$9:$J$1019,9,0)</f>
        <v>2200</v>
      </c>
      <c r="H35" s="11">
        <f>VLOOKUP(B35,'[3]رواتب الموظفين 2022'!$B$9:$E$438,4,0)*2%</f>
        <v>30</v>
      </c>
      <c r="I35" s="11">
        <f>245/12</f>
        <v>20.416666666666668</v>
      </c>
      <c r="J35" s="11">
        <v>0</v>
      </c>
      <c r="K35" s="11">
        <f t="shared" si="8"/>
        <v>128.33333333333334</v>
      </c>
      <c r="L35" s="11">
        <f t="shared" si="9"/>
        <v>91.666666666666671</v>
      </c>
      <c r="M35" s="11">
        <f>1800/24</f>
        <v>75</v>
      </c>
      <c r="O35" s="10">
        <f t="shared" ref="O35:O42" si="15">650/12</f>
        <v>54.166666666666664</v>
      </c>
      <c r="P35" s="10">
        <f t="shared" ref="P35:P42" si="16">9700/12</f>
        <v>808.33333333333337</v>
      </c>
      <c r="Q35" s="10">
        <f>VLOOKUP(B35,[4]بيان!$B$6:$G$112,4,0)</f>
        <v>96.491228070175438</v>
      </c>
      <c r="R35" s="10">
        <f t="shared" ref="R35:R40" si="17">$K$329</f>
        <v>739.31702574525752</v>
      </c>
      <c r="S35" s="10">
        <f t="shared" si="0"/>
        <v>4243.7249204821001</v>
      </c>
      <c r="T35" s="10">
        <f t="shared" si="1"/>
        <v>50924.699045785201</v>
      </c>
    </row>
    <row r="36" spans="1:20" s="8" customFormat="1" ht="20.100000000000001" customHeight="1" x14ac:dyDescent="0.2">
      <c r="A36" s="9">
        <f t="shared" si="2"/>
        <v>33</v>
      </c>
      <c r="B36" s="9">
        <v>1035</v>
      </c>
      <c r="C36" s="9" t="str">
        <f>VLOOKUP(B36,'[1]اسماء الموظفين'!$B$8:$O$501,2,0)</f>
        <v>شاهين هولدير</v>
      </c>
      <c r="D36" s="9" t="str">
        <f>VLOOKUP(B36,'[1]اسماء الموظفين'!$B$8:$O$501,4,0)</f>
        <v>بنجلاديش</v>
      </c>
      <c r="E36" s="9" t="str">
        <f>VLOOKUP(B36,'[2]المقيمين النشطين'!$B$2:$Q$980,15,0)</f>
        <v>شركة ريال البركة للتجارة</v>
      </c>
      <c r="F36" s="9" t="str">
        <f>VLOOKUP(B36,'[1]اسماء الموظفين'!$B$8:$O$501,11,0)</f>
        <v>العنود</v>
      </c>
      <c r="G36" s="11">
        <f>VLOOKUP(B36,'[3]رواتب الموظفين 2022'!$B$9:$J$1019,9,0)</f>
        <v>2000</v>
      </c>
      <c r="H36" s="11">
        <f>VLOOKUP(B36,'[3]رواتب الموظفين 2022'!$B$9:$E$438,4,0)*2%</f>
        <v>28</v>
      </c>
      <c r="I36" s="11">
        <f>303/12</f>
        <v>25.25</v>
      </c>
      <c r="J36" s="11">
        <v>0</v>
      </c>
      <c r="K36" s="11">
        <f t="shared" si="8"/>
        <v>116.66666666666667</v>
      </c>
      <c r="L36" s="11">
        <f t="shared" si="9"/>
        <v>83.333333333333329</v>
      </c>
      <c r="M36" s="11">
        <f>1800/24</f>
        <v>75</v>
      </c>
      <c r="O36" s="10">
        <f t="shared" si="15"/>
        <v>54.166666666666664</v>
      </c>
      <c r="P36" s="10">
        <f t="shared" si="16"/>
        <v>808.33333333333337</v>
      </c>
      <c r="Q36" s="10">
        <f>VLOOKUP(B36,[4]بيان!$B$6:$G$112,4,0)</f>
        <v>325</v>
      </c>
      <c r="R36" s="10">
        <f t="shared" si="17"/>
        <v>739.31702574525752</v>
      </c>
      <c r="S36" s="10">
        <f t="shared" si="0"/>
        <v>4255.0670257452575</v>
      </c>
      <c r="T36" s="10">
        <f t="shared" si="1"/>
        <v>51060.804308943087</v>
      </c>
    </row>
    <row r="37" spans="1:20" s="8" customFormat="1" ht="20.100000000000001" customHeight="1" x14ac:dyDescent="0.2">
      <c r="A37" s="9">
        <f t="shared" si="2"/>
        <v>34</v>
      </c>
      <c r="B37" s="9">
        <v>1036</v>
      </c>
      <c r="C37" s="9" t="str">
        <f>VLOOKUP(B37,'[1]اسماء الموظفين'!$B$8:$O$501,2,0)</f>
        <v>عارف نور الإسلام</v>
      </c>
      <c r="D37" s="9" t="str">
        <f>VLOOKUP(B37,'[1]اسماء الموظفين'!$B$8:$O$501,4,0)</f>
        <v>بنجلاديش</v>
      </c>
      <c r="E37" s="9" t="str">
        <f>VLOOKUP(B37,'[2]المقيمين النشطين'!$B$2:$Q$980,15,0)</f>
        <v>شركة ريال البركة للتجارة</v>
      </c>
      <c r="F37" s="9" t="str">
        <f>VLOOKUP(B37,'[1]اسماء الموظفين'!$B$8:$O$501,11,0)</f>
        <v>العنود</v>
      </c>
      <c r="G37" s="11">
        <f>VLOOKUP(B37,'[3]رواتب الموظفين 2022'!$B$9:$J$1019,9,0)</f>
        <v>1800</v>
      </c>
      <c r="H37" s="11">
        <f>VLOOKUP(B37,'[3]رواتب الموظفين 2022'!$B$9:$E$438,4,0)*2%</f>
        <v>24</v>
      </c>
      <c r="I37" s="11">
        <f>245/12</f>
        <v>20.416666666666668</v>
      </c>
      <c r="J37" s="11">
        <v>0</v>
      </c>
      <c r="K37" s="11">
        <f t="shared" si="8"/>
        <v>105</v>
      </c>
      <c r="L37" s="11">
        <f t="shared" si="9"/>
        <v>75</v>
      </c>
      <c r="M37" s="11">
        <f>1800/24</f>
        <v>75</v>
      </c>
      <c r="O37" s="10">
        <f t="shared" si="15"/>
        <v>54.166666666666664</v>
      </c>
      <c r="P37" s="10">
        <f t="shared" si="16"/>
        <v>808.33333333333337</v>
      </c>
      <c r="Q37" s="10">
        <f>VLOOKUP(B37,[4]بيان!$B$6:$G$112,4,0)</f>
        <v>325</v>
      </c>
      <c r="R37" s="10">
        <f t="shared" si="17"/>
        <v>739.31702574525752</v>
      </c>
      <c r="S37" s="10">
        <f t="shared" si="0"/>
        <v>4026.2336924119245</v>
      </c>
      <c r="T37" s="10">
        <f t="shared" si="1"/>
        <v>48314.804308943094</v>
      </c>
    </row>
    <row r="38" spans="1:20" s="8" customFormat="1" ht="20.100000000000001" customHeight="1" x14ac:dyDescent="0.2">
      <c r="A38" s="9">
        <f t="shared" si="2"/>
        <v>35</v>
      </c>
      <c r="B38" s="9">
        <v>1038</v>
      </c>
      <c r="C38" s="9" t="str">
        <f>VLOOKUP(B38,'[1]اسماء الموظفين'!$B$8:$O$501,2,0)</f>
        <v>محمد عارف حسين</v>
      </c>
      <c r="D38" s="9" t="str">
        <f>VLOOKUP(B38,'[1]اسماء الموظفين'!$B$8:$O$501,4,0)</f>
        <v>بنجلاديش</v>
      </c>
      <c r="E38" s="9" t="str">
        <f>VLOOKUP(B38,'[2]المقيمين النشطين'!$B$2:$Q$980,15,0)</f>
        <v>شركة ريال البركة للتجارة</v>
      </c>
      <c r="F38" s="9" t="str">
        <f>VLOOKUP(B38,'[1]اسماء الموظفين'!$B$8:$O$501,11,0)</f>
        <v>غرناطة</v>
      </c>
      <c r="G38" s="11">
        <f>VLOOKUP(B38,'[3]رواتب الموظفين 2022'!$B$9:$J$1019,9,0)</f>
        <v>1900</v>
      </c>
      <c r="H38" s="11">
        <f>VLOOKUP(B38,'[3]رواتب الموظفين 2022'!$B$9:$E$438,4,0)*2%</f>
        <v>26</v>
      </c>
      <c r="I38" s="11">
        <f>367/12</f>
        <v>30.583333333333332</v>
      </c>
      <c r="J38" s="11">
        <f>220/12</f>
        <v>18.333333333333332</v>
      </c>
      <c r="K38" s="11">
        <f t="shared" si="8"/>
        <v>110.83333333333333</v>
      </c>
      <c r="L38" s="11">
        <f t="shared" si="9"/>
        <v>79.166666666666671</v>
      </c>
      <c r="M38" s="11">
        <f>1800/24</f>
        <v>75</v>
      </c>
      <c r="O38" s="10">
        <f t="shared" si="15"/>
        <v>54.166666666666664</v>
      </c>
      <c r="P38" s="10">
        <f t="shared" si="16"/>
        <v>808.33333333333337</v>
      </c>
      <c r="Q38" s="10">
        <f>VLOOKUP(B38,[4]بيان!$B$6:$G$112,4,0)</f>
        <v>183.33333333333334</v>
      </c>
      <c r="R38" s="10">
        <f t="shared" si="17"/>
        <v>739.31702574525752</v>
      </c>
      <c r="S38" s="10">
        <f t="shared" si="0"/>
        <v>4025.0670257452575</v>
      </c>
      <c r="T38" s="10">
        <f t="shared" si="1"/>
        <v>48300.804308943087</v>
      </c>
    </row>
    <row r="39" spans="1:20" s="8" customFormat="1" ht="20.100000000000001" customHeight="1" x14ac:dyDescent="0.2">
      <c r="A39" s="9">
        <f t="shared" si="2"/>
        <v>36</v>
      </c>
      <c r="B39" s="9">
        <v>1039</v>
      </c>
      <c r="C39" s="9" t="str">
        <f>VLOOKUP(B39,'[1]اسماء الموظفين'!$B$8:$O$501,2,0)</f>
        <v>يحي صالح سالم شامس</v>
      </c>
      <c r="D39" s="9" t="str">
        <f>VLOOKUP(B39,'[1]اسماء الموظفين'!$B$8:$O$501,4,0)</f>
        <v>اليمن</v>
      </c>
      <c r="E39" s="9" t="str">
        <f>VLOOKUP(B39,'[2]المقيمين النشطين'!$B$2:$Q$980,15,0)</f>
        <v>شركة ريال البركة للتجارة</v>
      </c>
      <c r="F39" s="9" t="str">
        <f>VLOOKUP(B39,'[1]اسماء الموظفين'!$B$8:$O$501,11,0)</f>
        <v>جملة ريال البركة</v>
      </c>
      <c r="G39" s="11">
        <f>VLOOKUP(B39,'[3]رواتب الموظفين 2022'!$B$9:$J$1019,9,0)</f>
        <v>3000</v>
      </c>
      <c r="H39" s="11">
        <f>VLOOKUP(B39,'[3]رواتب الموظفين 2022'!$B$9:$E$438,4,0)*2%</f>
        <v>40</v>
      </c>
      <c r="I39" s="11">
        <f>1774/12</f>
        <v>147.83333333333334</v>
      </c>
      <c r="J39" s="11">
        <v>0</v>
      </c>
      <c r="K39" s="11">
        <f t="shared" si="8"/>
        <v>175</v>
      </c>
      <c r="L39" s="11">
        <f t="shared" si="9"/>
        <v>125</v>
      </c>
      <c r="M39" s="11">
        <f>1500/24</f>
        <v>62.5</v>
      </c>
      <c r="O39" s="10">
        <f t="shared" si="15"/>
        <v>54.166666666666664</v>
      </c>
      <c r="P39" s="10">
        <f t="shared" si="16"/>
        <v>808.33333333333337</v>
      </c>
      <c r="Q39" s="10">
        <v>0</v>
      </c>
      <c r="R39" s="10">
        <f t="shared" si="17"/>
        <v>739.31702574525752</v>
      </c>
      <c r="S39" s="10">
        <f t="shared" si="0"/>
        <v>5152.1503590785906</v>
      </c>
      <c r="T39" s="10">
        <f t="shared" si="1"/>
        <v>61825.804308943087</v>
      </c>
    </row>
    <row r="40" spans="1:20" s="8" customFormat="1" ht="20.100000000000001" customHeight="1" x14ac:dyDescent="0.2">
      <c r="A40" s="9">
        <f t="shared" si="2"/>
        <v>37</v>
      </c>
      <c r="B40" s="9">
        <v>1041</v>
      </c>
      <c r="C40" s="9" t="str">
        <f>VLOOKUP(B40,'[1]اسماء الموظفين'!$B$8:$O$501,2,0)</f>
        <v>محمد عارف الإسلام</v>
      </c>
      <c r="D40" s="9" t="str">
        <f>VLOOKUP(B40,'[1]اسماء الموظفين'!$B$8:$O$501,4,0)</f>
        <v>بنجلاديش</v>
      </c>
      <c r="E40" s="9" t="str">
        <f>VLOOKUP(B40,'[2]المقيمين النشطين'!$B$2:$Q$980,15,0)</f>
        <v>شركة ريال البركة للتجارة</v>
      </c>
      <c r="F40" s="9" t="str">
        <f>VLOOKUP(B40,'[1]اسماء الموظفين'!$B$8:$O$501,11,0)</f>
        <v>مستودع جملة سلطان</v>
      </c>
      <c r="G40" s="11">
        <f>VLOOKUP(B40,'[3]رواتب الموظفين 2022'!$B$9:$J$1019,9,0)</f>
        <v>2500</v>
      </c>
      <c r="H40" s="11">
        <f>VLOOKUP(B40,'[3]رواتب الموظفين 2022'!$B$9:$E$438,4,0)*2%</f>
        <v>32</v>
      </c>
      <c r="I40" s="11"/>
      <c r="J40" s="11">
        <v>0</v>
      </c>
      <c r="K40" s="11">
        <f t="shared" si="8"/>
        <v>145.83333333333334</v>
      </c>
      <c r="L40" s="11">
        <f t="shared" si="9"/>
        <v>104.16666666666667</v>
      </c>
      <c r="M40" s="11">
        <f>1800/24</f>
        <v>75</v>
      </c>
      <c r="O40" s="10">
        <f t="shared" si="15"/>
        <v>54.166666666666664</v>
      </c>
      <c r="P40" s="10">
        <f t="shared" si="16"/>
        <v>808.33333333333337</v>
      </c>
      <c r="Q40" s="10">
        <f>VLOOKUP(B40,[4]بيان!$B$6:$G$112,4,0)</f>
        <v>96.491228070175438</v>
      </c>
      <c r="R40" s="10">
        <f t="shared" si="17"/>
        <v>739.31702574525752</v>
      </c>
      <c r="S40" s="10">
        <f t="shared" si="0"/>
        <v>4555.3082538154331</v>
      </c>
      <c r="T40" s="10">
        <f t="shared" si="1"/>
        <v>54663.699045785193</v>
      </c>
    </row>
    <row r="41" spans="1:20" s="8" customFormat="1" ht="20.100000000000001" customHeight="1" x14ac:dyDescent="0.2">
      <c r="A41" s="9">
        <f t="shared" si="2"/>
        <v>38</v>
      </c>
      <c r="B41" s="9">
        <v>1043</v>
      </c>
      <c r="C41" s="9" t="str">
        <f>VLOOKUP(B41,'[1]اسماء الموظفين'!$B$8:$O$501,2,0)</f>
        <v>عهود سعد محمد دهمش</v>
      </c>
      <c r="D41" s="9" t="str">
        <f>VLOOKUP(B41,'[1]اسماء الموظفين'!$B$8:$O$501,4,0)</f>
        <v>سعودي</v>
      </c>
      <c r="E41" s="9" t="str">
        <f>VLOOKUP(B41,'[2]المقيمين النشطين'!$B$2:$Q$980,15,0)</f>
        <v>شركة ريال البركة للتجارة</v>
      </c>
      <c r="F41" s="9" t="str">
        <f>VLOOKUP(B41,'[1]اسماء الموظفين'!$B$8:$O$501,11,0)</f>
        <v>وكالة ممكن</v>
      </c>
      <c r="G41" s="11">
        <f>VLOOKUP(B41,'[3]رواتب الموظفين 2022'!$B$9:$J$1019,9,0)</f>
        <v>4000</v>
      </c>
      <c r="H41" s="11">
        <f>VLOOKUP(B41,'[3]رواتب الموظفين 2022'!$B$9:$E$438,4,0)*12.25%</f>
        <v>490</v>
      </c>
      <c r="I41" s="11">
        <f>955/12</f>
        <v>79.583333333333329</v>
      </c>
      <c r="J41" s="11">
        <v>0</v>
      </c>
      <c r="K41" s="11">
        <v>0</v>
      </c>
      <c r="L41" s="11">
        <v>0</v>
      </c>
      <c r="M41" s="11">
        <v>0</v>
      </c>
      <c r="N41" s="8">
        <v>0</v>
      </c>
      <c r="O41" s="10">
        <v>0</v>
      </c>
      <c r="P41" s="10">
        <v>0</v>
      </c>
      <c r="Q41" s="10">
        <v>0</v>
      </c>
      <c r="R41" s="10">
        <v>0</v>
      </c>
      <c r="S41" s="10">
        <f t="shared" si="0"/>
        <v>4569.583333333333</v>
      </c>
      <c r="T41" s="10">
        <f t="shared" si="1"/>
        <v>54835</v>
      </c>
    </row>
    <row r="42" spans="1:20" s="8" customFormat="1" ht="20.100000000000001" customHeight="1" x14ac:dyDescent="0.2">
      <c r="A42" s="9">
        <f t="shared" si="2"/>
        <v>39</v>
      </c>
      <c r="B42" s="9">
        <v>1044</v>
      </c>
      <c r="C42" s="9" t="str">
        <f>VLOOKUP(B42,'[1]اسماء الموظفين'!$B$8:$O$501,2,0)</f>
        <v>محمد علي فورازي</v>
      </c>
      <c r="D42" s="9" t="str">
        <f>VLOOKUP(B42,'[1]اسماء الموظفين'!$B$8:$O$501,4,0)</f>
        <v>بنجلاديش</v>
      </c>
      <c r="E42" s="9" t="str">
        <f>VLOOKUP(B42,'[2]المقيمين النشطين'!$B$2:$Q$980,15,0)</f>
        <v>شركة ريال البركة للتجارة</v>
      </c>
      <c r="F42" s="9" t="str">
        <f>VLOOKUP(B42,'[1]اسماء الموظفين'!$B$8:$O$501,11,0)</f>
        <v>الدائري الغربي</v>
      </c>
      <c r="G42" s="11">
        <f>VLOOKUP(B42,'[3]رواتب الموظفين 2022'!$B$9:$J$1019,9,0)</f>
        <v>1850</v>
      </c>
      <c r="H42" s="11">
        <f>VLOOKUP(B42,'[3]رواتب الموظفين 2022'!$B$9:$E$438,4,0)*2%</f>
        <v>26</v>
      </c>
      <c r="I42" s="11"/>
      <c r="J42" s="11">
        <f>220/12</f>
        <v>18.333333333333332</v>
      </c>
      <c r="K42" s="11">
        <f t="shared" si="8"/>
        <v>107.91666666666667</v>
      </c>
      <c r="L42" s="11">
        <f t="shared" si="9"/>
        <v>77.083333333333329</v>
      </c>
      <c r="M42" s="11">
        <f>1800/24</f>
        <v>75</v>
      </c>
      <c r="O42" s="10">
        <f t="shared" si="15"/>
        <v>54.166666666666664</v>
      </c>
      <c r="P42" s="10">
        <f t="shared" si="16"/>
        <v>808.33333333333337</v>
      </c>
      <c r="Q42" s="10">
        <f>VLOOKUP(B42,[4]بيان!$B$6:$G$112,4,0)</f>
        <v>183.33333333333334</v>
      </c>
      <c r="R42" s="10">
        <f>$K$329</f>
        <v>739.31702574525752</v>
      </c>
      <c r="S42" s="10">
        <f t="shared" si="0"/>
        <v>3939.4836924119245</v>
      </c>
      <c r="T42" s="10">
        <f t="shared" si="1"/>
        <v>47273.804308943094</v>
      </c>
    </row>
    <row r="43" spans="1:20" s="8" customFormat="1" ht="20.100000000000001" customHeight="1" x14ac:dyDescent="0.2">
      <c r="A43" s="9">
        <f t="shared" si="2"/>
        <v>40</v>
      </c>
      <c r="B43" s="9">
        <v>1045</v>
      </c>
      <c r="C43" s="9" t="str">
        <f>VLOOKUP(B43,'[1]اسماء الموظفين'!$B$8:$O$501,2,0)</f>
        <v>لمياء سليمان صالح المريشد</v>
      </c>
      <c r="D43" s="9" t="str">
        <f>VLOOKUP(B43,'[1]اسماء الموظفين'!$B$8:$O$501,4,0)</f>
        <v>سعودي</v>
      </c>
      <c r="E43" s="9" t="str">
        <f>VLOOKUP(B43,'[2]المقيمين النشطين'!$B$2:$Q$980,15,0)</f>
        <v>مؤسسة ممكن حلول لخدمات الأعمال</v>
      </c>
      <c r="F43" s="9" t="str">
        <f>VLOOKUP(B43,'[1]اسماء الموظفين'!$B$8:$O$501,11,0)</f>
        <v>وكالة ممكن</v>
      </c>
      <c r="G43" s="11">
        <f>VLOOKUP(B43,'[3]رواتب الموظفين 2022'!$B$9:$J$1019,9,0)</f>
        <v>4000</v>
      </c>
      <c r="H43" s="11">
        <f>VLOOKUP(B43,'[3]رواتب الموظفين 2022'!$B$9:$E$438,4,0)*12.25%</f>
        <v>490</v>
      </c>
      <c r="I43" s="11">
        <v>0</v>
      </c>
      <c r="J43" s="11">
        <v>0</v>
      </c>
      <c r="K43" s="11">
        <f t="shared" si="8"/>
        <v>233.33333333333334</v>
      </c>
      <c r="L43" s="11">
        <f t="shared" si="9"/>
        <v>166.66666666666666</v>
      </c>
      <c r="M43" s="11">
        <v>0</v>
      </c>
      <c r="N43" s="8">
        <v>0</v>
      </c>
      <c r="O43" s="10">
        <v>0</v>
      </c>
      <c r="P43" s="10">
        <v>0</v>
      </c>
      <c r="Q43" s="10">
        <v>0</v>
      </c>
      <c r="R43" s="10">
        <v>0</v>
      </c>
      <c r="S43" s="10">
        <f t="shared" si="0"/>
        <v>4890</v>
      </c>
      <c r="T43" s="10">
        <f t="shared" si="1"/>
        <v>58680</v>
      </c>
    </row>
    <row r="44" spans="1:20" s="8" customFormat="1" ht="20.100000000000001" customHeight="1" x14ac:dyDescent="0.2">
      <c r="A44" s="9">
        <f t="shared" si="2"/>
        <v>41</v>
      </c>
      <c r="B44" s="9">
        <v>1047</v>
      </c>
      <c r="C44" s="9" t="str">
        <f>VLOOKUP(B44,'[1]اسماء الموظفين'!$B$8:$O$501,2,0)</f>
        <v>هشام عثمان موسى احمد</v>
      </c>
      <c r="D44" s="9" t="str">
        <f>VLOOKUP(B44,'[1]اسماء الموظفين'!$B$8:$O$501,4,0)</f>
        <v>السودان</v>
      </c>
      <c r="E44" s="9" t="str">
        <f>VLOOKUP(B44,'[2]المقيمين النشطين'!$B$2:$Q$980,15,0)</f>
        <v>شركة ريال البركة للتجارة</v>
      </c>
      <c r="F44" s="9" t="str">
        <f>VLOOKUP(B44,'[1]اسماء الموظفين'!$B$8:$O$501,11,0)</f>
        <v>جملة ريال البركة</v>
      </c>
      <c r="G44" s="11">
        <f>VLOOKUP(B44,'[3]رواتب الموظفين 2022'!$B$9:$J$1019,9,0)</f>
        <v>2600</v>
      </c>
      <c r="H44" s="11">
        <f>VLOOKUP(B44,'[3]رواتب الموظفين 2022'!$B$9:$E$438,4,0)*2%</f>
        <v>36</v>
      </c>
      <c r="I44" s="11">
        <f>412/12</f>
        <v>34.333333333333336</v>
      </c>
      <c r="J44" s="11">
        <v>0</v>
      </c>
      <c r="K44" s="11">
        <f t="shared" si="8"/>
        <v>151.66666666666666</v>
      </c>
      <c r="L44" s="11">
        <f t="shared" si="9"/>
        <v>108.33333333333333</v>
      </c>
      <c r="M44" s="11">
        <f>1500/24</f>
        <v>62.5</v>
      </c>
      <c r="O44" s="10">
        <f>650/12</f>
        <v>54.166666666666664</v>
      </c>
      <c r="P44" s="10">
        <f>9700/12</f>
        <v>808.33333333333337</v>
      </c>
      <c r="Q44" s="10">
        <f>VLOOKUP(B44,[4]بيان!$B$6:$G$112,4,0)</f>
        <v>96.491228070175438</v>
      </c>
      <c r="R44" s="10">
        <f>$K$329</f>
        <v>739.31702574525752</v>
      </c>
      <c r="S44" s="10">
        <f t="shared" si="0"/>
        <v>4691.1415871487661</v>
      </c>
      <c r="T44" s="10">
        <f t="shared" si="1"/>
        <v>56293.699045785193</v>
      </c>
    </row>
    <row r="45" spans="1:20" s="8" customFormat="1" ht="20.100000000000001" customHeight="1" x14ac:dyDescent="0.2">
      <c r="A45" s="9">
        <f t="shared" si="2"/>
        <v>42</v>
      </c>
      <c r="B45" s="9">
        <v>1048</v>
      </c>
      <c r="C45" s="9" t="str">
        <f>VLOOKUP(B45,'[1]اسماء الموظفين'!$B$8:$O$501,2,0)</f>
        <v>محمد شؤيف حسين</v>
      </c>
      <c r="D45" s="9" t="str">
        <f>VLOOKUP(B45,'[1]اسماء الموظفين'!$B$8:$O$501,4,0)</f>
        <v>بنجلاديش</v>
      </c>
      <c r="E45" s="9" t="str">
        <f>VLOOKUP(B45,'[2]المقيمين النشطين'!$B$2:$Q$980,15,0)</f>
        <v>شركة ريال البركة للتجارة</v>
      </c>
      <c r="F45" s="9" t="str">
        <f>VLOOKUP(B45,'[1]اسماء الموظفين'!$B$8:$O$501,11,0)</f>
        <v>العنود</v>
      </c>
      <c r="G45" s="11">
        <f>VLOOKUP(B45,'[3]رواتب الموظفين 2022'!$B$9:$J$1019,9,0)</f>
        <v>1900</v>
      </c>
      <c r="H45" s="11">
        <f>VLOOKUP(B45,'[3]رواتب الموظفين 2022'!$B$9:$E$438,4,0)*2%</f>
        <v>26</v>
      </c>
      <c r="I45" s="11">
        <f>195/12</f>
        <v>16.25</v>
      </c>
      <c r="J45" s="11">
        <v>0</v>
      </c>
      <c r="K45" s="11">
        <f t="shared" si="8"/>
        <v>110.83333333333333</v>
      </c>
      <c r="L45" s="11">
        <f t="shared" si="9"/>
        <v>79.166666666666671</v>
      </c>
      <c r="M45" s="11">
        <f>1800/24</f>
        <v>75</v>
      </c>
      <c r="O45" s="10">
        <f>650/12</f>
        <v>54.166666666666664</v>
      </c>
      <c r="P45" s="10">
        <f>9700/12</f>
        <v>808.33333333333337</v>
      </c>
      <c r="Q45" s="10">
        <f>VLOOKUP(B45,[4]بيان!$B$6:$G$112,4,0)</f>
        <v>325</v>
      </c>
      <c r="R45" s="10">
        <f>$K$329</f>
        <v>739.31702574525752</v>
      </c>
      <c r="S45" s="10">
        <f t="shared" si="0"/>
        <v>4134.0670257452575</v>
      </c>
      <c r="T45" s="10">
        <f t="shared" si="1"/>
        <v>49608.804308943087</v>
      </c>
    </row>
    <row r="46" spans="1:20" s="8" customFormat="1" ht="20.100000000000001" customHeight="1" x14ac:dyDescent="0.2">
      <c r="A46" s="9">
        <f t="shared" si="2"/>
        <v>43</v>
      </c>
      <c r="B46" s="9">
        <v>1049</v>
      </c>
      <c r="C46" s="9" t="str">
        <f>VLOOKUP(B46,'[1]اسماء الموظفين'!$B$8:$O$501,2,0)</f>
        <v>محمد شجون</v>
      </c>
      <c r="D46" s="9" t="str">
        <f>VLOOKUP(B46,'[1]اسماء الموظفين'!$B$8:$O$501,4,0)</f>
        <v>بنجلاديش</v>
      </c>
      <c r="E46" s="9" t="str">
        <f>VLOOKUP(B46,'[2]المقيمين النشطين'!$B$2:$Q$980,15,0)</f>
        <v>شركة ريال البركة للتجارة</v>
      </c>
      <c r="F46" s="9" t="str">
        <f>VLOOKUP(B46,'[1]اسماء الموظفين'!$B$8:$O$501,11,0)</f>
        <v>هاينس</v>
      </c>
      <c r="G46" s="11">
        <f>VLOOKUP(B46,'[3]رواتب الموظفين 2022'!$B$9:$J$1019,9,0)</f>
        <v>1950</v>
      </c>
      <c r="H46" s="11">
        <f>VLOOKUP(B46,'[3]رواتب الموظفين 2022'!$B$9:$E$438,4,0)*2%</f>
        <v>26</v>
      </c>
      <c r="I46" s="11">
        <f>245/12</f>
        <v>20.416666666666668</v>
      </c>
      <c r="J46" s="11">
        <f>220/12</f>
        <v>18.333333333333332</v>
      </c>
      <c r="K46" s="11">
        <f t="shared" si="8"/>
        <v>113.75</v>
      </c>
      <c r="L46" s="11">
        <f t="shared" si="9"/>
        <v>81.25</v>
      </c>
      <c r="M46" s="11">
        <f>1800/24</f>
        <v>75</v>
      </c>
      <c r="O46" s="10">
        <f>650/12</f>
        <v>54.166666666666664</v>
      </c>
      <c r="P46" s="10">
        <f>9700/12</f>
        <v>808.33333333333337</v>
      </c>
      <c r="Q46" s="10">
        <f>VLOOKUP(B46,[4]بيان!$B$6:$G$112,4,0)</f>
        <v>92.594444444444449</v>
      </c>
      <c r="R46" s="10">
        <f>$K$329</f>
        <v>739.31702574525752</v>
      </c>
      <c r="S46" s="10">
        <f t="shared" si="0"/>
        <v>3979.161470189702</v>
      </c>
      <c r="T46" s="10">
        <f t="shared" si="1"/>
        <v>47749.937642276425</v>
      </c>
    </row>
    <row r="47" spans="1:20" s="8" customFormat="1" ht="20.100000000000001" customHeight="1" x14ac:dyDescent="0.2">
      <c r="A47" s="9">
        <f t="shared" si="2"/>
        <v>44</v>
      </c>
      <c r="B47" s="9">
        <v>1050</v>
      </c>
      <c r="C47" s="9" t="str">
        <f>VLOOKUP(B47,'[1]اسماء الموظفين'!$B$8:$O$501,2,0)</f>
        <v>محمد عطية سعد</v>
      </c>
      <c r="D47" s="9" t="str">
        <f>VLOOKUP(B47,'[1]اسماء الموظفين'!$B$8:$O$501,4,0)</f>
        <v>مصر</v>
      </c>
      <c r="E47" s="9" t="str">
        <f>VLOOKUP(B47,'[2]المقيمين النشطين'!$B$2:$Q$980,15,0)</f>
        <v>دوام جزئي</v>
      </c>
      <c r="F47" s="9" t="str">
        <f>VLOOKUP(B47,'[1]اسماء الموظفين'!$B$8:$O$501,11,0)</f>
        <v>الإدارة</v>
      </c>
      <c r="G47" s="11">
        <f>VLOOKUP(B47,'[3]رواتب الموظفين 2022'!$B$9:$J$1019,9,0)</f>
        <v>3000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8">
        <v>0</v>
      </c>
      <c r="O47" s="10">
        <v>0</v>
      </c>
      <c r="P47" s="10">
        <v>0</v>
      </c>
      <c r="Q47" s="10">
        <v>0</v>
      </c>
      <c r="R47" s="10">
        <v>0</v>
      </c>
      <c r="S47" s="10">
        <f t="shared" si="0"/>
        <v>3000</v>
      </c>
      <c r="T47" s="10">
        <f t="shared" si="1"/>
        <v>36000</v>
      </c>
    </row>
    <row r="48" spans="1:20" s="8" customFormat="1" ht="20.100000000000001" customHeight="1" x14ac:dyDescent="0.2">
      <c r="A48" s="9">
        <f t="shared" si="2"/>
        <v>45</v>
      </c>
      <c r="B48" s="9">
        <v>1052</v>
      </c>
      <c r="C48" s="9" t="str">
        <f>VLOOKUP(B48,'[1]اسماء الموظفين'!$B$8:$O$501,2,0)</f>
        <v>محمد يحي محسن عميسان</v>
      </c>
      <c r="D48" s="9" t="str">
        <f>VLOOKUP(B48,'[1]اسماء الموظفين'!$B$8:$O$501,4,0)</f>
        <v>اليمن</v>
      </c>
      <c r="E48" s="9" t="str">
        <f>VLOOKUP(B48,'[2]المقيمين النشطين'!$B$2:$Q$980,15,0)</f>
        <v>تحت التجربة</v>
      </c>
      <c r="F48" s="9" t="str">
        <f>VLOOKUP(B48,'[1]اسماء الموظفين'!$B$8:$O$501,11,0)</f>
        <v>اليرموك</v>
      </c>
      <c r="G48" s="11">
        <f>VLOOKUP(B48,'[3]رواتب الموظفين 2022'!$B$9:$J$1019,9,0)</f>
        <v>15000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8">
        <v>0</v>
      </c>
      <c r="O48" s="10">
        <v>0</v>
      </c>
      <c r="P48" s="10">
        <v>0</v>
      </c>
      <c r="Q48" s="10">
        <v>0</v>
      </c>
      <c r="R48" s="10">
        <v>0</v>
      </c>
      <c r="S48" s="10">
        <f t="shared" si="0"/>
        <v>15000</v>
      </c>
      <c r="T48" s="10">
        <f t="shared" si="1"/>
        <v>180000</v>
      </c>
    </row>
    <row r="49" spans="1:20" s="8" customFormat="1" ht="20.100000000000001" customHeight="1" x14ac:dyDescent="0.2">
      <c r="A49" s="9">
        <f t="shared" si="2"/>
        <v>46</v>
      </c>
      <c r="B49" s="9">
        <v>1053</v>
      </c>
      <c r="C49" s="9" t="str">
        <f>VLOOKUP(B49,'[1]اسماء الموظفين'!$B$8:$O$501,2,0)</f>
        <v>بشاير خليل أحمد العنزي</v>
      </c>
      <c r="D49" s="9" t="str">
        <f>VLOOKUP(B49,'[1]اسماء الموظفين'!$B$8:$O$501,4,0)</f>
        <v>سعودي</v>
      </c>
      <c r="E49" s="9" t="str">
        <f>VLOOKUP(B49,'[2]المقيمين النشطين'!$B$2:$Q$980,15,0)</f>
        <v>شركة ريال البركة للتجارة</v>
      </c>
      <c r="F49" s="9" t="str">
        <f>VLOOKUP(B49,'[1]اسماء الموظفين'!$B$8:$O$501,11,0)</f>
        <v>الدائري الغربي</v>
      </c>
      <c r="G49" s="11">
        <f>VLOOKUP(B49,'[3]رواتب الموظفين 2022'!$B$9:$J$1019,9,0)</f>
        <v>4800</v>
      </c>
      <c r="H49" s="11">
        <f>VLOOKUP(B49,'[3]رواتب الموظفين 2022'!$B$9:$E$438,4,0)*12.25%</f>
        <v>490</v>
      </c>
      <c r="I49" s="11">
        <f>378/12</f>
        <v>31.5</v>
      </c>
      <c r="J49" s="11">
        <f>220/12</f>
        <v>18.333333333333332</v>
      </c>
      <c r="K49" s="11">
        <f t="shared" ref="K49:K71" si="18">G49/30*21/12</f>
        <v>280</v>
      </c>
      <c r="L49" s="11">
        <f t="shared" ref="L49:L71" si="19">G49/2/12</f>
        <v>200</v>
      </c>
      <c r="M49" s="11">
        <v>0</v>
      </c>
      <c r="O49" s="10">
        <v>0</v>
      </c>
      <c r="P49" s="10">
        <v>0</v>
      </c>
      <c r="Q49" s="10">
        <v>0</v>
      </c>
      <c r="R49" s="10">
        <v>0</v>
      </c>
      <c r="S49" s="10">
        <f t="shared" si="0"/>
        <v>5819.833333333333</v>
      </c>
      <c r="T49" s="10">
        <f t="shared" si="1"/>
        <v>69838</v>
      </c>
    </row>
    <row r="50" spans="1:20" s="8" customFormat="1" ht="20.100000000000001" customHeight="1" x14ac:dyDescent="0.2">
      <c r="A50" s="9">
        <f t="shared" si="2"/>
        <v>47</v>
      </c>
      <c r="B50" s="9">
        <v>1054</v>
      </c>
      <c r="C50" s="9" t="str">
        <f>VLOOKUP(B50,'[1]اسماء الموظفين'!$B$8:$O$501,2,0)</f>
        <v>نبيل محمد علي السلمي</v>
      </c>
      <c r="D50" s="9" t="str">
        <f>VLOOKUP(B50,'[1]اسماء الموظفين'!$B$8:$O$501,4,0)</f>
        <v>اليمن</v>
      </c>
      <c r="E50" s="9" t="str">
        <f>VLOOKUP(B50,'[2]المقيمين النشطين'!$B$2:$Q$980,15,0)</f>
        <v>شركة ريال البركة للتجارة</v>
      </c>
      <c r="F50" s="9" t="str">
        <f>VLOOKUP(B50,'[1]اسماء الموظفين'!$B$8:$O$501,11,0)</f>
        <v>العنود</v>
      </c>
      <c r="G50" s="11">
        <f>VLOOKUP(B50,'[3]رواتب الموظفين 2022'!$B$9:$J$1019,9,0)</f>
        <v>4000</v>
      </c>
      <c r="H50" s="11">
        <f>VLOOKUP(B50,'[3]رواتب الموظفين 2022'!$B$9:$E$438,4,0)*2%</f>
        <v>40</v>
      </c>
      <c r="I50" s="11">
        <f>773/12</f>
        <v>64.416666666666671</v>
      </c>
      <c r="J50" s="11">
        <v>0</v>
      </c>
      <c r="K50" s="11">
        <f t="shared" si="18"/>
        <v>233.33333333333334</v>
      </c>
      <c r="L50" s="11">
        <f t="shared" si="19"/>
        <v>166.66666666666666</v>
      </c>
      <c r="M50" s="11">
        <f>1500/24</f>
        <v>62.5</v>
      </c>
      <c r="O50" s="10">
        <f t="shared" ref="O50:O62" si="20">650/12</f>
        <v>54.166666666666664</v>
      </c>
      <c r="P50" s="10">
        <f t="shared" ref="P50:P62" si="21">9700/12</f>
        <v>808.33333333333337</v>
      </c>
      <c r="Q50" s="10">
        <f>VLOOKUP(B50,[4]بيان!$B$6:$G$112,4,0)</f>
        <v>325</v>
      </c>
      <c r="R50" s="10">
        <f>$K$329</f>
        <v>739.31702574525752</v>
      </c>
      <c r="S50" s="10">
        <f t="shared" si="0"/>
        <v>6493.7336924119245</v>
      </c>
      <c r="T50" s="10">
        <f t="shared" si="1"/>
        <v>77924.804308943101</v>
      </c>
    </row>
    <row r="51" spans="1:20" s="8" customFormat="1" ht="20.100000000000001" customHeight="1" x14ac:dyDescent="0.2">
      <c r="A51" s="9">
        <f t="shared" si="2"/>
        <v>48</v>
      </c>
      <c r="B51" s="9">
        <v>1055</v>
      </c>
      <c r="C51" s="9" t="str">
        <f>VLOOKUP(B51,'[1]اسماء الموظفين'!$B$8:$O$501,2,0)</f>
        <v>محضار عبدالله حسين السيد</v>
      </c>
      <c r="D51" s="9" t="str">
        <f>VLOOKUP(B51,'[1]اسماء الموظفين'!$B$8:$O$501,4,0)</f>
        <v>اليمن</v>
      </c>
      <c r="E51" s="9" t="str">
        <f>VLOOKUP(B51,'[2]المقيمين النشطين'!$B$2:$Q$980,15,0)</f>
        <v>شركة ريال البركة للتجارة</v>
      </c>
      <c r="F51" s="9" t="str">
        <f>VLOOKUP(B51,'[1]اسماء الموظفين'!$B$8:$O$501,11,0)</f>
        <v>جملة ريال البركة</v>
      </c>
      <c r="G51" s="11">
        <f>VLOOKUP(B51,'[3]رواتب الموظفين 2022'!$B$9:$J$1019,9,0)</f>
        <v>6000</v>
      </c>
      <c r="H51" s="11">
        <f>VLOOKUP(B51,'[3]رواتب الموظفين 2022'!$B$9:$E$438,4,0)*2%</f>
        <v>56</v>
      </c>
      <c r="I51" s="11">
        <f>1958+642/12</f>
        <v>2011.5</v>
      </c>
      <c r="J51" s="11">
        <v>0</v>
      </c>
      <c r="K51" s="11">
        <f t="shared" si="18"/>
        <v>350</v>
      </c>
      <c r="L51" s="11">
        <f t="shared" si="19"/>
        <v>250</v>
      </c>
      <c r="M51" s="11">
        <f>1500/24</f>
        <v>62.5</v>
      </c>
      <c r="O51" s="10">
        <f t="shared" si="20"/>
        <v>54.166666666666664</v>
      </c>
      <c r="P51" s="10">
        <f t="shared" si="21"/>
        <v>808.33333333333337</v>
      </c>
      <c r="Q51" s="10">
        <f>6000/12</f>
        <v>500</v>
      </c>
      <c r="R51" s="10">
        <f>$K$329</f>
        <v>739.31702574525752</v>
      </c>
      <c r="S51" s="10">
        <f t="shared" si="0"/>
        <v>10831.817025745258</v>
      </c>
      <c r="T51" s="10">
        <f t="shared" si="1"/>
        <v>129981.8043089431</v>
      </c>
    </row>
    <row r="52" spans="1:20" s="8" customFormat="1" ht="20.100000000000001" customHeight="1" x14ac:dyDescent="0.2">
      <c r="A52" s="9">
        <f t="shared" si="2"/>
        <v>49</v>
      </c>
      <c r="B52" s="9">
        <v>1056</v>
      </c>
      <c r="C52" s="9" t="str">
        <f>VLOOKUP(B52,'[1]اسماء الموظفين'!$B$8:$O$501,2,0)</f>
        <v>جمال علي فرحان الفنيني</v>
      </c>
      <c r="D52" s="9" t="str">
        <f>VLOOKUP(B52,'[1]اسماء الموظفين'!$B$8:$O$501,4,0)</f>
        <v>اليمن</v>
      </c>
      <c r="E52" s="9" t="str">
        <f>VLOOKUP(B52,'[2]المقيمين النشطين'!$B$2:$Q$980,15,0)</f>
        <v>شركة ريال البركة للتجارة</v>
      </c>
      <c r="F52" s="9" t="str">
        <f>VLOOKUP(B52,'[1]اسماء الموظفين'!$B$8:$O$501,11,0)</f>
        <v>جملة ريال البركة</v>
      </c>
      <c r="G52" s="11">
        <f>VLOOKUP(B52,'[3]رواتب الموظفين 2022'!$B$9:$J$1019,9,0)</f>
        <v>3500</v>
      </c>
      <c r="H52" s="11">
        <f>VLOOKUP(B52,'[3]رواتب الموظفين 2022'!$B$9:$E$438,4,0)*2%</f>
        <v>44</v>
      </c>
      <c r="I52" s="11">
        <f>1011/12</f>
        <v>84.25</v>
      </c>
      <c r="J52" s="11">
        <v>0</v>
      </c>
      <c r="K52" s="11">
        <f t="shared" si="18"/>
        <v>204.16666666666666</v>
      </c>
      <c r="L52" s="11">
        <f t="shared" si="19"/>
        <v>145.83333333333334</v>
      </c>
      <c r="M52" s="11">
        <f>1500/24</f>
        <v>62.5</v>
      </c>
      <c r="O52" s="10">
        <f t="shared" si="20"/>
        <v>54.166666666666664</v>
      </c>
      <c r="P52" s="10">
        <f t="shared" si="21"/>
        <v>808.33333333333337</v>
      </c>
      <c r="Q52" s="10">
        <f>VLOOKUP(B52,[4]بيان!$B$6:$G$112,4,0)</f>
        <v>183.33333333333334</v>
      </c>
      <c r="R52" s="10">
        <f>$K$329</f>
        <v>739.31702574525752</v>
      </c>
      <c r="S52" s="10">
        <f t="shared" si="0"/>
        <v>5825.9003590785906</v>
      </c>
      <c r="T52" s="10">
        <f t="shared" si="1"/>
        <v>69910.804308943087</v>
      </c>
    </row>
    <row r="53" spans="1:20" s="8" customFormat="1" ht="20.100000000000001" customHeight="1" x14ac:dyDescent="0.2">
      <c r="A53" s="9">
        <f t="shared" si="2"/>
        <v>50</v>
      </c>
      <c r="B53" s="9">
        <v>1057</v>
      </c>
      <c r="C53" s="9" t="str">
        <f>VLOOKUP(B53,'[1]اسماء الموظفين'!$B$8:$O$501,2,0)</f>
        <v>أكرم ال حقي</v>
      </c>
      <c r="D53" s="9" t="str">
        <f>VLOOKUP(B53,'[1]اسماء الموظفين'!$B$8:$O$501,4,0)</f>
        <v>بنجلاديش</v>
      </c>
      <c r="E53" s="9" t="str">
        <f>VLOOKUP(B53,'[2]المقيمين النشطين'!$B$2:$Q$980,15,0)</f>
        <v>مؤسسة زاوية ريال بركة للكماليات</v>
      </c>
      <c r="F53" s="9" t="str">
        <f>VLOOKUP(B53,'[1]اسماء الموظفين'!$B$8:$O$501,11,0)</f>
        <v>المصيف</v>
      </c>
      <c r="G53" s="11">
        <f>VLOOKUP(B53,'[3]رواتب الموظفين 2022'!$B$9:$J$1019,9,0)</f>
        <v>1900</v>
      </c>
      <c r="H53" s="11">
        <f>VLOOKUP(B53,'[3]رواتب الموظفين 2022'!$B$9:$E$438,4,0)*2%</f>
        <v>32</v>
      </c>
      <c r="I53" s="11"/>
      <c r="J53" s="11">
        <v>0</v>
      </c>
      <c r="K53" s="11">
        <f t="shared" si="18"/>
        <v>110.83333333333333</v>
      </c>
      <c r="L53" s="11">
        <f t="shared" si="19"/>
        <v>79.166666666666671</v>
      </c>
      <c r="M53" s="11">
        <f>1800/24</f>
        <v>75</v>
      </c>
      <c r="O53" s="10">
        <f t="shared" si="20"/>
        <v>54.166666666666664</v>
      </c>
      <c r="P53" s="10">
        <f t="shared" si="21"/>
        <v>808.33333333333337</v>
      </c>
      <c r="Q53" s="10">
        <v>0</v>
      </c>
      <c r="R53" s="10">
        <v>0</v>
      </c>
      <c r="S53" s="10">
        <f t="shared" si="0"/>
        <v>3059.5</v>
      </c>
      <c r="T53" s="10">
        <f t="shared" si="1"/>
        <v>36714</v>
      </c>
    </row>
    <row r="54" spans="1:20" s="8" customFormat="1" ht="20.100000000000001" customHeight="1" x14ac:dyDescent="0.2">
      <c r="A54" s="9">
        <f t="shared" si="2"/>
        <v>51</v>
      </c>
      <c r="B54" s="9">
        <v>1058</v>
      </c>
      <c r="C54" s="9" t="str">
        <f>VLOOKUP(B54,'[1]اسماء الموظفين'!$B$8:$O$501,2,0)</f>
        <v>ألمغير حسين</v>
      </c>
      <c r="D54" s="9" t="str">
        <f>VLOOKUP(B54,'[1]اسماء الموظفين'!$B$8:$O$501,4,0)</f>
        <v>بنجلاديش</v>
      </c>
      <c r="E54" s="9" t="str">
        <f>VLOOKUP(B54,'[2]المقيمين النشطين'!$B$2:$Q$980,15,0)</f>
        <v>مؤسسة زاوية ريال بركة للكماليات</v>
      </c>
      <c r="F54" s="9" t="str">
        <f>VLOOKUP(B54,'[1]اسماء الموظفين'!$B$8:$O$501,11,0)</f>
        <v>اليرموك</v>
      </c>
      <c r="G54" s="11">
        <f>VLOOKUP(B54,'[3]رواتب الموظفين 2022'!$B$9:$J$1019,9,0)</f>
        <v>1900</v>
      </c>
      <c r="H54" s="11">
        <f>VLOOKUP(B54,'[3]رواتب الموظفين 2022'!$B$9:$E$438,4,0)*2%</f>
        <v>32</v>
      </c>
      <c r="I54" s="11"/>
      <c r="J54" s="11">
        <v>0</v>
      </c>
      <c r="K54" s="11">
        <f t="shared" si="18"/>
        <v>110.83333333333333</v>
      </c>
      <c r="L54" s="11">
        <f t="shared" si="19"/>
        <v>79.166666666666671</v>
      </c>
      <c r="M54" s="11">
        <f>1800/24</f>
        <v>75</v>
      </c>
      <c r="O54" s="10">
        <f t="shared" si="20"/>
        <v>54.166666666666664</v>
      </c>
      <c r="P54" s="10">
        <f t="shared" si="21"/>
        <v>808.33333333333337</v>
      </c>
      <c r="Q54" s="10">
        <f>VLOOKUP(B54,[4]بيان!$B$6:$G$112,4,0)</f>
        <v>312.5</v>
      </c>
      <c r="R54" s="10">
        <v>0</v>
      </c>
      <c r="S54" s="10">
        <f t="shared" si="0"/>
        <v>3372</v>
      </c>
      <c r="T54" s="10">
        <f t="shared" si="1"/>
        <v>40464</v>
      </c>
    </row>
    <row r="55" spans="1:20" s="8" customFormat="1" ht="20.100000000000001" customHeight="1" x14ac:dyDescent="0.2">
      <c r="A55" s="9">
        <f t="shared" si="2"/>
        <v>52</v>
      </c>
      <c r="B55" s="9">
        <v>1059</v>
      </c>
      <c r="C55" s="9" t="str">
        <f>VLOOKUP(B55,'[1]اسماء الموظفين'!$B$8:$O$501,2,0)</f>
        <v>رامجان علي صديقي</v>
      </c>
      <c r="D55" s="9" t="str">
        <f>VLOOKUP(B55,'[1]اسماء الموظفين'!$B$8:$O$501,4,0)</f>
        <v>بنجلاديش</v>
      </c>
      <c r="E55" s="9" t="str">
        <f>VLOOKUP(B55,'[2]المقيمين النشطين'!$B$2:$Q$980,15,0)</f>
        <v>مؤسسة زاوية ريال بركة للكماليات</v>
      </c>
      <c r="F55" s="9" t="str">
        <f>VLOOKUP(B55,'[1]اسماء الموظفين'!$B$8:$O$501,11,0)</f>
        <v>المصيف</v>
      </c>
      <c r="G55" s="11">
        <f>VLOOKUP(B55,'[3]رواتب الموظفين 2022'!$B$9:$J$1019,9,0)</f>
        <v>1900</v>
      </c>
      <c r="H55" s="11">
        <f>VLOOKUP(B55,'[3]رواتب الموظفين 2022'!$B$9:$E$438,4,0)*2%</f>
        <v>32</v>
      </c>
      <c r="I55" s="11"/>
      <c r="J55" s="11">
        <v>0</v>
      </c>
      <c r="K55" s="11">
        <f t="shared" si="18"/>
        <v>110.83333333333333</v>
      </c>
      <c r="L55" s="11">
        <f t="shared" si="19"/>
        <v>79.166666666666671</v>
      </c>
      <c r="M55" s="11">
        <f>1800/24</f>
        <v>75</v>
      </c>
      <c r="O55" s="10">
        <f t="shared" si="20"/>
        <v>54.166666666666664</v>
      </c>
      <c r="P55" s="10">
        <f t="shared" si="21"/>
        <v>808.33333333333337</v>
      </c>
      <c r="Q55" s="10">
        <v>0</v>
      </c>
      <c r="R55" s="10">
        <v>0</v>
      </c>
      <c r="S55" s="10">
        <f t="shared" si="0"/>
        <v>3059.5</v>
      </c>
      <c r="T55" s="10">
        <f t="shared" si="1"/>
        <v>36714</v>
      </c>
    </row>
    <row r="56" spans="1:20" s="8" customFormat="1" ht="20.100000000000001" customHeight="1" x14ac:dyDescent="0.2">
      <c r="A56" s="9">
        <f t="shared" si="2"/>
        <v>53</v>
      </c>
      <c r="B56" s="9">
        <v>1060</v>
      </c>
      <c r="C56" s="9" t="str">
        <f>VLOOKUP(B56,'[1]اسماء الموظفين'!$B$8:$O$501,2,0)</f>
        <v>عبدالرحمن علي حسين قرانه</v>
      </c>
      <c r="D56" s="9" t="str">
        <f>VLOOKUP(B56,'[1]اسماء الموظفين'!$B$8:$O$501,4,0)</f>
        <v>اليمن</v>
      </c>
      <c r="E56" s="9" t="str">
        <f>VLOOKUP(B56,'[2]المقيمين النشطين'!$B$2:$Q$980,15,0)</f>
        <v>مؤسسة زاوية ريال بركة للكماليات</v>
      </c>
      <c r="F56" s="9" t="str">
        <f>VLOOKUP(B56,'[1]اسماء الموظفين'!$B$8:$O$501,11,0)</f>
        <v>المصيف</v>
      </c>
      <c r="G56" s="11">
        <f>VLOOKUP(B56,'[3]رواتب الموظفين 2022'!$B$9:$J$1019,9,0)</f>
        <v>2300</v>
      </c>
      <c r="H56" s="11">
        <f>VLOOKUP(B56,'[3]رواتب الموظفين 2022'!$B$9:$E$438,4,0)*2%</f>
        <v>40</v>
      </c>
      <c r="I56" s="11"/>
      <c r="J56" s="11">
        <v>0</v>
      </c>
      <c r="K56" s="11">
        <f t="shared" si="18"/>
        <v>134.16666666666666</v>
      </c>
      <c r="L56" s="11">
        <f t="shared" si="19"/>
        <v>95.833333333333329</v>
      </c>
      <c r="M56" s="11">
        <f>1500/24</f>
        <v>62.5</v>
      </c>
      <c r="O56" s="10">
        <f t="shared" si="20"/>
        <v>54.166666666666664</v>
      </c>
      <c r="P56" s="10">
        <f t="shared" si="21"/>
        <v>808.33333333333337</v>
      </c>
      <c r="Q56" s="10">
        <v>0</v>
      </c>
      <c r="R56" s="10">
        <v>0</v>
      </c>
      <c r="S56" s="10">
        <f t="shared" si="0"/>
        <v>3495</v>
      </c>
      <c r="T56" s="10">
        <f t="shared" si="1"/>
        <v>41940</v>
      </c>
    </row>
    <row r="57" spans="1:20" s="8" customFormat="1" ht="20.100000000000001" customHeight="1" x14ac:dyDescent="0.2">
      <c r="A57" s="9">
        <f t="shared" si="2"/>
        <v>54</v>
      </c>
      <c r="B57" s="9">
        <v>1061</v>
      </c>
      <c r="C57" s="9" t="str">
        <f>VLOOKUP(B57,'[1]اسماء الموظفين'!$B$8:$O$501,2,0)</f>
        <v>ماجد محمد يحيى السودي</v>
      </c>
      <c r="D57" s="9" t="str">
        <f>VLOOKUP(B57,'[1]اسماء الموظفين'!$B$8:$O$501,4,0)</f>
        <v>اليمن</v>
      </c>
      <c r="E57" s="9" t="str">
        <f>VLOOKUP(B57,'[2]المقيمين النشطين'!$B$2:$Q$980,15,0)</f>
        <v>مؤسسة زاوية ريال بركة للكماليات</v>
      </c>
      <c r="F57" s="9" t="str">
        <f>VLOOKUP(B57,'[1]اسماء الموظفين'!$B$8:$O$501,11,0)</f>
        <v>اليرموك</v>
      </c>
      <c r="G57" s="11">
        <f>VLOOKUP(B57,'[3]رواتب الموظفين 2022'!$B$9:$J$1019,9,0)</f>
        <v>2500</v>
      </c>
      <c r="H57" s="11">
        <f>VLOOKUP(B57,'[3]رواتب الموظفين 2022'!$B$9:$E$438,4,0)*2%</f>
        <v>40</v>
      </c>
      <c r="I57" s="11"/>
      <c r="J57" s="11">
        <v>0</v>
      </c>
      <c r="K57" s="11">
        <f t="shared" si="18"/>
        <v>145.83333333333334</v>
      </c>
      <c r="L57" s="11">
        <f t="shared" si="19"/>
        <v>104.16666666666667</v>
      </c>
      <c r="M57" s="11">
        <f>1500/24</f>
        <v>62.5</v>
      </c>
      <c r="O57" s="10">
        <f t="shared" si="20"/>
        <v>54.166666666666664</v>
      </c>
      <c r="P57" s="10">
        <f t="shared" si="21"/>
        <v>808.33333333333337</v>
      </c>
      <c r="Q57" s="10">
        <v>0</v>
      </c>
      <c r="R57" s="10">
        <v>0</v>
      </c>
      <c r="S57" s="10">
        <f t="shared" si="0"/>
        <v>3715</v>
      </c>
      <c r="T57" s="10">
        <f t="shared" si="1"/>
        <v>44580</v>
      </c>
    </row>
    <row r="58" spans="1:20" s="8" customFormat="1" ht="20.100000000000001" customHeight="1" x14ac:dyDescent="0.2">
      <c r="A58" s="9">
        <f t="shared" si="2"/>
        <v>55</v>
      </c>
      <c r="B58" s="9">
        <v>1062</v>
      </c>
      <c r="C58" s="9" t="str">
        <f>VLOOKUP(B58,'[1]اسماء الموظفين'!$B$8:$O$501,2,0)</f>
        <v>مراد علي حسن قرانه</v>
      </c>
      <c r="D58" s="9" t="str">
        <f>VLOOKUP(B58,'[1]اسماء الموظفين'!$B$8:$O$501,4,0)</f>
        <v>اليمن</v>
      </c>
      <c r="E58" s="9" t="str">
        <f>VLOOKUP(B58,'[2]المقيمين النشطين'!$B$2:$Q$980,15,0)</f>
        <v>مؤسسة زاوية ريال بركة للكماليات</v>
      </c>
      <c r="F58" s="9" t="str">
        <f>VLOOKUP(B58,'[1]اسماء الموظفين'!$B$8:$O$501,11,0)</f>
        <v>المصيف</v>
      </c>
      <c r="G58" s="11">
        <f>VLOOKUP(B58,'[3]رواتب الموظفين 2022'!$B$9:$J$1019,9,0)</f>
        <v>3300</v>
      </c>
      <c r="H58" s="11">
        <f>VLOOKUP(B58,'[3]رواتب الموظفين 2022'!$B$9:$E$438,4,0)*2%</f>
        <v>66</v>
      </c>
      <c r="I58" s="11"/>
      <c r="J58" s="11">
        <v>0</v>
      </c>
      <c r="K58" s="11">
        <f t="shared" si="18"/>
        <v>192.5</v>
      </c>
      <c r="L58" s="11">
        <f t="shared" si="19"/>
        <v>137.5</v>
      </c>
      <c r="M58" s="11">
        <f>1500/24</f>
        <v>62.5</v>
      </c>
      <c r="O58" s="10">
        <f t="shared" si="20"/>
        <v>54.166666666666664</v>
      </c>
      <c r="P58" s="10">
        <f t="shared" si="21"/>
        <v>808.33333333333337</v>
      </c>
      <c r="Q58" s="10">
        <v>0</v>
      </c>
      <c r="R58" s="10">
        <v>0</v>
      </c>
      <c r="S58" s="10">
        <f t="shared" si="0"/>
        <v>4621</v>
      </c>
      <c r="T58" s="10">
        <f t="shared" si="1"/>
        <v>55452</v>
      </c>
    </row>
    <row r="59" spans="1:20" s="8" customFormat="1" ht="20.100000000000001" customHeight="1" x14ac:dyDescent="0.2">
      <c r="A59" s="9">
        <f t="shared" si="2"/>
        <v>56</v>
      </c>
      <c r="B59" s="9">
        <v>1063</v>
      </c>
      <c r="C59" s="9" t="str">
        <f>VLOOKUP(B59,'[1]اسماء الموظفين'!$B$8:$O$501,2,0)</f>
        <v>جميل علي حسن عبدالله</v>
      </c>
      <c r="D59" s="9" t="str">
        <f>VLOOKUP(B59,'[1]اسماء الموظفين'!$B$8:$O$501,4,0)</f>
        <v>اليمن</v>
      </c>
      <c r="E59" s="9" t="str">
        <f>VLOOKUP(B59,'[2]المقيمين النشطين'!$B$2:$Q$980,15,0)</f>
        <v>شركة ريال البركة للتجارة</v>
      </c>
      <c r="F59" s="9" t="str">
        <f>VLOOKUP(B59,'[1]اسماء الموظفين'!$B$8:$O$501,11,0)</f>
        <v>جملة ريال البركة</v>
      </c>
      <c r="G59" s="11">
        <f>VLOOKUP(B59,'[3]رواتب الموظفين 2022'!$B$9:$J$1019,9,0)</f>
        <v>3300</v>
      </c>
      <c r="H59" s="11">
        <f>VLOOKUP(B59,'[3]رواتب الموظفين 2022'!$B$9:$E$438,4,0)*2%</f>
        <v>40</v>
      </c>
      <c r="I59" s="11">
        <f>1360/12</f>
        <v>113.33333333333333</v>
      </c>
      <c r="J59" s="11">
        <v>0</v>
      </c>
      <c r="K59" s="11">
        <f t="shared" si="18"/>
        <v>192.5</v>
      </c>
      <c r="L59" s="11">
        <f t="shared" si="19"/>
        <v>137.5</v>
      </c>
      <c r="M59" s="11">
        <f>1500/24</f>
        <v>62.5</v>
      </c>
      <c r="O59" s="10">
        <f t="shared" si="20"/>
        <v>54.166666666666664</v>
      </c>
      <c r="P59" s="10">
        <f t="shared" si="21"/>
        <v>808.33333333333337</v>
      </c>
      <c r="Q59" s="10">
        <f>VLOOKUP(B59,[4]بيان!$B$6:$G$112,4,0)</f>
        <v>183.33333333333334</v>
      </c>
      <c r="R59" s="10">
        <f>$K$329</f>
        <v>739.31702574525752</v>
      </c>
      <c r="S59" s="10">
        <f t="shared" si="0"/>
        <v>5630.9836924119236</v>
      </c>
      <c r="T59" s="10">
        <f t="shared" si="1"/>
        <v>67571.804308943087</v>
      </c>
    </row>
    <row r="60" spans="1:20" s="8" customFormat="1" ht="20.100000000000001" customHeight="1" x14ac:dyDescent="0.2">
      <c r="A60" s="9">
        <f t="shared" si="2"/>
        <v>57</v>
      </c>
      <c r="B60" s="9">
        <v>1064</v>
      </c>
      <c r="C60" s="9" t="str">
        <f>VLOOKUP(B60,'[1]اسماء الموظفين'!$B$8:$O$501,2,0)</f>
        <v>معين الدين وحيد</v>
      </c>
      <c r="D60" s="9" t="str">
        <f>VLOOKUP(B60,'[1]اسماء الموظفين'!$B$8:$O$501,4,0)</f>
        <v>بنجلاديش</v>
      </c>
      <c r="E60" s="9" t="str">
        <f>VLOOKUP(B60,'[2]المقيمين النشطين'!$B$2:$Q$980,15,0)</f>
        <v>مؤسسة سلطان عبدالرحمن صالح الرزيحي للتجارة</v>
      </c>
      <c r="F60" s="9" t="str">
        <f>VLOOKUP(B60,'[1]اسماء الموظفين'!$B$8:$O$501,11,0)</f>
        <v>هاينس</v>
      </c>
      <c r="G60" s="11">
        <f>VLOOKUP(B60,'[3]رواتب الموظفين 2022'!$B$9:$J$1019,9,0)</f>
        <v>2500</v>
      </c>
      <c r="H60" s="11">
        <f>VLOOKUP(B60,'[3]رواتب الموظفين 2022'!$B$9:$E$438,4,0)*2%</f>
        <v>28</v>
      </c>
      <c r="I60" s="11"/>
      <c r="J60" s="11">
        <f>220/12</f>
        <v>18.333333333333332</v>
      </c>
      <c r="K60" s="11">
        <f t="shared" si="18"/>
        <v>145.83333333333334</v>
      </c>
      <c r="L60" s="11">
        <f t="shared" si="19"/>
        <v>104.16666666666667</v>
      </c>
      <c r="M60" s="11">
        <f>1800/24</f>
        <v>75</v>
      </c>
      <c r="O60" s="10">
        <f t="shared" si="20"/>
        <v>54.166666666666664</v>
      </c>
      <c r="P60" s="10">
        <f t="shared" si="21"/>
        <v>808.33333333333337</v>
      </c>
      <c r="Q60" s="10">
        <f>VLOOKUP(B60,[4]بيان!$B$6:$G$112,4,0)</f>
        <v>183.33333333333334</v>
      </c>
      <c r="R60" s="10">
        <f>$K$329</f>
        <v>739.31702574525752</v>
      </c>
      <c r="S60" s="10">
        <f t="shared" si="0"/>
        <v>4656.4836924119245</v>
      </c>
      <c r="T60" s="10">
        <f t="shared" si="1"/>
        <v>55877.804308943094</v>
      </c>
    </row>
    <row r="61" spans="1:20" s="8" customFormat="1" ht="20.100000000000001" customHeight="1" x14ac:dyDescent="0.2">
      <c r="A61" s="9">
        <f t="shared" si="2"/>
        <v>58</v>
      </c>
      <c r="B61" s="9">
        <v>1065</v>
      </c>
      <c r="C61" s="9" t="str">
        <f>VLOOKUP(B61,'[1]اسماء الموظفين'!$B$8:$O$501,2,0)</f>
        <v>عمر محمد عبده علي السلمي</v>
      </c>
      <c r="D61" s="9" t="str">
        <f>VLOOKUP(B61,'[1]اسماء الموظفين'!$B$8:$O$501,4,0)</f>
        <v>اليمن</v>
      </c>
      <c r="E61" s="9" t="str">
        <f>VLOOKUP(B61,'[2]المقيمين النشطين'!$B$2:$Q$980,15,0)</f>
        <v>مؤسسة عبدالرحمن سلطان عبدالرحمن الرزيحي للتجارة</v>
      </c>
      <c r="F61" s="9" t="str">
        <f>VLOOKUP(B61,'[1]اسماء الموظفين'!$B$8:$O$501,11,0)</f>
        <v>الشفا</v>
      </c>
      <c r="G61" s="11">
        <f>VLOOKUP(B61,'[3]رواتب الموظفين 2022'!$B$9:$J$1019,9,0)</f>
        <v>2800</v>
      </c>
      <c r="H61" s="11">
        <f>VLOOKUP(B61,'[3]رواتب الموظفين 2022'!$B$9:$E$438,4,0)*2%</f>
        <v>40</v>
      </c>
      <c r="I61" s="11">
        <f>517/12</f>
        <v>43.083333333333336</v>
      </c>
      <c r="J61" s="11">
        <f>220/12</f>
        <v>18.333333333333332</v>
      </c>
      <c r="K61" s="11">
        <f t="shared" si="18"/>
        <v>163.33333333333334</v>
      </c>
      <c r="L61" s="11">
        <f t="shared" si="19"/>
        <v>116.66666666666667</v>
      </c>
      <c r="M61" s="11">
        <f>1500/24</f>
        <v>62.5</v>
      </c>
      <c r="O61" s="10">
        <f t="shared" si="20"/>
        <v>54.166666666666664</v>
      </c>
      <c r="P61" s="10">
        <f t="shared" si="21"/>
        <v>808.33333333333337</v>
      </c>
      <c r="Q61" s="10">
        <f>VLOOKUP(B61,[4]بيان!$B$6:$G$112,4,0)</f>
        <v>220.23809523809521</v>
      </c>
      <c r="R61" s="10">
        <f>J$334</f>
        <v>581.33333333333337</v>
      </c>
      <c r="S61" s="10">
        <f t="shared" si="0"/>
        <v>4907.9880952380954</v>
      </c>
      <c r="T61" s="10">
        <f t="shared" si="1"/>
        <v>58895.857142857145</v>
      </c>
    </row>
    <row r="62" spans="1:20" s="8" customFormat="1" ht="20.100000000000001" customHeight="1" x14ac:dyDescent="0.2">
      <c r="A62" s="9">
        <f t="shared" si="2"/>
        <v>59</v>
      </c>
      <c r="B62" s="9">
        <v>1066</v>
      </c>
      <c r="C62" s="9" t="str">
        <f>VLOOKUP(B62,'[1]اسماء الموظفين'!$B$8:$O$501,2,0)</f>
        <v>محمد عبدالله حسين محمد السيد</v>
      </c>
      <c r="D62" s="9" t="str">
        <f>VLOOKUP(B62,'[1]اسماء الموظفين'!$B$8:$O$501,4,0)</f>
        <v>اليمن</v>
      </c>
      <c r="E62" s="9" t="str">
        <f>VLOOKUP(B62,'[2]المقيمين النشطين'!$B$2:$Q$980,15,0)</f>
        <v>مؤسسة عبدالرحمن سلطان عبدالرحمن الرزيحي للتجارة</v>
      </c>
      <c r="F62" s="9" t="str">
        <f>VLOOKUP(B62,'[1]اسماء الموظفين'!$B$8:$O$501,11,0)</f>
        <v>جملة ريال البركة</v>
      </c>
      <c r="G62" s="11">
        <f>VLOOKUP(B62,'[3]رواتب الموظفين 2022'!$B$9:$J$1019,9,0)</f>
        <v>2000</v>
      </c>
      <c r="H62" s="11">
        <f>VLOOKUP(B62,'[3]رواتب الموظفين 2022'!$B$9:$E$438,4,0)*2%</f>
        <v>26</v>
      </c>
      <c r="I62" s="11">
        <f>517/12</f>
        <v>43.083333333333336</v>
      </c>
      <c r="J62" s="11">
        <v>0</v>
      </c>
      <c r="K62" s="11">
        <f t="shared" si="18"/>
        <v>116.66666666666667</v>
      </c>
      <c r="L62" s="11">
        <f t="shared" si="19"/>
        <v>83.333333333333329</v>
      </c>
      <c r="M62" s="11">
        <f>1500/24</f>
        <v>62.5</v>
      </c>
      <c r="O62" s="10">
        <f t="shared" si="20"/>
        <v>54.166666666666664</v>
      </c>
      <c r="P62" s="10">
        <f t="shared" si="21"/>
        <v>808.33333333333337</v>
      </c>
      <c r="Q62" s="10">
        <f>VLOOKUP(B62,[4]بيان!$B$6:$G$112,4,0)</f>
        <v>96.491228070175438</v>
      </c>
      <c r="R62" s="10">
        <f>J$334</f>
        <v>581.33333333333337</v>
      </c>
      <c r="S62" s="10">
        <f t="shared" si="0"/>
        <v>3871.9078947368425</v>
      </c>
      <c r="T62" s="10">
        <f t="shared" si="1"/>
        <v>46462.894736842107</v>
      </c>
    </row>
    <row r="63" spans="1:20" s="8" customFormat="1" ht="20.100000000000001" customHeight="1" x14ac:dyDescent="0.2">
      <c r="A63" s="9">
        <f t="shared" si="2"/>
        <v>60</v>
      </c>
      <c r="B63" s="9">
        <v>1068</v>
      </c>
      <c r="C63" s="9" t="str">
        <f>VLOOKUP(B63,'[1]اسماء الموظفين'!$B$8:$O$501,2,0)</f>
        <v>تهاني محمد محسن السهلي</v>
      </c>
      <c r="D63" s="9" t="str">
        <f>VLOOKUP(B63,'[1]اسماء الموظفين'!$B$8:$O$501,4,0)</f>
        <v>سعودي</v>
      </c>
      <c r="E63" s="9" t="str">
        <f>VLOOKUP(B63,'[2]المقيمين النشطين'!$B$2:$Q$980,15,0)</f>
        <v>شركة ريال البركة للتجارة</v>
      </c>
      <c r="F63" s="9" t="str">
        <f>VLOOKUP(B63,'[1]اسماء الموظفين'!$B$8:$O$501,11,0)</f>
        <v>الدائري الغربي</v>
      </c>
      <c r="G63" s="11">
        <f>VLOOKUP(B63,'[3]رواتب الموظفين 2022'!$B$9:$J$1019,9,0)</f>
        <v>4500</v>
      </c>
      <c r="H63" s="11">
        <f>VLOOKUP(B63,'[3]رواتب الموظفين 2022'!$B$9:$E$438,4,0)*12.25%</f>
        <v>490</v>
      </c>
      <c r="I63" s="11"/>
      <c r="J63" s="11">
        <f>964/12</f>
        <v>80.333333333333329</v>
      </c>
      <c r="K63" s="11">
        <f t="shared" si="18"/>
        <v>262.5</v>
      </c>
      <c r="L63" s="11">
        <f t="shared" si="19"/>
        <v>187.5</v>
      </c>
      <c r="M63" s="11">
        <v>0</v>
      </c>
      <c r="O63" s="10">
        <v>0</v>
      </c>
      <c r="P63" s="10">
        <v>0</v>
      </c>
      <c r="Q63" s="10">
        <v>0</v>
      </c>
      <c r="R63" s="10">
        <v>0</v>
      </c>
      <c r="S63" s="10">
        <f t="shared" si="0"/>
        <v>5520.333333333333</v>
      </c>
      <c r="T63" s="10">
        <f t="shared" si="1"/>
        <v>66244</v>
      </c>
    </row>
    <row r="64" spans="1:20" s="8" customFormat="1" ht="20.100000000000001" customHeight="1" x14ac:dyDescent="0.2">
      <c r="A64" s="9">
        <f t="shared" si="2"/>
        <v>61</v>
      </c>
      <c r="B64" s="9">
        <v>1069</v>
      </c>
      <c r="C64" s="9" t="str">
        <f>VLOOKUP(B64,'[1]اسماء الموظفين'!$B$8:$O$501,2,0)</f>
        <v>هشام مقبل عبده علي السلمي</v>
      </c>
      <c r="D64" s="9" t="str">
        <f>VLOOKUP(B64,'[1]اسماء الموظفين'!$B$8:$O$501,4,0)</f>
        <v>اليمن</v>
      </c>
      <c r="E64" s="9" t="str">
        <f>VLOOKUP(B64,'[2]المقيمين النشطين'!$B$2:$Q$980,15,0)</f>
        <v>مؤسسة عبدالرحمن سلطان عبدالرحمن الرزيحي للتجارة</v>
      </c>
      <c r="F64" s="9" t="str">
        <f>VLOOKUP(B64,'[1]اسماء الموظفين'!$B$8:$O$501,11,0)</f>
        <v>الأندلس</v>
      </c>
      <c r="G64" s="11">
        <f>VLOOKUP(B64,'[3]رواتب الموظفين 2022'!$B$9:$J$1019,9,0)</f>
        <v>2800</v>
      </c>
      <c r="H64" s="11">
        <f>VLOOKUP(B64,'[3]رواتب الموظفين 2022'!$B$9:$E$438,4,0)*2%</f>
        <v>40</v>
      </c>
      <c r="I64" s="11"/>
      <c r="J64" s="11">
        <v>0</v>
      </c>
      <c r="K64" s="11">
        <f t="shared" si="18"/>
        <v>163.33333333333334</v>
      </c>
      <c r="L64" s="11">
        <f t="shared" si="19"/>
        <v>116.66666666666667</v>
      </c>
      <c r="M64" s="11">
        <f>1500/24</f>
        <v>62.5</v>
      </c>
      <c r="O64" s="10">
        <f t="shared" ref="O64:O71" si="22">650/12</f>
        <v>54.166666666666664</v>
      </c>
      <c r="P64" s="10">
        <f t="shared" ref="P64:P71" si="23">9700/12</f>
        <v>808.33333333333337</v>
      </c>
      <c r="Q64" s="10">
        <f>6000/12</f>
        <v>500</v>
      </c>
      <c r="R64" s="10">
        <f>J$334</f>
        <v>581.33333333333337</v>
      </c>
      <c r="S64" s="10">
        <f t="shared" si="0"/>
        <v>5126.333333333333</v>
      </c>
      <c r="T64" s="10">
        <f t="shared" si="1"/>
        <v>61516</v>
      </c>
    </row>
    <row r="65" spans="1:20" s="8" customFormat="1" ht="20.100000000000001" customHeight="1" x14ac:dyDescent="0.2">
      <c r="A65" s="9">
        <f t="shared" si="2"/>
        <v>62</v>
      </c>
      <c r="B65" s="9">
        <v>1070</v>
      </c>
      <c r="C65" s="9" t="str">
        <f>VLOOKUP(B65,'[1]اسماء الموظفين'!$B$8:$O$501,2,0)</f>
        <v>مطيع صالح حمود قايد الفهد</v>
      </c>
      <c r="D65" s="9" t="str">
        <f>VLOOKUP(B65,'[1]اسماء الموظفين'!$B$8:$O$501,4,0)</f>
        <v>اليمن</v>
      </c>
      <c r="E65" s="9" t="str">
        <f>VLOOKUP(B65,'[2]المقيمين النشطين'!$B$2:$Q$980,15,0)</f>
        <v>مصنع سلطان عبدالرحمن صالح الرزيحي للمنتجات الورقية</v>
      </c>
      <c r="F65" s="9" t="str">
        <f>VLOOKUP(B65,'[1]اسماء الموظفين'!$B$8:$O$501,11,0)</f>
        <v>المصنع</v>
      </c>
      <c r="G65" s="11">
        <f>VLOOKUP(B65,'[3]رواتب الموظفين 2022'!$B$9:$J$1019,9,0)</f>
        <v>2000</v>
      </c>
      <c r="H65" s="11">
        <f>VLOOKUP(B65,'[3]رواتب الموظفين 2022'!$B$9:$E$438,4,0)*2%</f>
        <v>28</v>
      </c>
      <c r="I65" s="11">
        <f>642/12</f>
        <v>53.5</v>
      </c>
      <c r="J65" s="11">
        <v>0</v>
      </c>
      <c r="K65" s="11">
        <f t="shared" si="18"/>
        <v>116.66666666666667</v>
      </c>
      <c r="L65" s="11">
        <f t="shared" si="19"/>
        <v>83.333333333333329</v>
      </c>
      <c r="M65" s="11">
        <f>1500/24</f>
        <v>62.5</v>
      </c>
      <c r="O65" s="10">
        <f t="shared" si="22"/>
        <v>54.166666666666664</v>
      </c>
      <c r="P65" s="10">
        <f t="shared" si="23"/>
        <v>808.33333333333337</v>
      </c>
      <c r="Q65" s="10">
        <v>0</v>
      </c>
      <c r="R65" s="10">
        <f>$K$329</f>
        <v>739.31702574525752</v>
      </c>
      <c r="S65" s="10">
        <f t="shared" si="0"/>
        <v>3945.8170257452575</v>
      </c>
      <c r="T65" s="10">
        <f t="shared" si="1"/>
        <v>47349.804308943087</v>
      </c>
    </row>
    <row r="66" spans="1:20" s="8" customFormat="1" ht="20.100000000000001" customHeight="1" x14ac:dyDescent="0.2">
      <c r="A66" s="9">
        <f t="shared" si="2"/>
        <v>63</v>
      </c>
      <c r="B66" s="9">
        <v>1071</v>
      </c>
      <c r="C66" s="9" t="str">
        <f>VLOOKUP(B66,'[1]اسماء الموظفين'!$B$8:$O$501,2,0)</f>
        <v>أحمد أحمد عبدالله أحمد</v>
      </c>
      <c r="D66" s="9" t="str">
        <f>VLOOKUP(B66,'[1]اسماء الموظفين'!$B$8:$O$501,4,0)</f>
        <v>اليمن</v>
      </c>
      <c r="E66" s="9" t="str">
        <f>VLOOKUP(B66,'[2]المقيمين النشطين'!$B$2:$Q$980,15,0)</f>
        <v>مؤسسة زاوية ريال بركة للكماليات</v>
      </c>
      <c r="F66" s="9" t="str">
        <f>VLOOKUP(B66,'[1]اسماء الموظفين'!$B$8:$O$501,11,0)</f>
        <v>اليرموك</v>
      </c>
      <c r="G66" s="11">
        <f>VLOOKUP(B66,'[3]رواتب الموظفين 2022'!$B$9:$J$1019,9,0)</f>
        <v>2300</v>
      </c>
      <c r="H66" s="11">
        <f>VLOOKUP(B66,'[3]رواتب الموظفين 2022'!$B$9:$E$438,4,0)*2%</f>
        <v>40</v>
      </c>
      <c r="I66" s="11"/>
      <c r="J66" s="11">
        <v>0</v>
      </c>
      <c r="K66" s="11">
        <f t="shared" si="18"/>
        <v>134.16666666666666</v>
      </c>
      <c r="L66" s="11">
        <f t="shared" si="19"/>
        <v>95.833333333333329</v>
      </c>
      <c r="M66" s="11">
        <f>1500/24</f>
        <v>62.5</v>
      </c>
      <c r="O66" s="10">
        <f t="shared" si="22"/>
        <v>54.166666666666664</v>
      </c>
      <c r="P66" s="10">
        <f t="shared" si="23"/>
        <v>808.33333333333337</v>
      </c>
      <c r="Q66" s="10">
        <f>VLOOKUP(B66,[4]بيان!$B$6:$G$112,4,0)</f>
        <v>312.5</v>
      </c>
      <c r="R66" s="10">
        <v>0</v>
      </c>
      <c r="S66" s="10">
        <f t="shared" si="0"/>
        <v>3807.5</v>
      </c>
      <c r="T66" s="10">
        <f t="shared" si="1"/>
        <v>45690</v>
      </c>
    </row>
    <row r="67" spans="1:20" s="8" customFormat="1" ht="20.100000000000001" customHeight="1" x14ac:dyDescent="0.2">
      <c r="A67" s="9">
        <f t="shared" si="2"/>
        <v>64</v>
      </c>
      <c r="B67" s="9">
        <v>1072</v>
      </c>
      <c r="C67" s="9" t="str">
        <f>VLOOKUP(B67,'[1]اسماء الموظفين'!$B$8:$O$501,2,0)</f>
        <v>محمد أحمد محمد عبد القوي الزيادي</v>
      </c>
      <c r="D67" s="9" t="str">
        <f>VLOOKUP(B67,'[1]اسماء الموظفين'!$B$8:$O$501,4,0)</f>
        <v>اليمن</v>
      </c>
      <c r="E67" s="9" t="str">
        <f>VLOOKUP(B67,'[2]المقيمين النشطين'!$B$2:$Q$980,15,0)</f>
        <v>مؤسسة زاوية ريال بركة للكماليات</v>
      </c>
      <c r="F67" s="9" t="str">
        <f>VLOOKUP(B67,'[1]اسماء الموظفين'!$B$8:$O$501,11,0)</f>
        <v>اليرموك</v>
      </c>
      <c r="G67" s="11">
        <f>VLOOKUP(B67,'[3]رواتب الموظفين 2022'!$B$9:$J$1019,9,0)</f>
        <v>2500</v>
      </c>
      <c r="H67" s="11">
        <f>VLOOKUP(B67,'[3]رواتب الموظفين 2022'!$B$9:$E$438,4,0)*2%</f>
        <v>40</v>
      </c>
      <c r="I67" s="11"/>
      <c r="J67" s="11">
        <v>0</v>
      </c>
      <c r="K67" s="11">
        <f t="shared" si="18"/>
        <v>145.83333333333334</v>
      </c>
      <c r="L67" s="11">
        <f t="shared" si="19"/>
        <v>104.16666666666667</v>
      </c>
      <c r="M67" s="11">
        <f>1500/24</f>
        <v>62.5</v>
      </c>
      <c r="O67" s="10">
        <f t="shared" si="22"/>
        <v>54.166666666666664</v>
      </c>
      <c r="P67" s="10">
        <f t="shared" si="23"/>
        <v>808.33333333333337</v>
      </c>
      <c r="Q67" s="10">
        <f>VLOOKUP(B67,[4]بيان!$B$6:$G$112,4,0)</f>
        <v>312.5</v>
      </c>
      <c r="R67" s="10">
        <v>0</v>
      </c>
      <c r="S67" s="10">
        <f t="shared" si="0"/>
        <v>4027.5</v>
      </c>
      <c r="T67" s="10">
        <f t="shared" si="1"/>
        <v>48330</v>
      </c>
    </row>
    <row r="68" spans="1:20" s="8" customFormat="1" ht="20.100000000000001" customHeight="1" x14ac:dyDescent="0.2">
      <c r="A68" s="9">
        <f t="shared" si="2"/>
        <v>65</v>
      </c>
      <c r="B68" s="9">
        <v>1073</v>
      </c>
      <c r="C68" s="9" t="str">
        <f>VLOOKUP(B68,'[1]اسماء الموظفين'!$B$8:$O$501,2,0)</f>
        <v>محمد عباس علي</v>
      </c>
      <c r="D68" s="9" t="str">
        <f>VLOOKUP(B68,'[1]اسماء الموظفين'!$B$8:$O$501,4,0)</f>
        <v>بنجلاديش</v>
      </c>
      <c r="E68" s="9" t="str">
        <f>VLOOKUP(B68,'[2]المقيمين النشطين'!$B$2:$Q$980,15,0)</f>
        <v>شركة ريال البركة للتجارة</v>
      </c>
      <c r="F68" s="9" t="str">
        <f>VLOOKUP(B68,'[1]اسماء الموظفين'!$B$8:$O$501,11,0)</f>
        <v>غرناطة</v>
      </c>
      <c r="G68" s="11">
        <f>VLOOKUP(B68,'[3]رواتب الموظفين 2022'!$B$9:$J$1019,9,0)</f>
        <v>1900</v>
      </c>
      <c r="H68" s="11">
        <f>VLOOKUP(B68,'[3]رواتب الموظفين 2022'!$B$9:$E$438,4,0)*2%</f>
        <v>26</v>
      </c>
      <c r="I68" s="11">
        <f>303/12</f>
        <v>25.25</v>
      </c>
      <c r="J68" s="11">
        <f>220/12</f>
        <v>18.333333333333332</v>
      </c>
      <c r="K68" s="11">
        <f t="shared" si="18"/>
        <v>110.83333333333333</v>
      </c>
      <c r="L68" s="11">
        <f t="shared" si="19"/>
        <v>79.166666666666671</v>
      </c>
      <c r="M68" s="11">
        <f>1800/24</f>
        <v>75</v>
      </c>
      <c r="O68" s="10">
        <f t="shared" si="22"/>
        <v>54.166666666666664</v>
      </c>
      <c r="P68" s="10">
        <f t="shared" si="23"/>
        <v>808.33333333333337</v>
      </c>
      <c r="Q68" s="10">
        <f>VLOOKUP(B68,[4]بيان!$B$6:$G$112,4,0)</f>
        <v>187.5</v>
      </c>
      <c r="R68" s="10">
        <f>$K$329</f>
        <v>739.31702574525752</v>
      </c>
      <c r="S68" s="10">
        <f t="shared" ref="S68:S131" si="24">SUM(G68:R68)</f>
        <v>4023.9003590785906</v>
      </c>
      <c r="T68" s="10">
        <f t="shared" si="1"/>
        <v>48286.804308943087</v>
      </c>
    </row>
    <row r="69" spans="1:20" s="8" customFormat="1" ht="20.100000000000001" customHeight="1" x14ac:dyDescent="0.2">
      <c r="A69" s="9">
        <f t="shared" si="2"/>
        <v>66</v>
      </c>
      <c r="B69" s="9">
        <v>1074</v>
      </c>
      <c r="C69" s="9" t="str">
        <f>VLOOKUP(B69,'[1]اسماء الموظفين'!$B$8:$O$501,2,0)</f>
        <v>زكريا علي صالح احمد</v>
      </c>
      <c r="D69" s="9" t="str">
        <f>VLOOKUP(B69,'[1]اسماء الموظفين'!$B$8:$O$501,4,0)</f>
        <v>اليمن</v>
      </c>
      <c r="E69" s="9" t="str">
        <f>VLOOKUP(B69,'[2]المقيمين النشطين'!$B$2:$Q$980,15,0)</f>
        <v>شركة ريال البركة للتجارة</v>
      </c>
      <c r="F69" s="9" t="str">
        <f>VLOOKUP(B69,'[1]اسماء الموظفين'!$B$8:$O$501,11,0)</f>
        <v>الإدارة</v>
      </c>
      <c r="G69" s="11">
        <f>VLOOKUP(B69,'[3]رواتب الموظفين 2022'!$B$9:$J$1019,9,0)</f>
        <v>4000</v>
      </c>
      <c r="H69" s="11">
        <f>VLOOKUP(B69,'[3]رواتب الموظفين 2022'!$B$9:$E$438,4,0)*2%</f>
        <v>50</v>
      </c>
      <c r="I69" s="11">
        <f>1824+642/12</f>
        <v>1877.5</v>
      </c>
      <c r="J69" s="11">
        <v>0</v>
      </c>
      <c r="K69" s="11">
        <f t="shared" si="18"/>
        <v>233.33333333333334</v>
      </c>
      <c r="L69" s="11">
        <f t="shared" si="19"/>
        <v>166.66666666666666</v>
      </c>
      <c r="M69" s="11">
        <f>1500/12</f>
        <v>125</v>
      </c>
      <c r="O69" s="10">
        <f t="shared" si="22"/>
        <v>54.166666666666664</v>
      </c>
      <c r="P69" s="10">
        <f t="shared" si="23"/>
        <v>808.33333333333337</v>
      </c>
      <c r="Q69" s="10">
        <f>6000/12</f>
        <v>500</v>
      </c>
      <c r="R69" s="10">
        <f>$K$329</f>
        <v>739.31702574525752</v>
      </c>
      <c r="S69" s="10">
        <f t="shared" si="24"/>
        <v>8554.3170257452584</v>
      </c>
      <c r="T69" s="10">
        <f t="shared" ref="T69:T132" si="25">S69*12</f>
        <v>102651.8043089431</v>
      </c>
    </row>
    <row r="70" spans="1:20" s="8" customFormat="1" ht="20.100000000000001" customHeight="1" x14ac:dyDescent="0.2">
      <c r="A70" s="9">
        <f t="shared" ref="A70:A133" si="26">ROW()-3</f>
        <v>67</v>
      </c>
      <c r="B70" s="9">
        <v>1076</v>
      </c>
      <c r="C70" s="9" t="str">
        <f>VLOOKUP(B70,'[1]اسماء الموظفين'!$B$8:$O$501,2,0)</f>
        <v>ايمان حسين</v>
      </c>
      <c r="D70" s="9" t="str">
        <f>VLOOKUP(B70,'[1]اسماء الموظفين'!$B$8:$O$501,4,0)</f>
        <v>بنجلاديش</v>
      </c>
      <c r="E70" s="9" t="str">
        <f>VLOOKUP(B70,'[2]المقيمين النشطين'!$B$2:$Q$980,15,0)</f>
        <v>شركة ريال البركة للتجارة</v>
      </c>
      <c r="F70" s="9" t="str">
        <f>VLOOKUP(B70,'[1]اسماء الموظفين'!$B$8:$O$501,11,0)</f>
        <v>مستودع جملة سلطان</v>
      </c>
      <c r="G70" s="11">
        <f>VLOOKUP(B70,'[3]رواتب الموظفين 2022'!$B$9:$J$1019,9,0)</f>
        <v>1700</v>
      </c>
      <c r="H70" s="11">
        <f>VLOOKUP(B70,'[3]رواتب الموظفين 2022'!$B$9:$E$438,4,0)*2%</f>
        <v>24</v>
      </c>
      <c r="I70" s="11">
        <f>367/12</f>
        <v>30.583333333333332</v>
      </c>
      <c r="J70" s="11">
        <v>0</v>
      </c>
      <c r="K70" s="11">
        <f t="shared" si="18"/>
        <v>99.166666666666671</v>
      </c>
      <c r="L70" s="11">
        <f t="shared" si="19"/>
        <v>70.833333333333329</v>
      </c>
      <c r="M70" s="11">
        <f>1800/24</f>
        <v>75</v>
      </c>
      <c r="O70" s="10">
        <f t="shared" si="22"/>
        <v>54.166666666666664</v>
      </c>
      <c r="P70" s="10">
        <f t="shared" si="23"/>
        <v>808.33333333333337</v>
      </c>
      <c r="Q70" s="10">
        <f>VLOOKUP(B70,[4]بيان!$B$6:$G$112,4,0)</f>
        <v>96.491228070175438</v>
      </c>
      <c r="R70" s="10">
        <f>$K$329</f>
        <v>739.31702574525752</v>
      </c>
      <c r="S70" s="10">
        <f t="shared" si="24"/>
        <v>3697.8915871487666</v>
      </c>
      <c r="T70" s="10">
        <f t="shared" si="25"/>
        <v>44374.699045785201</v>
      </c>
    </row>
    <row r="71" spans="1:20" s="8" customFormat="1" ht="20.100000000000001" customHeight="1" x14ac:dyDescent="0.2">
      <c r="A71" s="9">
        <f t="shared" si="26"/>
        <v>68</v>
      </c>
      <c r="B71" s="9">
        <v>1077</v>
      </c>
      <c r="C71" s="9" t="str">
        <f>VLOOKUP(B71,'[1]اسماء الموظفين'!$B$8:$O$501,2,0)</f>
        <v>رابي حسين</v>
      </c>
      <c r="D71" s="9" t="str">
        <f>VLOOKUP(B71,'[1]اسماء الموظفين'!$B$8:$O$501,4,0)</f>
        <v>بنجلاديش</v>
      </c>
      <c r="E71" s="9" t="str">
        <f>VLOOKUP(B71,'[2]المقيمين النشطين'!$B$2:$Q$980,15,0)</f>
        <v>مؤسسة سلطان عبدالرحمن صالح الرزيحي للتجارة</v>
      </c>
      <c r="F71" s="9" t="str">
        <f>VLOOKUP(B71,'[1]اسماء الموظفين'!$B$8:$O$501,11,0)</f>
        <v>هاينس</v>
      </c>
      <c r="G71" s="11">
        <f>VLOOKUP(B71,'[3]رواتب الموظفين 2022'!$B$9:$J$1019,9,0)</f>
        <v>1800</v>
      </c>
      <c r="H71" s="11">
        <f>VLOOKUP(B71,'[3]رواتب الموظفين 2022'!$B$9:$E$438,4,0)*2%</f>
        <v>24</v>
      </c>
      <c r="I71" s="11">
        <f>245/12</f>
        <v>20.416666666666668</v>
      </c>
      <c r="J71" s="11">
        <f>1251.55/12</f>
        <v>104.29583333333333</v>
      </c>
      <c r="K71" s="11">
        <f t="shared" si="18"/>
        <v>105</v>
      </c>
      <c r="L71" s="11">
        <f t="shared" si="19"/>
        <v>75</v>
      </c>
      <c r="M71" s="11">
        <f>1800/24</f>
        <v>75</v>
      </c>
      <c r="O71" s="10">
        <f t="shared" si="22"/>
        <v>54.166666666666664</v>
      </c>
      <c r="P71" s="10">
        <f t="shared" si="23"/>
        <v>808.33333333333337</v>
      </c>
      <c r="Q71" s="10">
        <f>VLOOKUP(B71,[4]بيان!$B$6:$G$112,4,0)</f>
        <v>92.594444444444449</v>
      </c>
      <c r="R71" s="10">
        <f>$K$329</f>
        <v>739.31702574525752</v>
      </c>
      <c r="S71" s="10">
        <f t="shared" si="24"/>
        <v>3898.123970189702</v>
      </c>
      <c r="T71" s="10">
        <f t="shared" si="25"/>
        <v>46777.487642276421</v>
      </c>
    </row>
    <row r="72" spans="1:20" s="8" customFormat="1" ht="20.100000000000001" customHeight="1" x14ac:dyDescent="0.2">
      <c r="A72" s="9">
        <f t="shared" si="26"/>
        <v>69</v>
      </c>
      <c r="B72" s="9">
        <v>1078</v>
      </c>
      <c r="C72" s="9" t="str">
        <f>VLOOKUP(B72,'[1]اسماء الموظفين'!$B$8:$O$501,2,0)</f>
        <v>فكري عبدالدائم محمد عبدالرحمن</v>
      </c>
      <c r="D72" s="9" t="str">
        <f>VLOOKUP(B72,'[1]اسماء الموظفين'!$B$8:$O$501,4,0)</f>
        <v>اليمن</v>
      </c>
      <c r="E72" s="9" t="str">
        <f>VLOOKUP(B72,'[2]المقيمين النشطين'!$B$2:$Q$980,15,0)</f>
        <v>شركة ريال البركة للتجارة</v>
      </c>
      <c r="F72" s="9" t="str">
        <f>VLOOKUP(B72,'[1]اسماء الموظفين'!$B$8:$O$501,11,0)</f>
        <v>مستودع عكاظ 23</v>
      </c>
      <c r="G72" s="11">
        <f>VLOOKUP(B72,'[3]رواتب الموظفين 2022'!$B$9:$J$1019,9,0)</f>
        <v>800</v>
      </c>
      <c r="H72" s="11">
        <f>VLOOKUP(B72,'[3]رواتب الموظفين 2022'!$B$9:$E$438,4,0)*2%</f>
        <v>16</v>
      </c>
      <c r="I72" s="11"/>
      <c r="J72" s="11"/>
      <c r="K72" s="11"/>
      <c r="L72" s="11"/>
      <c r="M72" s="11"/>
      <c r="O72" s="10"/>
      <c r="P72" s="10"/>
      <c r="Q72" s="10">
        <v>0</v>
      </c>
      <c r="R72" s="10">
        <f>$K$329</f>
        <v>739.31702574525752</v>
      </c>
      <c r="S72" s="10">
        <f t="shared" si="24"/>
        <v>1555.3170257452575</v>
      </c>
      <c r="T72" s="10">
        <f t="shared" si="25"/>
        <v>18663.80430894309</v>
      </c>
    </row>
    <row r="73" spans="1:20" s="8" customFormat="1" ht="20.100000000000001" customHeight="1" x14ac:dyDescent="0.2">
      <c r="A73" s="9">
        <f t="shared" si="26"/>
        <v>70</v>
      </c>
      <c r="B73" s="9">
        <v>1079</v>
      </c>
      <c r="C73" s="9" t="str">
        <f>VLOOKUP(B73,'[1]اسماء الموظفين'!$B$8:$O$501,2,0)</f>
        <v>خالق عبد الرشيد</v>
      </c>
      <c r="D73" s="9" t="str">
        <f>VLOOKUP(B73,'[1]اسماء الموظفين'!$B$8:$O$501,4,0)</f>
        <v>بنجلاديش</v>
      </c>
      <c r="E73" s="9" t="str">
        <f>VLOOKUP(B73,'[2]المقيمين النشطين'!$B$2:$Q$980,15,0)</f>
        <v>مؤسسة عبدالرحمن سلطان عبدالرحمن الرزيحي للتجارة</v>
      </c>
      <c r="F73" s="9" t="str">
        <f>VLOOKUP(B73,'[1]اسماء الموظفين'!$B$8:$O$501,11,0)</f>
        <v>الشفا</v>
      </c>
      <c r="G73" s="11">
        <f>VLOOKUP(B73,'[3]رواتب الموظفين 2022'!$B$9:$J$1019,9,0)</f>
        <v>1750</v>
      </c>
      <c r="H73" s="11">
        <f>VLOOKUP(B73,'[3]رواتب الموظفين 2022'!$B$9:$E$438,4,0)*2%</f>
        <v>24</v>
      </c>
      <c r="I73" s="11">
        <f>367/12</f>
        <v>30.583333333333332</v>
      </c>
      <c r="J73" s="11">
        <f>220/12</f>
        <v>18.333333333333332</v>
      </c>
      <c r="K73" s="11">
        <f t="shared" ref="K73:K92" si="27">G73/30*21/12</f>
        <v>102.08333333333333</v>
      </c>
      <c r="L73" s="11">
        <f t="shared" ref="L73:L92" si="28">G73/2/12</f>
        <v>72.916666666666671</v>
      </c>
      <c r="M73" s="11">
        <f>1800/24</f>
        <v>75</v>
      </c>
      <c r="O73" s="10">
        <f t="shared" ref="O73:O92" si="29">650/12</f>
        <v>54.166666666666664</v>
      </c>
      <c r="P73" s="10">
        <f>9700/12</f>
        <v>808.33333333333337</v>
      </c>
      <c r="Q73" s="10">
        <f>VLOOKUP(B73,[4]بيان!$B$6:$G$112,4,0)</f>
        <v>220.23809523809521</v>
      </c>
      <c r="R73" s="10">
        <f>J$334</f>
        <v>581.33333333333337</v>
      </c>
      <c r="S73" s="10">
        <f t="shared" si="24"/>
        <v>3736.9880952380954</v>
      </c>
      <c r="T73" s="10">
        <f t="shared" si="25"/>
        <v>44843.857142857145</v>
      </c>
    </row>
    <row r="74" spans="1:20" s="8" customFormat="1" ht="20.100000000000001" customHeight="1" x14ac:dyDescent="0.2">
      <c r="A74" s="9">
        <f t="shared" si="26"/>
        <v>71</v>
      </c>
      <c r="B74" s="9">
        <v>1080</v>
      </c>
      <c r="C74" s="9" t="str">
        <f>VLOOKUP(B74,'[1]اسماء الموظفين'!$B$8:$O$501,2,0)</f>
        <v>محمد السر علي الخليفة</v>
      </c>
      <c r="D74" s="9" t="str">
        <f>VLOOKUP(B74,'[1]اسماء الموظفين'!$B$8:$O$501,4,0)</f>
        <v>السودان</v>
      </c>
      <c r="E74" s="9" t="str">
        <f>VLOOKUP(B74,'[2]المقيمين النشطين'!$B$2:$Q$980,15,0)</f>
        <v>مؤسسة عبدالرحمن سلطان عبدالرحمن الرزيحي للتجارة</v>
      </c>
      <c r="F74" s="9" t="str">
        <f>VLOOKUP(B74,'[1]اسماء الموظفين'!$B$8:$O$501,11,0)</f>
        <v>المصنع</v>
      </c>
      <c r="G74" s="11">
        <f>VLOOKUP(B74,'[3]رواتب الموظفين 2022'!$B$9:$J$1019,9,0)</f>
        <v>1900</v>
      </c>
      <c r="H74" s="11">
        <f>VLOOKUP(B74,'[3]رواتب الموظفين 2022'!$B$9:$E$438,4,0)*2%</f>
        <v>26</v>
      </c>
      <c r="I74" s="11">
        <f>1360/12</f>
        <v>113.33333333333333</v>
      </c>
      <c r="J74" s="11">
        <v>0</v>
      </c>
      <c r="K74" s="11">
        <f t="shared" si="27"/>
        <v>110.83333333333333</v>
      </c>
      <c r="L74" s="11">
        <f t="shared" si="28"/>
        <v>79.166666666666671</v>
      </c>
      <c r="M74" s="11">
        <f>1500/24</f>
        <v>62.5</v>
      </c>
      <c r="O74" s="10">
        <f t="shared" si="29"/>
        <v>54.166666666666664</v>
      </c>
      <c r="P74" s="10">
        <f>9700/12</f>
        <v>808.33333333333337</v>
      </c>
      <c r="Q74" s="10">
        <v>0</v>
      </c>
      <c r="R74" s="10">
        <f>$K$329</f>
        <v>739.31702574525752</v>
      </c>
      <c r="S74" s="10">
        <f t="shared" si="24"/>
        <v>3893.6503590785906</v>
      </c>
      <c r="T74" s="10">
        <f t="shared" si="25"/>
        <v>46723.804308943087</v>
      </c>
    </row>
    <row r="75" spans="1:20" s="8" customFormat="1" ht="20.100000000000001" customHeight="1" x14ac:dyDescent="0.2">
      <c r="A75" s="9">
        <f t="shared" si="26"/>
        <v>72</v>
      </c>
      <c r="B75" s="9">
        <v>1081</v>
      </c>
      <c r="C75" s="9" t="str">
        <f>VLOOKUP(B75,'[1]اسماء الموظفين'!$B$8:$O$501,2,0)</f>
        <v>حسام حسن عبده الحاج حزام</v>
      </c>
      <c r="D75" s="9" t="str">
        <f>VLOOKUP(B75,'[1]اسماء الموظفين'!$B$8:$O$501,4,0)</f>
        <v>اليمن</v>
      </c>
      <c r="E75" s="9" t="str">
        <f>VLOOKUP(B75,'[2]المقيمين النشطين'!$B$2:$Q$980,15,0)</f>
        <v>مؤسسة عبدالرحمن سلطان عبدالرحمن الرزيحي للتجارة</v>
      </c>
      <c r="F75" s="9" t="str">
        <f>VLOOKUP(B75,'[1]اسماء الموظفين'!$B$8:$O$501,11,0)</f>
        <v>بريدة</v>
      </c>
      <c r="G75" s="11">
        <f>VLOOKUP(B75,'[3]رواتب الموظفين 2022'!$B$9:$J$1019,9,0)</f>
        <v>2500</v>
      </c>
      <c r="H75" s="11">
        <f>VLOOKUP(B75,'[3]رواتب الموظفين 2022'!$B$9:$E$438,4,0)*2%</f>
        <v>36</v>
      </c>
      <c r="I75" s="11">
        <f>412/12</f>
        <v>34.333333333333336</v>
      </c>
      <c r="J75" s="11">
        <f>220/12</f>
        <v>18.333333333333332</v>
      </c>
      <c r="K75" s="11">
        <f t="shared" si="27"/>
        <v>145.83333333333334</v>
      </c>
      <c r="L75" s="11">
        <f t="shared" si="28"/>
        <v>104.16666666666667</v>
      </c>
      <c r="M75" s="11">
        <f>1500/24</f>
        <v>62.5</v>
      </c>
      <c r="O75" s="10">
        <f t="shared" si="29"/>
        <v>54.166666666666664</v>
      </c>
      <c r="P75" s="10">
        <f>9700/12</f>
        <v>808.33333333333337</v>
      </c>
      <c r="Q75" s="10">
        <f>VLOOKUP(B75,[4]بيان!$B$6:$G$112,4,0)</f>
        <v>375</v>
      </c>
      <c r="R75" s="10">
        <f>J$334</f>
        <v>581.33333333333337</v>
      </c>
      <c r="S75" s="10">
        <f t="shared" si="24"/>
        <v>4720</v>
      </c>
      <c r="T75" s="10">
        <f t="shared" si="25"/>
        <v>56640</v>
      </c>
    </row>
    <row r="76" spans="1:20" s="8" customFormat="1" ht="20.100000000000001" customHeight="1" x14ac:dyDescent="0.2">
      <c r="A76" s="9">
        <f t="shared" si="26"/>
        <v>73</v>
      </c>
      <c r="B76" s="9">
        <v>1082</v>
      </c>
      <c r="C76" s="9" t="str">
        <f>VLOOKUP(B76,'[1]اسماء الموظفين'!$B$8:$O$501,2,0)</f>
        <v>امجد حسين صديقي</v>
      </c>
      <c r="D76" s="9" t="str">
        <f>VLOOKUP(B76,'[1]اسماء الموظفين'!$B$8:$O$501,4,0)</f>
        <v>نيبال</v>
      </c>
      <c r="E76" s="9" t="str">
        <f>VLOOKUP(B76,'[2]المقيمين النشطين'!$B$2:$Q$980,15,0)</f>
        <v>شركة ريال البركة للتجارة</v>
      </c>
      <c r="F76" s="9" t="str">
        <f>VLOOKUP(B76,'[1]اسماء الموظفين'!$B$8:$O$501,11,0)</f>
        <v>مستودع جملة سلطان</v>
      </c>
      <c r="G76" s="11">
        <f>VLOOKUP(B76,'[3]رواتب الموظفين 2022'!$B$9:$J$1019,9,0)</f>
        <v>1700</v>
      </c>
      <c r="H76" s="11">
        <f>VLOOKUP(B76,'[3]رواتب الموظفين 2022'!$B$9:$E$438,4,0)*2%</f>
        <v>20</v>
      </c>
      <c r="I76" s="11">
        <f>195/12</f>
        <v>16.25</v>
      </c>
      <c r="J76" s="11">
        <v>0</v>
      </c>
      <c r="K76" s="11">
        <f t="shared" si="27"/>
        <v>99.166666666666671</v>
      </c>
      <c r="L76" s="11">
        <f t="shared" si="28"/>
        <v>70.833333333333329</v>
      </c>
      <c r="M76" s="11">
        <f t="shared" ref="M76:M92" si="30">1800/24</f>
        <v>75</v>
      </c>
      <c r="O76" s="10">
        <f t="shared" si="29"/>
        <v>54.166666666666664</v>
      </c>
      <c r="P76" s="10">
        <f>9700/12</f>
        <v>808.33333333333337</v>
      </c>
      <c r="Q76" s="10">
        <f>VLOOKUP(B76,[4]بيان!$B$6:$G$112,4,0)</f>
        <v>96.491228070175438</v>
      </c>
      <c r="R76" s="10">
        <f t="shared" ref="R76:R83" si="31">$K$329</f>
        <v>739.31702574525752</v>
      </c>
      <c r="S76" s="10">
        <f t="shared" si="24"/>
        <v>3679.5582538154331</v>
      </c>
      <c r="T76" s="10">
        <f t="shared" si="25"/>
        <v>44154.699045785193</v>
      </c>
    </row>
    <row r="77" spans="1:20" s="8" customFormat="1" ht="20.100000000000001" customHeight="1" x14ac:dyDescent="0.2">
      <c r="A77" s="9">
        <f t="shared" si="26"/>
        <v>74</v>
      </c>
      <c r="B77" s="9">
        <v>1083</v>
      </c>
      <c r="C77" s="9" t="str">
        <f>VLOOKUP(B77,'[1]اسماء الموظفين'!$B$8:$O$501,2,0)</f>
        <v>خدادين منصور</v>
      </c>
      <c r="D77" s="9" t="str">
        <f>VLOOKUP(B77,'[1]اسماء الموظفين'!$B$8:$O$501,4,0)</f>
        <v>نيبال</v>
      </c>
      <c r="E77" s="9" t="str">
        <f>VLOOKUP(B77,'[2]المقيمين النشطين'!$B$2:$Q$980,15,0)</f>
        <v>شركة ريال البركة للتجارة</v>
      </c>
      <c r="F77" s="9" t="str">
        <f>VLOOKUP(B77,'[1]اسماء الموظفين'!$B$8:$O$501,11,0)</f>
        <v>جملة ريال البركة</v>
      </c>
      <c r="G77" s="11">
        <f>VLOOKUP(B77,'[3]رواتب الموظفين 2022'!$B$9:$J$1019,9,0)</f>
        <v>1700</v>
      </c>
      <c r="H77" s="11">
        <f>VLOOKUP(B77,'[3]رواتب الموظفين 2022'!$B$9:$E$438,4,0)*2%</f>
        <v>24</v>
      </c>
      <c r="I77" s="11"/>
      <c r="J77" s="11">
        <v>0</v>
      </c>
      <c r="K77" s="11">
        <f t="shared" si="27"/>
        <v>99.166666666666671</v>
      </c>
      <c r="L77" s="11">
        <f t="shared" si="28"/>
        <v>70.833333333333329</v>
      </c>
      <c r="M77" s="11">
        <f t="shared" si="30"/>
        <v>75</v>
      </c>
      <c r="O77" s="10">
        <f t="shared" si="29"/>
        <v>54.166666666666664</v>
      </c>
      <c r="P77" s="10">
        <f>9700/12</f>
        <v>808.33333333333337</v>
      </c>
      <c r="Q77" s="10">
        <v>0</v>
      </c>
      <c r="R77" s="10">
        <f t="shared" si="31"/>
        <v>739.31702574525752</v>
      </c>
      <c r="S77" s="10">
        <f t="shared" si="24"/>
        <v>3570.8170257452575</v>
      </c>
      <c r="T77" s="10">
        <f t="shared" si="25"/>
        <v>42849.804308943087</v>
      </c>
    </row>
    <row r="78" spans="1:20" s="8" customFormat="1" ht="20.100000000000001" customHeight="1" x14ac:dyDescent="0.2">
      <c r="A78" s="9">
        <f t="shared" si="26"/>
        <v>75</v>
      </c>
      <c r="B78" s="9">
        <v>1084</v>
      </c>
      <c r="C78" s="9" t="str">
        <f>VLOOKUP(B78,'[1]اسماء الموظفين'!$B$8:$O$501,2,0)</f>
        <v>رانجيف شيخ</v>
      </c>
      <c r="D78" s="9" t="str">
        <f>VLOOKUP(B78,'[1]اسماء الموظفين'!$B$8:$O$501,4,0)</f>
        <v>نيبال</v>
      </c>
      <c r="E78" s="9" t="str">
        <f>VLOOKUP(B78,'[2]المقيمين النشطين'!$B$2:$Q$980,15,0)</f>
        <v>مصنع سلطان عبدالرحمن صالح الرزيحي للمنتجات الورقية</v>
      </c>
      <c r="F78" s="9" t="str">
        <f>VLOOKUP(B78,'[1]اسماء الموظفين'!$B$8:$O$501,11,0)</f>
        <v>المصنع</v>
      </c>
      <c r="G78" s="11">
        <f>VLOOKUP(B78,'[3]رواتب الموظفين 2022'!$B$9:$J$1019,9,0)</f>
        <v>1900</v>
      </c>
      <c r="H78" s="11">
        <f>VLOOKUP(B78,'[3]رواتب الموظفين 2022'!$B$9:$E$438,4,0)*2%</f>
        <v>24</v>
      </c>
      <c r="I78" s="11">
        <f>245/12</f>
        <v>20.416666666666668</v>
      </c>
      <c r="J78" s="11">
        <f>1225.6/12</f>
        <v>102.13333333333333</v>
      </c>
      <c r="K78" s="11">
        <f t="shared" si="27"/>
        <v>110.83333333333333</v>
      </c>
      <c r="L78" s="11">
        <f t="shared" si="28"/>
        <v>79.166666666666671</v>
      </c>
      <c r="M78" s="11">
        <f t="shared" si="30"/>
        <v>75</v>
      </c>
      <c r="O78" s="10">
        <f t="shared" si="29"/>
        <v>54.166666666666664</v>
      </c>
      <c r="P78" s="10">
        <v>8.3333333333333339</v>
      </c>
      <c r="Q78" s="10">
        <v>0</v>
      </c>
      <c r="R78" s="10">
        <f t="shared" si="31"/>
        <v>739.31702574525752</v>
      </c>
      <c r="S78" s="10">
        <f t="shared" si="24"/>
        <v>3113.3670257452577</v>
      </c>
      <c r="T78" s="10">
        <f t="shared" si="25"/>
        <v>37360.404308943092</v>
      </c>
    </row>
    <row r="79" spans="1:20" s="8" customFormat="1" ht="20.100000000000001" customHeight="1" x14ac:dyDescent="0.2">
      <c r="A79" s="9">
        <f t="shared" si="26"/>
        <v>76</v>
      </c>
      <c r="B79" s="9">
        <v>1085</v>
      </c>
      <c r="C79" s="9" t="str">
        <f>VLOOKUP(B79,'[1]اسماء الموظفين'!$B$8:$O$501,2,0)</f>
        <v>شيخ احمد علام</v>
      </c>
      <c r="D79" s="9" t="str">
        <f>VLOOKUP(B79,'[1]اسماء الموظفين'!$B$8:$O$501,4,0)</f>
        <v>نيبال</v>
      </c>
      <c r="E79" s="9" t="str">
        <f>VLOOKUP(B79,'[2]المقيمين النشطين'!$B$2:$Q$980,15,0)</f>
        <v>شركة ريال البركة للتجارة</v>
      </c>
      <c r="F79" s="9" t="str">
        <f>VLOOKUP(B79,'[1]اسماء الموظفين'!$B$8:$O$501,11,0)</f>
        <v>مستودع جملة سلطان</v>
      </c>
      <c r="G79" s="11">
        <f>VLOOKUP(B79,'[3]رواتب الموظفين 2022'!$B$9:$J$1019,9,0)</f>
        <v>1700</v>
      </c>
      <c r="H79" s="11">
        <f>VLOOKUP(B79,'[3]رواتب الموظفين 2022'!$B$9:$E$438,4,0)*2%</f>
        <v>24</v>
      </c>
      <c r="I79" s="11"/>
      <c r="J79" s="11">
        <v>0</v>
      </c>
      <c r="K79" s="11">
        <f t="shared" si="27"/>
        <v>99.166666666666671</v>
      </c>
      <c r="L79" s="11">
        <f t="shared" si="28"/>
        <v>70.833333333333329</v>
      </c>
      <c r="M79" s="11">
        <f t="shared" si="30"/>
        <v>75</v>
      </c>
      <c r="O79" s="10">
        <f t="shared" si="29"/>
        <v>54.166666666666664</v>
      </c>
      <c r="P79" s="10">
        <f>9700/12</f>
        <v>808.33333333333337</v>
      </c>
      <c r="Q79" s="10">
        <f>VLOOKUP(B79,[4]بيان!$B$6:$G$112,4,0)</f>
        <v>96.491228070175438</v>
      </c>
      <c r="R79" s="10">
        <f t="shared" si="31"/>
        <v>739.31702574525752</v>
      </c>
      <c r="S79" s="10">
        <f t="shared" si="24"/>
        <v>3667.3082538154331</v>
      </c>
      <c r="T79" s="10">
        <f t="shared" si="25"/>
        <v>44007.699045785193</v>
      </c>
    </row>
    <row r="80" spans="1:20" s="8" customFormat="1" ht="20.100000000000001" customHeight="1" x14ac:dyDescent="0.2">
      <c r="A80" s="9">
        <f t="shared" si="26"/>
        <v>77</v>
      </c>
      <c r="B80" s="9">
        <v>1086</v>
      </c>
      <c r="C80" s="9" t="str">
        <f>VLOOKUP(B80,'[1]اسماء الموظفين'!$B$8:$O$501,2,0)</f>
        <v>شيخ اسك</v>
      </c>
      <c r="D80" s="9" t="str">
        <f>VLOOKUP(B80,'[1]اسماء الموظفين'!$B$8:$O$501,4,0)</f>
        <v>نيبال</v>
      </c>
      <c r="E80" s="9" t="str">
        <f>VLOOKUP(B80,'[2]المقيمين النشطين'!$B$2:$Q$980,15,0)</f>
        <v>شركة ريال البركة للتجارة</v>
      </c>
      <c r="F80" s="9" t="str">
        <f>VLOOKUP(B80,'[1]اسماء الموظفين'!$B$8:$O$501,11,0)</f>
        <v>أونلاين</v>
      </c>
      <c r="G80" s="11">
        <f>VLOOKUP(B80,'[3]رواتب الموظفين 2022'!$B$9:$J$1019,9,0)</f>
        <v>1700</v>
      </c>
      <c r="H80" s="11">
        <f>VLOOKUP(B80,'[3]رواتب الموظفين 2022'!$B$9:$E$438,4,0)*2%</f>
        <v>24</v>
      </c>
      <c r="I80" s="11">
        <f>195/12</f>
        <v>16.25</v>
      </c>
      <c r="J80" s="11">
        <v>0</v>
      </c>
      <c r="K80" s="11">
        <f t="shared" si="27"/>
        <v>99.166666666666671</v>
      </c>
      <c r="L80" s="11">
        <f t="shared" si="28"/>
        <v>70.833333333333329</v>
      </c>
      <c r="M80" s="11">
        <f t="shared" si="30"/>
        <v>75</v>
      </c>
      <c r="O80" s="10">
        <f t="shared" si="29"/>
        <v>54.166666666666664</v>
      </c>
      <c r="P80" s="10">
        <f>9700/12</f>
        <v>808.33333333333337</v>
      </c>
      <c r="Q80" s="10">
        <v>0</v>
      </c>
      <c r="R80" s="10">
        <f t="shared" si="31"/>
        <v>739.31702574525752</v>
      </c>
      <c r="S80" s="10">
        <f t="shared" si="24"/>
        <v>3587.0670257452575</v>
      </c>
      <c r="T80" s="10">
        <f t="shared" si="25"/>
        <v>43044.804308943087</v>
      </c>
    </row>
    <row r="81" spans="1:20" s="8" customFormat="1" ht="20.100000000000001" customHeight="1" x14ac:dyDescent="0.2">
      <c r="A81" s="9">
        <f t="shared" si="26"/>
        <v>78</v>
      </c>
      <c r="B81" s="9">
        <v>1087</v>
      </c>
      <c r="C81" s="9" t="str">
        <f>VLOOKUP(B81,'[1]اسماء الموظفين'!$B$8:$O$501,2,0)</f>
        <v>ضيا انصاري</v>
      </c>
      <c r="D81" s="9" t="str">
        <f>VLOOKUP(B81,'[1]اسماء الموظفين'!$B$8:$O$501,4,0)</f>
        <v>نيبال</v>
      </c>
      <c r="E81" s="9" t="str">
        <f>VLOOKUP(B81,'[2]المقيمين النشطين'!$B$2:$Q$980,15,0)</f>
        <v>شركة ريال البركة للتجارة</v>
      </c>
      <c r="F81" s="9" t="str">
        <f>VLOOKUP(B81,'[1]اسماء الموظفين'!$B$8:$O$501,11,0)</f>
        <v>مستودع جملة سلطان</v>
      </c>
      <c r="G81" s="11">
        <f>VLOOKUP(B81,'[3]رواتب الموظفين 2022'!$B$9:$J$1019,9,0)</f>
        <v>1700</v>
      </c>
      <c r="H81" s="11">
        <f>VLOOKUP(B81,'[3]رواتب الموظفين 2022'!$B$9:$E$438,4,0)*2%</f>
        <v>24</v>
      </c>
      <c r="I81" s="11">
        <f>195/12</f>
        <v>16.25</v>
      </c>
      <c r="J81" s="11">
        <v>0</v>
      </c>
      <c r="K81" s="11">
        <f t="shared" si="27"/>
        <v>99.166666666666671</v>
      </c>
      <c r="L81" s="11">
        <f t="shared" si="28"/>
        <v>70.833333333333329</v>
      </c>
      <c r="M81" s="11">
        <f t="shared" si="30"/>
        <v>75</v>
      </c>
      <c r="O81" s="10">
        <f t="shared" si="29"/>
        <v>54.166666666666664</v>
      </c>
      <c r="P81" s="10">
        <f>9700/12</f>
        <v>808.33333333333337</v>
      </c>
      <c r="Q81" s="10">
        <f>VLOOKUP(B81,[4]بيان!$B$6:$G$112,4,0)</f>
        <v>96.491228070175438</v>
      </c>
      <c r="R81" s="10">
        <f t="shared" si="31"/>
        <v>739.31702574525752</v>
      </c>
      <c r="S81" s="10">
        <f t="shared" si="24"/>
        <v>3683.5582538154331</v>
      </c>
      <c r="T81" s="10">
        <f t="shared" si="25"/>
        <v>44202.699045785193</v>
      </c>
    </row>
    <row r="82" spans="1:20" s="8" customFormat="1" ht="20.100000000000001" customHeight="1" x14ac:dyDescent="0.2">
      <c r="A82" s="9">
        <f t="shared" si="26"/>
        <v>79</v>
      </c>
      <c r="B82" s="9">
        <v>1088</v>
      </c>
      <c r="C82" s="9" t="str">
        <f>VLOOKUP(B82,'[1]اسماء الموظفين'!$B$8:$O$501,2,0)</f>
        <v>عطا بول انصاري</v>
      </c>
      <c r="D82" s="9" t="str">
        <f>VLOOKUP(B82,'[1]اسماء الموظفين'!$B$8:$O$501,4,0)</f>
        <v>نيبال</v>
      </c>
      <c r="E82" s="9" t="str">
        <f>VLOOKUP(B82,'[2]المقيمين النشطين'!$B$2:$Q$980,15,0)</f>
        <v>شركة ريال البركة للتجارة</v>
      </c>
      <c r="F82" s="9" t="str">
        <f>VLOOKUP(B82,'[1]اسماء الموظفين'!$B$8:$O$501,11,0)</f>
        <v>غرناطة</v>
      </c>
      <c r="G82" s="11">
        <f>VLOOKUP(B82,'[3]رواتب الموظفين 2022'!$B$9:$J$1019,9,0)</f>
        <v>1700</v>
      </c>
      <c r="H82" s="11">
        <f>VLOOKUP(B82,'[3]رواتب الموظفين 2022'!$B$9:$E$438,4,0)*2%</f>
        <v>24</v>
      </c>
      <c r="I82" s="11">
        <f>195/12</f>
        <v>16.25</v>
      </c>
      <c r="J82" s="11">
        <f>220/12</f>
        <v>18.333333333333332</v>
      </c>
      <c r="K82" s="11">
        <f t="shared" si="27"/>
        <v>99.166666666666671</v>
      </c>
      <c r="L82" s="11">
        <f t="shared" si="28"/>
        <v>70.833333333333329</v>
      </c>
      <c r="M82" s="11">
        <f t="shared" si="30"/>
        <v>75</v>
      </c>
      <c r="O82" s="10">
        <f t="shared" si="29"/>
        <v>54.166666666666664</v>
      </c>
      <c r="P82" s="10">
        <f>9700/12</f>
        <v>808.33333333333337</v>
      </c>
      <c r="Q82" s="10">
        <f>VLOOKUP(B82,[4]بيان!$B$6:$G$112,4,0)</f>
        <v>187.5</v>
      </c>
      <c r="R82" s="10">
        <f t="shared" si="31"/>
        <v>739.31702574525752</v>
      </c>
      <c r="S82" s="10">
        <f t="shared" si="24"/>
        <v>3792.900359078591</v>
      </c>
      <c r="T82" s="10">
        <f t="shared" si="25"/>
        <v>45514.804308943094</v>
      </c>
    </row>
    <row r="83" spans="1:20" s="8" customFormat="1" ht="20.100000000000001" customHeight="1" x14ac:dyDescent="0.2">
      <c r="A83" s="9">
        <f t="shared" si="26"/>
        <v>80</v>
      </c>
      <c r="B83" s="9">
        <v>1089</v>
      </c>
      <c r="C83" s="9" t="str">
        <f>VLOOKUP(B83,'[1]اسماء الموظفين'!$B$8:$O$501,2,0)</f>
        <v>كنانين سيس</v>
      </c>
      <c r="D83" s="9" t="str">
        <f>VLOOKUP(B83,'[1]اسماء الموظفين'!$B$8:$O$501,4,0)</f>
        <v>نيبال</v>
      </c>
      <c r="E83" s="9" t="str">
        <f>VLOOKUP(B83,'[2]المقيمين النشطين'!$B$2:$Q$980,15,0)</f>
        <v>مصنع سلطان عبدالرحمن صالح الرزيحي للمنتجات الورقية</v>
      </c>
      <c r="F83" s="9" t="str">
        <f>VLOOKUP(B83,'[1]اسماء الموظفين'!$B$8:$O$501,11,0)</f>
        <v>المصنع</v>
      </c>
      <c r="G83" s="11">
        <f>VLOOKUP(B83,'[3]رواتب الموظفين 2022'!$B$9:$J$1019,9,0)</f>
        <v>1900</v>
      </c>
      <c r="H83" s="11">
        <f>VLOOKUP(B83,'[3]رواتب الموظفين 2022'!$B$9:$E$438,4,0)*2%</f>
        <v>24</v>
      </c>
      <c r="I83" s="11">
        <f>245/12</f>
        <v>20.416666666666668</v>
      </c>
      <c r="J83" s="11">
        <f>1225.6/12</f>
        <v>102.13333333333333</v>
      </c>
      <c r="K83" s="11">
        <f t="shared" si="27"/>
        <v>110.83333333333333</v>
      </c>
      <c r="L83" s="11">
        <f t="shared" si="28"/>
        <v>79.166666666666671</v>
      </c>
      <c r="M83" s="11">
        <f t="shared" si="30"/>
        <v>75</v>
      </c>
      <c r="O83" s="10">
        <f t="shared" si="29"/>
        <v>54.166666666666664</v>
      </c>
      <c r="P83" s="10">
        <v>8.3333333333333339</v>
      </c>
      <c r="Q83" s="10">
        <v>0</v>
      </c>
      <c r="R83" s="10">
        <f t="shared" si="31"/>
        <v>739.31702574525752</v>
      </c>
      <c r="S83" s="10">
        <f t="shared" si="24"/>
        <v>3113.3670257452577</v>
      </c>
      <c r="T83" s="10">
        <f t="shared" si="25"/>
        <v>37360.404308943092</v>
      </c>
    </row>
    <row r="84" spans="1:20" s="8" customFormat="1" ht="20.100000000000001" customHeight="1" x14ac:dyDescent="0.2">
      <c r="A84" s="9">
        <f t="shared" si="26"/>
        <v>81</v>
      </c>
      <c r="B84" s="9">
        <v>1090</v>
      </c>
      <c r="C84" s="9" t="str">
        <f>VLOOKUP(B84,'[1]اسماء الموظفين'!$B$8:$O$501,2,0)</f>
        <v>شاة بران</v>
      </c>
      <c r="D84" s="9" t="str">
        <f>VLOOKUP(B84,'[1]اسماء الموظفين'!$B$8:$O$501,4,0)</f>
        <v>بنجلاديش</v>
      </c>
      <c r="E84" s="9" t="str">
        <f>VLOOKUP(B84,'[2]المقيمين النشطين'!$B$2:$Q$980,15,0)</f>
        <v>مؤسسة عبدالرحمن سلطان عبدالرحمن الرزيحي للتجارة</v>
      </c>
      <c r="F84" s="9" t="str">
        <f>VLOOKUP(B84,'[1]اسماء الموظفين'!$B$8:$O$501,11,0)</f>
        <v>لبن</v>
      </c>
      <c r="G84" s="11">
        <f>VLOOKUP(B84,'[3]رواتب الموظفين 2022'!$B$9:$J$1019,9,0)</f>
        <v>1700</v>
      </c>
      <c r="H84" s="11">
        <f>VLOOKUP(B84,'[3]رواتب الموظفين 2022'!$B$9:$E$438,4,0)*2%</f>
        <v>24</v>
      </c>
      <c r="I84" s="11">
        <f>245/12</f>
        <v>20.416666666666668</v>
      </c>
      <c r="J84" s="11">
        <f>220/12</f>
        <v>18.333333333333332</v>
      </c>
      <c r="K84" s="11">
        <f t="shared" si="27"/>
        <v>99.166666666666671</v>
      </c>
      <c r="L84" s="11">
        <f t="shared" si="28"/>
        <v>70.833333333333329</v>
      </c>
      <c r="M84" s="11">
        <f t="shared" si="30"/>
        <v>75</v>
      </c>
      <c r="O84" s="10">
        <f t="shared" si="29"/>
        <v>54.166666666666664</v>
      </c>
      <c r="P84" s="10">
        <f t="shared" ref="P84:P92" si="32">9700/12</f>
        <v>808.33333333333337</v>
      </c>
      <c r="Q84" s="10">
        <f>VLOOKUP(B84,[4]بيان!$B$6:$G$112,4,0)</f>
        <v>375</v>
      </c>
      <c r="R84" s="10">
        <f>J$334</f>
        <v>581.33333333333337</v>
      </c>
      <c r="S84" s="10">
        <f t="shared" si="24"/>
        <v>3826.5833333333335</v>
      </c>
      <c r="T84" s="10">
        <f t="shared" si="25"/>
        <v>45919</v>
      </c>
    </row>
    <row r="85" spans="1:20" s="8" customFormat="1" ht="20.100000000000001" customHeight="1" x14ac:dyDescent="0.2">
      <c r="A85" s="9">
        <f t="shared" si="26"/>
        <v>82</v>
      </c>
      <c r="B85" s="9">
        <v>1091</v>
      </c>
      <c r="C85" s="9" t="str">
        <f>VLOOKUP(B85,'[1]اسماء الموظفين'!$B$8:$O$501,2,0)</f>
        <v>محمد مأمون حسين</v>
      </c>
      <c r="D85" s="9" t="str">
        <f>VLOOKUP(B85,'[1]اسماء الموظفين'!$B$8:$O$501,4,0)</f>
        <v>بنجلاديش</v>
      </c>
      <c r="E85" s="9" t="str">
        <f>VLOOKUP(B85,'[2]المقيمين النشطين'!$B$2:$Q$980,15,0)</f>
        <v>مؤسسة عبدالرحمن سلطان عبدالرحمن الرزيحي للتجارة</v>
      </c>
      <c r="F85" s="9" t="str">
        <f>VLOOKUP(B85,'[1]اسماء الموظفين'!$B$8:$O$501,11,0)</f>
        <v>الشفا</v>
      </c>
      <c r="G85" s="11">
        <f>VLOOKUP(B85,'[3]رواتب الموظفين 2022'!$B$9:$J$1019,9,0)</f>
        <v>1750</v>
      </c>
      <c r="H85" s="11">
        <f>VLOOKUP(B85,'[3]رواتب الموظفين 2022'!$B$9:$E$438,4,0)*2%</f>
        <v>28</v>
      </c>
      <c r="I85" s="11">
        <f>245/12</f>
        <v>20.416666666666668</v>
      </c>
      <c r="J85" s="11">
        <f>220/12</f>
        <v>18.333333333333332</v>
      </c>
      <c r="K85" s="11">
        <f t="shared" si="27"/>
        <v>102.08333333333333</v>
      </c>
      <c r="L85" s="11">
        <f t="shared" si="28"/>
        <v>72.916666666666671</v>
      </c>
      <c r="M85" s="11">
        <f t="shared" si="30"/>
        <v>75</v>
      </c>
      <c r="O85" s="10">
        <f t="shared" si="29"/>
        <v>54.166666666666664</v>
      </c>
      <c r="P85" s="10">
        <f t="shared" si="32"/>
        <v>808.33333333333337</v>
      </c>
      <c r="Q85" s="10">
        <f>VLOOKUP(B85,[4]بيان!$B$6:$G$112,4,0)</f>
        <v>220.23809523809521</v>
      </c>
      <c r="R85" s="10">
        <f>J$334</f>
        <v>581.33333333333337</v>
      </c>
      <c r="S85" s="10">
        <f t="shared" si="24"/>
        <v>3730.8214285714289</v>
      </c>
      <c r="T85" s="10">
        <f t="shared" si="25"/>
        <v>44769.857142857145</v>
      </c>
    </row>
    <row r="86" spans="1:20" s="8" customFormat="1" ht="20.100000000000001" customHeight="1" x14ac:dyDescent="0.2">
      <c r="A86" s="9">
        <f t="shared" si="26"/>
        <v>83</v>
      </c>
      <c r="B86" s="9">
        <v>1092</v>
      </c>
      <c r="C86" s="9" t="str">
        <f>VLOOKUP(B86,'[1]اسماء الموظفين'!$B$8:$O$501,2,0)</f>
        <v>اسف علم كندي عبد الستار</v>
      </c>
      <c r="D86" s="9" t="str">
        <f>VLOOKUP(B86,'[1]اسماء الموظفين'!$B$8:$O$501,4,0)</f>
        <v>الهند</v>
      </c>
      <c r="E86" s="9" t="str">
        <f>VLOOKUP(B86,'[2]المقيمين النشطين'!$B$2:$Q$980,15,0)</f>
        <v>شركة ريال البركة للتجارة</v>
      </c>
      <c r="F86" s="9" t="str">
        <f>VLOOKUP(B86,'[1]اسماء الموظفين'!$B$8:$O$501,11,0)</f>
        <v>الإدارة</v>
      </c>
      <c r="G86" s="11">
        <f>VLOOKUP(B86,'[3]رواتب الموظفين 2022'!$B$9:$J$1019,9,0)</f>
        <v>2300</v>
      </c>
      <c r="H86" s="11">
        <f>VLOOKUP(B86,'[3]رواتب الموظفين 2022'!$B$9:$E$438,4,0)*2%</f>
        <v>28</v>
      </c>
      <c r="I86" s="11"/>
      <c r="J86" s="11">
        <v>0</v>
      </c>
      <c r="K86" s="11">
        <f t="shared" si="27"/>
        <v>134.16666666666666</v>
      </c>
      <c r="L86" s="11">
        <f t="shared" si="28"/>
        <v>95.833333333333329</v>
      </c>
      <c r="M86" s="11">
        <f t="shared" si="30"/>
        <v>75</v>
      </c>
      <c r="O86" s="10">
        <f t="shared" si="29"/>
        <v>54.166666666666664</v>
      </c>
      <c r="P86" s="10">
        <f t="shared" si="32"/>
        <v>808.33333333333337</v>
      </c>
      <c r="Q86" s="10">
        <f>VLOOKUP(B86,[4]بيان!$B$6:$G$112,4,0)</f>
        <v>96.491228070175438</v>
      </c>
      <c r="R86" s="10">
        <f>$K$329</f>
        <v>739.31702574525752</v>
      </c>
      <c r="S86" s="10">
        <f t="shared" si="24"/>
        <v>4331.3082538154331</v>
      </c>
      <c r="T86" s="10">
        <f t="shared" si="25"/>
        <v>51975.699045785193</v>
      </c>
    </row>
    <row r="87" spans="1:20" s="8" customFormat="1" ht="20.100000000000001" customHeight="1" x14ac:dyDescent="0.2">
      <c r="A87" s="9">
        <f t="shared" si="26"/>
        <v>84</v>
      </c>
      <c r="B87" s="9">
        <v>1093</v>
      </c>
      <c r="C87" s="9" t="str">
        <f>VLOOKUP(B87,'[1]اسماء الموظفين'!$B$8:$O$501,2,0)</f>
        <v>وسيم بري خان</v>
      </c>
      <c r="D87" s="9" t="str">
        <f>VLOOKUP(B87,'[1]اسماء الموظفين'!$B$8:$O$501,4,0)</f>
        <v>الهند</v>
      </c>
      <c r="E87" s="9" t="str">
        <f>VLOOKUP(B87,'[2]المقيمين النشطين'!$B$2:$Q$980,15,0)</f>
        <v>شركة ريال البركة للتجارة</v>
      </c>
      <c r="F87" s="9" t="str">
        <f>VLOOKUP(B87,'[1]اسماء الموظفين'!$B$8:$O$501,11,0)</f>
        <v>المصنع</v>
      </c>
      <c r="G87" s="11">
        <f>VLOOKUP(B87,'[3]رواتب الموظفين 2022'!$B$9:$J$1019,9,0)</f>
        <v>1800</v>
      </c>
      <c r="H87" s="11">
        <f>VLOOKUP(B87,'[3]رواتب الموظفين 2022'!$B$9:$E$438,4,0)*2%</f>
        <v>24</v>
      </c>
      <c r="I87" s="11">
        <f>376/12</f>
        <v>31.333333333333332</v>
      </c>
      <c r="J87" s="11">
        <f>220/12</f>
        <v>18.333333333333332</v>
      </c>
      <c r="K87" s="11">
        <f t="shared" si="27"/>
        <v>105</v>
      </c>
      <c r="L87" s="11">
        <f t="shared" si="28"/>
        <v>75</v>
      </c>
      <c r="M87" s="11">
        <f t="shared" si="30"/>
        <v>75</v>
      </c>
      <c r="O87" s="10">
        <f t="shared" si="29"/>
        <v>54.166666666666664</v>
      </c>
      <c r="P87" s="10">
        <f t="shared" si="32"/>
        <v>808.33333333333337</v>
      </c>
      <c r="Q87" s="10">
        <f>VLOOKUP(B87,[4]بيان!$B$6:$G$112,4,0)</f>
        <v>183.33333333333334</v>
      </c>
      <c r="R87" s="10">
        <f>$K$329</f>
        <v>739.31702574525752</v>
      </c>
      <c r="S87" s="10">
        <f t="shared" si="24"/>
        <v>3913.8170257452575</v>
      </c>
      <c r="T87" s="10">
        <f t="shared" si="25"/>
        <v>46965.804308943087</v>
      </c>
    </row>
    <row r="88" spans="1:20" s="8" customFormat="1" ht="20.100000000000001" customHeight="1" x14ac:dyDescent="0.2">
      <c r="A88" s="9">
        <f t="shared" si="26"/>
        <v>85</v>
      </c>
      <c r="B88" s="9">
        <v>1094</v>
      </c>
      <c r="C88" s="9" t="str">
        <f>VLOOKUP(B88,'[1]اسماء الموظفين'!$B$8:$O$501,2,0)</f>
        <v>بلال حوسان سيفال</v>
      </c>
      <c r="D88" s="9" t="str">
        <f>VLOOKUP(B88,'[1]اسماء الموظفين'!$B$8:$O$501,4,0)</f>
        <v>بنجلاديش</v>
      </c>
      <c r="E88" s="9" t="str">
        <f>VLOOKUP(B88,'[2]المقيمين النشطين'!$B$2:$Q$980,15,0)</f>
        <v>مؤسسة عبدالرحمن سلطان عبدالرحمن الرزيحي للتجارة</v>
      </c>
      <c r="F88" s="9" t="str">
        <f>VLOOKUP(B88,'[1]اسماء الموظفين'!$B$8:$O$501,11,0)</f>
        <v>الأندلس</v>
      </c>
      <c r="G88" s="11">
        <f>VLOOKUP(B88,'[3]رواتب الموظفين 2022'!$B$9:$J$1019,9,0)</f>
        <v>1650</v>
      </c>
      <c r="H88" s="11">
        <f>VLOOKUP(B88,'[3]رواتب الموظفين 2022'!$B$9:$E$438,4,0)*2%</f>
        <v>20</v>
      </c>
      <c r="I88" s="11"/>
      <c r="J88" s="11">
        <v>0</v>
      </c>
      <c r="K88" s="11">
        <f t="shared" si="27"/>
        <v>96.25</v>
      </c>
      <c r="L88" s="11">
        <f t="shared" si="28"/>
        <v>68.75</v>
      </c>
      <c r="M88" s="11">
        <f t="shared" si="30"/>
        <v>75</v>
      </c>
      <c r="O88" s="10">
        <f t="shared" si="29"/>
        <v>54.166666666666664</v>
      </c>
      <c r="P88" s="10">
        <f t="shared" si="32"/>
        <v>808.33333333333337</v>
      </c>
      <c r="Q88" s="10">
        <f>VLOOKUP(B88,[4]بيان!$B$6:$G$112,4,0)</f>
        <v>333.33333333333331</v>
      </c>
      <c r="R88" s="10">
        <f>J$334</f>
        <v>581.33333333333337</v>
      </c>
      <c r="S88" s="10">
        <f t="shared" si="24"/>
        <v>3687.166666666667</v>
      </c>
      <c r="T88" s="10">
        <f t="shared" si="25"/>
        <v>44246</v>
      </c>
    </row>
    <row r="89" spans="1:20" s="8" customFormat="1" ht="20.100000000000001" customHeight="1" x14ac:dyDescent="0.2">
      <c r="A89" s="9">
        <f t="shared" si="26"/>
        <v>86</v>
      </c>
      <c r="B89" s="9">
        <v>1095</v>
      </c>
      <c r="C89" s="9" t="str">
        <f>VLOOKUP(B89,'[1]اسماء الموظفين'!$B$8:$O$501,2,0)</f>
        <v>سري بيدان ساركار</v>
      </c>
      <c r="D89" s="9" t="str">
        <f>VLOOKUP(B89,'[1]اسماء الموظفين'!$B$8:$O$501,4,0)</f>
        <v>بنجلاديش</v>
      </c>
      <c r="E89" s="9" t="str">
        <f>VLOOKUP(B89,'[2]المقيمين النشطين'!$B$2:$Q$980,15,0)</f>
        <v>مؤسسة عبدالرحمن سلطان عبدالرحمن الرزيحي للتجارة</v>
      </c>
      <c r="F89" s="9" t="str">
        <f>VLOOKUP(B89,'[1]اسماء الموظفين'!$B$8:$O$501,11,0)</f>
        <v>الشفا</v>
      </c>
      <c r="G89" s="11">
        <f>VLOOKUP(B89,'[3]رواتب الموظفين 2022'!$B$9:$J$1019,9,0)</f>
        <v>1750</v>
      </c>
      <c r="H89" s="11">
        <f>VLOOKUP(B89,'[3]رواتب الموظفين 2022'!$B$9:$E$438,4,0)*2%</f>
        <v>24</v>
      </c>
      <c r="I89" s="11">
        <f>303/12</f>
        <v>25.25</v>
      </c>
      <c r="J89" s="11">
        <f>220/12</f>
        <v>18.333333333333332</v>
      </c>
      <c r="K89" s="11">
        <f t="shared" si="27"/>
        <v>102.08333333333333</v>
      </c>
      <c r="L89" s="11">
        <f t="shared" si="28"/>
        <v>72.916666666666671</v>
      </c>
      <c r="M89" s="11">
        <f t="shared" si="30"/>
        <v>75</v>
      </c>
      <c r="O89" s="10">
        <f t="shared" si="29"/>
        <v>54.166666666666664</v>
      </c>
      <c r="P89" s="10">
        <f t="shared" si="32"/>
        <v>808.33333333333337</v>
      </c>
      <c r="Q89" s="10">
        <f>VLOOKUP(B89,[4]بيان!$B$6:$G$112,4,0)</f>
        <v>220.23809523809521</v>
      </c>
      <c r="R89" s="10">
        <f>J$334</f>
        <v>581.33333333333337</v>
      </c>
      <c r="S89" s="10">
        <f t="shared" si="24"/>
        <v>3731.6547619047619</v>
      </c>
      <c r="T89" s="10">
        <f t="shared" si="25"/>
        <v>44779.857142857145</v>
      </c>
    </row>
    <row r="90" spans="1:20" s="8" customFormat="1" ht="20.100000000000001" customHeight="1" x14ac:dyDescent="0.2">
      <c r="A90" s="9">
        <f t="shared" si="26"/>
        <v>87</v>
      </c>
      <c r="B90" s="9">
        <v>1096</v>
      </c>
      <c r="C90" s="9" t="str">
        <f>VLOOKUP(B90,'[1]اسماء الموظفين'!$B$8:$O$501,2,0)</f>
        <v>محمد أنس علي</v>
      </c>
      <c r="D90" s="9" t="str">
        <f>VLOOKUP(B90,'[1]اسماء الموظفين'!$B$8:$O$501,4,0)</f>
        <v>بنجلاديش</v>
      </c>
      <c r="E90" s="9" t="str">
        <f>VLOOKUP(B90,'[2]المقيمين النشطين'!$B$2:$Q$980,15,0)</f>
        <v>مؤسسة عبدالرحمن سلطان عبدالرحمن الرزيحي للتجارة</v>
      </c>
      <c r="F90" s="9" t="str">
        <f>VLOOKUP(B90,'[1]اسماء الموظفين'!$B$8:$O$501,11,0)</f>
        <v>الأندلس</v>
      </c>
      <c r="G90" s="11">
        <f>VLOOKUP(B90,'[3]رواتب الموظفين 2022'!$B$9:$J$1019,9,0)</f>
        <v>1700</v>
      </c>
      <c r="H90" s="11">
        <f>VLOOKUP(B90,'[3]رواتب الموظفين 2022'!$B$9:$E$438,4,0)*2%</f>
        <v>24</v>
      </c>
      <c r="I90" s="11">
        <f>195/12</f>
        <v>16.25</v>
      </c>
      <c r="J90" s="11">
        <v>0</v>
      </c>
      <c r="K90" s="11">
        <f t="shared" si="27"/>
        <v>99.166666666666671</v>
      </c>
      <c r="L90" s="11">
        <f t="shared" si="28"/>
        <v>70.833333333333329</v>
      </c>
      <c r="M90" s="11">
        <f t="shared" si="30"/>
        <v>75</v>
      </c>
      <c r="O90" s="10">
        <f t="shared" si="29"/>
        <v>54.166666666666664</v>
      </c>
      <c r="P90" s="10">
        <f t="shared" si="32"/>
        <v>808.33333333333337</v>
      </c>
      <c r="Q90" s="10">
        <f>VLOOKUP(B90,[4]بيان!$B$6:$G$112,4,0)</f>
        <v>333.33333333333331</v>
      </c>
      <c r="R90" s="10">
        <f>J$334</f>
        <v>581.33333333333337</v>
      </c>
      <c r="S90" s="10">
        <f t="shared" si="24"/>
        <v>3762.416666666667</v>
      </c>
      <c r="T90" s="10">
        <f t="shared" si="25"/>
        <v>45149</v>
      </c>
    </row>
    <row r="91" spans="1:20" s="8" customFormat="1" ht="20.100000000000001" customHeight="1" x14ac:dyDescent="0.2">
      <c r="A91" s="9">
        <f t="shared" si="26"/>
        <v>88</v>
      </c>
      <c r="B91" s="9">
        <v>1097</v>
      </c>
      <c r="C91" s="9" t="str">
        <f>VLOOKUP(B91,'[1]اسماء الموظفين'!$B$8:$O$501,2,0)</f>
        <v>مد شبوزا</v>
      </c>
      <c r="D91" s="9" t="str">
        <f>VLOOKUP(B91,'[1]اسماء الموظفين'!$B$8:$O$501,4,0)</f>
        <v>بنجلاديش</v>
      </c>
      <c r="E91" s="9" t="str">
        <f>VLOOKUP(B91,'[2]المقيمين النشطين'!$B$2:$Q$980,15,0)</f>
        <v>مؤسسة عبدالرحمن سلطان عبدالرحمن الرزيحي للتجارة</v>
      </c>
      <c r="F91" s="9" t="str">
        <f>VLOOKUP(B91,'[1]اسماء الموظفين'!$B$8:$O$501,11,0)</f>
        <v>لبن</v>
      </c>
      <c r="G91" s="11">
        <f>VLOOKUP(B91,'[3]رواتب الموظفين 2022'!$B$9:$J$1019,9,0)</f>
        <v>1650</v>
      </c>
      <c r="H91" s="11">
        <f>VLOOKUP(B91,'[3]رواتب الموظفين 2022'!$B$9:$E$438,4,0)*2%</f>
        <v>20</v>
      </c>
      <c r="I91" s="11">
        <f>195/12</f>
        <v>16.25</v>
      </c>
      <c r="J91" s="11">
        <f>220/12</f>
        <v>18.333333333333332</v>
      </c>
      <c r="K91" s="11">
        <f t="shared" si="27"/>
        <v>96.25</v>
      </c>
      <c r="L91" s="11">
        <f t="shared" si="28"/>
        <v>68.75</v>
      </c>
      <c r="M91" s="11">
        <f t="shared" si="30"/>
        <v>75</v>
      </c>
      <c r="O91" s="10">
        <f t="shared" si="29"/>
        <v>54.166666666666664</v>
      </c>
      <c r="P91" s="10">
        <f t="shared" si="32"/>
        <v>808.33333333333337</v>
      </c>
      <c r="Q91" s="10">
        <f>VLOOKUP(B91,[4]بيان!$B$6:$G$112,4,0)</f>
        <v>375</v>
      </c>
      <c r="R91" s="10">
        <f>J$334</f>
        <v>581.33333333333337</v>
      </c>
      <c r="S91" s="10">
        <f t="shared" si="24"/>
        <v>3763.416666666667</v>
      </c>
      <c r="T91" s="10">
        <f t="shared" si="25"/>
        <v>45161</v>
      </c>
    </row>
    <row r="92" spans="1:20" s="8" customFormat="1" ht="20.100000000000001" customHeight="1" x14ac:dyDescent="0.2">
      <c r="A92" s="9">
        <f t="shared" si="26"/>
        <v>89</v>
      </c>
      <c r="B92" s="9">
        <v>1098</v>
      </c>
      <c r="C92" s="9" t="str">
        <f>VLOOKUP(B92,'[1]اسماء الموظفين'!$B$8:$O$501,2,0)</f>
        <v>محمد فاروق حسين</v>
      </c>
      <c r="D92" s="9" t="str">
        <f>VLOOKUP(B92,'[1]اسماء الموظفين'!$B$8:$O$501,4,0)</f>
        <v>بنجلاديش</v>
      </c>
      <c r="E92" s="9" t="str">
        <f>VLOOKUP(B92,'[2]المقيمين النشطين'!$B$2:$Q$980,15,0)</f>
        <v>مؤسسة عبدالرحمن سلطان عبدالرحمن الرزيحي للتجارة</v>
      </c>
      <c r="F92" s="9" t="str">
        <f>VLOOKUP(B92,'[1]اسماء الموظفين'!$B$8:$O$501,11,0)</f>
        <v>لبن</v>
      </c>
      <c r="G92" s="11">
        <f>VLOOKUP(B92,'[3]رواتب الموظفين 2022'!$B$9:$J$1019,9,0)</f>
        <v>1700</v>
      </c>
      <c r="H92" s="11">
        <f>VLOOKUP(B92,'[3]رواتب الموظفين 2022'!$B$9:$E$438,4,0)*2%</f>
        <v>24</v>
      </c>
      <c r="I92" s="11">
        <f>245/12</f>
        <v>20.416666666666668</v>
      </c>
      <c r="J92" s="11">
        <f>220/12</f>
        <v>18.333333333333332</v>
      </c>
      <c r="K92" s="11">
        <f t="shared" si="27"/>
        <v>99.166666666666671</v>
      </c>
      <c r="L92" s="11">
        <f t="shared" si="28"/>
        <v>70.833333333333329</v>
      </c>
      <c r="M92" s="11">
        <f t="shared" si="30"/>
        <v>75</v>
      </c>
      <c r="O92" s="10">
        <f t="shared" si="29"/>
        <v>54.166666666666664</v>
      </c>
      <c r="P92" s="10">
        <f t="shared" si="32"/>
        <v>808.33333333333337</v>
      </c>
      <c r="Q92" s="10">
        <f>VLOOKUP(B92,[4]بيان!$B$6:$G$112,4,0)</f>
        <v>375</v>
      </c>
      <c r="R92" s="10">
        <f>J$334</f>
        <v>581.33333333333337</v>
      </c>
      <c r="S92" s="10">
        <f t="shared" si="24"/>
        <v>3826.5833333333335</v>
      </c>
      <c r="T92" s="10">
        <f t="shared" si="25"/>
        <v>45919</v>
      </c>
    </row>
    <row r="93" spans="1:20" s="8" customFormat="1" ht="20.100000000000001" customHeight="1" x14ac:dyDescent="0.2">
      <c r="A93" s="9">
        <f t="shared" si="26"/>
        <v>90</v>
      </c>
      <c r="B93" s="9">
        <v>1099</v>
      </c>
      <c r="C93" s="9" t="str">
        <f>VLOOKUP(B93,'[1]اسماء الموظفين'!$B$8:$O$501,2,0)</f>
        <v>عبدالله الطحامي</v>
      </c>
      <c r="D93" s="9" t="str">
        <f>VLOOKUP(B93,'[1]اسماء الموظفين'!$B$8:$O$501,4,0)</f>
        <v>سعودي</v>
      </c>
      <c r="E93" s="9" t="str">
        <f>VLOOKUP(B93,'[2]المقيمين النشطين'!$B$2:$Q$980,15,0)</f>
        <v>دوام جزئي</v>
      </c>
      <c r="F93" s="9" t="str">
        <f>VLOOKUP(B93,'[1]اسماء الموظفين'!$B$8:$O$501,11,0)</f>
        <v>وكالة ممكن</v>
      </c>
      <c r="G93" s="11">
        <f>VLOOKUP(B93,'[3]رواتب الموظفين 2022'!$B$9:$J$1019,9,0)</f>
        <v>6000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8">
        <v>0</v>
      </c>
      <c r="O93" s="10">
        <v>0</v>
      </c>
      <c r="P93" s="10">
        <v>0</v>
      </c>
      <c r="Q93" s="10">
        <v>0</v>
      </c>
      <c r="R93" s="10">
        <v>0</v>
      </c>
      <c r="S93" s="10">
        <f t="shared" si="24"/>
        <v>6000</v>
      </c>
      <c r="T93" s="10">
        <f t="shared" si="25"/>
        <v>72000</v>
      </c>
    </row>
    <row r="94" spans="1:20" s="8" customFormat="1" ht="20.100000000000001" customHeight="1" x14ac:dyDescent="0.2">
      <c r="A94" s="9">
        <f t="shared" si="26"/>
        <v>91</v>
      </c>
      <c r="B94" s="9">
        <v>1100</v>
      </c>
      <c r="C94" s="9" t="str">
        <f>VLOOKUP(B94,'[1]اسماء الموظفين'!$B$8:$O$501,2,0)</f>
        <v>نوره حمد فنيس الكبرى</v>
      </c>
      <c r="D94" s="9" t="str">
        <f>VLOOKUP(B94,'[1]اسماء الموظفين'!$B$8:$O$501,4,0)</f>
        <v>سعودي</v>
      </c>
      <c r="E94" s="9" t="str">
        <f>VLOOKUP(B94,'[2]المقيمين النشطين'!$B$2:$Q$980,15,0)</f>
        <v>شركة ريال البركة للتجارة</v>
      </c>
      <c r="F94" s="9" t="str">
        <f>VLOOKUP(B94,'[1]اسماء الموظفين'!$B$8:$O$501,11,0)</f>
        <v>غرناطة</v>
      </c>
      <c r="G94" s="11">
        <f>VLOOKUP(B94,'[3]رواتب الموظفين 2022'!$B$9:$J$1019,9,0)</f>
        <v>4300</v>
      </c>
      <c r="H94" s="11">
        <f>VLOOKUP(B94,'[3]رواتب الموظفين 2022'!$B$9:$E$438,4,0)*2%</f>
        <v>80</v>
      </c>
      <c r="I94" s="11">
        <f>331/12</f>
        <v>27.583333333333332</v>
      </c>
      <c r="J94" s="11">
        <f>220/12</f>
        <v>18.333333333333332</v>
      </c>
      <c r="K94" s="11">
        <f>G94/30*21/12</f>
        <v>250.83333333333334</v>
      </c>
      <c r="L94" s="11">
        <f>G94/2/12</f>
        <v>179.16666666666666</v>
      </c>
      <c r="M94" s="11">
        <v>0</v>
      </c>
      <c r="O94" s="10">
        <v>0</v>
      </c>
      <c r="P94" s="10">
        <v>0</v>
      </c>
      <c r="Q94" s="10">
        <v>0</v>
      </c>
      <c r="R94" s="10">
        <v>0</v>
      </c>
      <c r="S94" s="10">
        <f t="shared" si="24"/>
        <v>4855.9166666666661</v>
      </c>
      <c r="T94" s="10">
        <f t="shared" si="25"/>
        <v>58270.999999999993</v>
      </c>
    </row>
    <row r="95" spans="1:20" s="8" customFormat="1" ht="20.100000000000001" customHeight="1" x14ac:dyDescent="0.2">
      <c r="A95" s="9">
        <f t="shared" si="26"/>
        <v>92</v>
      </c>
      <c r="B95" s="9">
        <v>1102</v>
      </c>
      <c r="C95" s="9" t="str">
        <f>VLOOKUP(B95,'[1]اسماء الموظفين'!$B$8:$O$501,2,0)</f>
        <v>مجيد مياه عبدال حنان</v>
      </c>
      <c r="D95" s="9" t="str">
        <f>VLOOKUP(B95,'[1]اسماء الموظفين'!$B$8:$O$501,4,0)</f>
        <v>بنجلاديش</v>
      </c>
      <c r="E95" s="9" t="str">
        <f>VLOOKUP(B95,'[2]المقيمين النشطين'!$B$2:$Q$980,15,0)</f>
        <v>مؤسسة عبدالرحمن سلطان عبدالرحمن الرزيحي للتجارة</v>
      </c>
      <c r="F95" s="9" t="str">
        <f>VLOOKUP(B95,'[1]اسماء الموظفين'!$B$8:$O$501,11,0)</f>
        <v>الشفا</v>
      </c>
      <c r="G95" s="11">
        <f>VLOOKUP(B95,'[3]رواتب الموظفين 2022'!$B$9:$J$1019,9,0)</f>
        <v>1750</v>
      </c>
      <c r="H95" s="11">
        <f>VLOOKUP(B95,'[3]رواتب الموظفين 2022'!$B$9:$E$438,4,0)*2%</f>
        <v>24</v>
      </c>
      <c r="I95" s="11"/>
      <c r="J95" s="11">
        <f>220/12</f>
        <v>18.333333333333332</v>
      </c>
      <c r="K95" s="11">
        <f>G95/30*21/12</f>
        <v>102.08333333333333</v>
      </c>
      <c r="L95" s="11">
        <f>G95/2/12</f>
        <v>72.916666666666671</v>
      </c>
      <c r="M95" s="11">
        <f>1800/24</f>
        <v>75</v>
      </c>
      <c r="O95" s="10">
        <f>650/12</f>
        <v>54.166666666666664</v>
      </c>
      <c r="P95" s="10">
        <f>9700/12</f>
        <v>808.33333333333337</v>
      </c>
      <c r="Q95" s="10">
        <f>VLOOKUP(B95,[4]بيان!$B$6:$G$112,4,0)</f>
        <v>220.23809523809521</v>
      </c>
      <c r="R95" s="10">
        <f>J$334</f>
        <v>581.33333333333337</v>
      </c>
      <c r="S95" s="10">
        <f t="shared" si="24"/>
        <v>3706.4047619047624</v>
      </c>
      <c r="T95" s="10">
        <f t="shared" si="25"/>
        <v>44476.857142857145</v>
      </c>
    </row>
    <row r="96" spans="1:20" s="8" customFormat="1" ht="20.100000000000001" customHeight="1" x14ac:dyDescent="0.2">
      <c r="A96" s="9">
        <f t="shared" si="26"/>
        <v>93</v>
      </c>
      <c r="B96" s="9">
        <v>1104</v>
      </c>
      <c r="C96" s="9" t="str">
        <f>VLOOKUP(B96,'[1]اسماء الموظفين'!$B$8:$O$501,2,0)</f>
        <v>الهنوف خالد محمد الباحوث</v>
      </c>
      <c r="D96" s="9" t="str">
        <f>VLOOKUP(B96,'[1]اسماء الموظفين'!$B$8:$O$501,4,0)</f>
        <v>سعودي</v>
      </c>
      <c r="E96" s="9" t="str">
        <f>VLOOKUP(B96,'[2]المقيمين النشطين'!$B$2:$Q$980,15,0)</f>
        <v>شركة ريال البركة للتجارة</v>
      </c>
      <c r="F96" s="9" t="str">
        <f>VLOOKUP(B96,'[1]اسماء الموظفين'!$B$8:$O$501,11,0)</f>
        <v>غرناطة</v>
      </c>
      <c r="G96" s="11">
        <f>VLOOKUP(B96,'[3]رواتب الموظفين 2022'!$B$9:$J$1019,9,0)</f>
        <v>4300</v>
      </c>
      <c r="H96" s="11">
        <f>VLOOKUP(B96,'[3]رواتب الموظفين 2022'!$B$9:$E$438,4,0)*2%</f>
        <v>80</v>
      </c>
      <c r="I96" s="11">
        <f>331/12</f>
        <v>27.583333333333332</v>
      </c>
      <c r="J96" s="11">
        <f>220/12</f>
        <v>18.333333333333332</v>
      </c>
      <c r="K96" s="11">
        <f>G96/30*21/12</f>
        <v>250.83333333333334</v>
      </c>
      <c r="L96" s="11">
        <f>G96/2/12</f>
        <v>179.16666666666666</v>
      </c>
      <c r="M96" s="11">
        <v>0</v>
      </c>
      <c r="O96" s="10">
        <v>0</v>
      </c>
      <c r="P96" s="10">
        <v>0</v>
      </c>
      <c r="Q96" s="10">
        <v>0</v>
      </c>
      <c r="R96" s="10">
        <v>0</v>
      </c>
      <c r="S96" s="10">
        <f t="shared" si="24"/>
        <v>4855.9166666666661</v>
      </c>
      <c r="T96" s="10">
        <f t="shared" si="25"/>
        <v>58270.999999999993</v>
      </c>
    </row>
    <row r="97" spans="1:20" s="8" customFormat="1" ht="20.100000000000001" customHeight="1" x14ac:dyDescent="0.2">
      <c r="A97" s="9">
        <f t="shared" si="26"/>
        <v>94</v>
      </c>
      <c r="B97" s="9">
        <v>1105</v>
      </c>
      <c r="C97" s="9" t="str">
        <f>VLOOKUP(B97,'[1]اسماء الموظفين'!$B$8:$O$501,2,0)</f>
        <v>حافظ محمد يحي حكمي</v>
      </c>
      <c r="D97" s="9" t="str">
        <f>VLOOKUP(B97,'[1]اسماء الموظفين'!$B$8:$O$501,4,0)</f>
        <v>سعودي</v>
      </c>
      <c r="E97" s="9" t="str">
        <f>VLOOKUP(B97,'[2]المقيمين النشطين'!$B$2:$Q$980,15,0)</f>
        <v>عن بعد</v>
      </c>
      <c r="F97" s="9" t="str">
        <f>VLOOKUP(B97,'[1]اسماء الموظفين'!$B$8:$O$501,11,0)</f>
        <v>وكالة ممكن</v>
      </c>
      <c r="G97" s="11">
        <f>VLOOKUP(B97,'[3]رواتب الموظفين 2022'!$B$9:$J$1019,9,0)</f>
        <v>5500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8">
        <v>0</v>
      </c>
      <c r="O97" s="10">
        <v>0</v>
      </c>
      <c r="P97" s="10">
        <v>0</v>
      </c>
      <c r="Q97" s="10">
        <v>0</v>
      </c>
      <c r="R97" s="10">
        <v>0</v>
      </c>
      <c r="S97" s="10">
        <f t="shared" si="24"/>
        <v>5500</v>
      </c>
      <c r="T97" s="10">
        <f t="shared" si="25"/>
        <v>66000</v>
      </c>
    </row>
    <row r="98" spans="1:20" s="8" customFormat="1" ht="20.100000000000001" customHeight="1" x14ac:dyDescent="0.2">
      <c r="A98" s="9">
        <f t="shared" si="26"/>
        <v>95</v>
      </c>
      <c r="B98" s="9">
        <v>1106</v>
      </c>
      <c r="C98" s="9" t="str">
        <f>VLOOKUP(B98,'[1]اسماء الموظفين'!$B$8:$O$501,2,0)</f>
        <v>محمد عبدالمنعم السيد عرفه</v>
      </c>
      <c r="D98" s="9" t="str">
        <f>VLOOKUP(B98,'[1]اسماء الموظفين'!$B$8:$O$501,4,0)</f>
        <v>مصر</v>
      </c>
      <c r="E98" s="9" t="str">
        <f>VLOOKUP(B98,'[2]المقيمين النشطين'!$B$2:$Q$980,15,0)</f>
        <v>مؤسسة عبدالرحمن سلطان عبدالرحمن الرزيحي للتجارة</v>
      </c>
      <c r="F98" s="9" t="str">
        <f>VLOOKUP(B98,'[1]اسماء الموظفين'!$B$8:$O$501,11,0)</f>
        <v>المالك</v>
      </c>
      <c r="G98" s="11">
        <f>VLOOKUP(B98,'[3]رواتب الموظفين 2022'!$B$9:$J$1019,9,0)</f>
        <v>400</v>
      </c>
      <c r="H98" s="11">
        <f>VLOOKUP(B98,'[3]رواتب الموظفين 2022'!$B$9:$E$438,4,0)*2%</f>
        <v>8</v>
      </c>
      <c r="I98" s="11"/>
      <c r="J98" s="11">
        <v>0</v>
      </c>
      <c r="K98" s="11">
        <v>0</v>
      </c>
      <c r="L98" s="11">
        <v>0</v>
      </c>
      <c r="M98" s="11">
        <v>0</v>
      </c>
      <c r="O98" s="10">
        <v>0</v>
      </c>
      <c r="P98" s="10">
        <v>0</v>
      </c>
      <c r="Q98" s="10">
        <v>0</v>
      </c>
      <c r="R98" s="10">
        <v>688</v>
      </c>
      <c r="S98" s="10">
        <f t="shared" si="24"/>
        <v>1096</v>
      </c>
      <c r="T98" s="10">
        <f t="shared" si="25"/>
        <v>13152</v>
      </c>
    </row>
    <row r="99" spans="1:20" s="8" customFormat="1" ht="20.100000000000001" customHeight="1" x14ac:dyDescent="0.2">
      <c r="A99" s="9">
        <f t="shared" si="26"/>
        <v>96</v>
      </c>
      <c r="B99" s="9">
        <v>1108</v>
      </c>
      <c r="C99" s="9" t="str">
        <f>VLOOKUP(B99,'[1]اسماء الموظفين'!$B$8:$O$501,2,0)</f>
        <v>عمر محمود محمد احمد</v>
      </c>
      <c r="D99" s="9" t="str">
        <f>VLOOKUP(B99,'[1]اسماء الموظفين'!$B$8:$O$501,4,0)</f>
        <v>مصر</v>
      </c>
      <c r="E99" s="9" t="str">
        <f>VLOOKUP(B99,'[2]المقيمين النشطين'!$B$2:$Q$980,15,0)</f>
        <v>شركة ريال البركة للتجارة</v>
      </c>
      <c r="F99" s="9" t="str">
        <f>VLOOKUP(B99,'[1]اسماء الموظفين'!$B$8:$O$501,11,0)</f>
        <v>الإدارة</v>
      </c>
      <c r="G99" s="11">
        <f>VLOOKUP(B99,'[3]رواتب الموظفين 2022'!$B$9:$J$1019,9,0)</f>
        <v>5000</v>
      </c>
      <c r="H99" s="11">
        <f>VLOOKUP(B99,'[3]رواتب الموظفين 2022'!$B$9:$E$438,4,0)*2%</f>
        <v>48</v>
      </c>
      <c r="I99" s="11">
        <f>517/12</f>
        <v>43.083333333333336</v>
      </c>
      <c r="J99" s="11">
        <v>0</v>
      </c>
      <c r="K99" s="11">
        <f t="shared" ref="K99:K105" si="33">G99/30*21/12</f>
        <v>291.66666666666669</v>
      </c>
      <c r="L99" s="11">
        <f t="shared" ref="L99:L105" si="34">G99/2/12</f>
        <v>208.33333333333334</v>
      </c>
      <c r="M99" s="11">
        <f>1500/12</f>
        <v>125</v>
      </c>
      <c r="O99" s="10">
        <f t="shared" ref="O99:O104" si="35">650/12</f>
        <v>54.166666666666664</v>
      </c>
      <c r="P99" s="10">
        <f t="shared" ref="P99:P104" si="36">9700/12</f>
        <v>808.33333333333337</v>
      </c>
      <c r="Q99" s="10">
        <f>VLOOKUP(B99,[4]بيان!$B$6:$G$112,4,0)</f>
        <v>329.16666666666669</v>
      </c>
      <c r="R99" s="10">
        <f>$K$329</f>
        <v>739.31702574525752</v>
      </c>
      <c r="S99" s="10">
        <f t="shared" si="24"/>
        <v>7647.0670257452575</v>
      </c>
      <c r="T99" s="10">
        <f t="shared" si="25"/>
        <v>91764.804308943087</v>
      </c>
    </row>
    <row r="100" spans="1:20" s="8" customFormat="1" ht="20.100000000000001" customHeight="1" x14ac:dyDescent="0.2">
      <c r="A100" s="9">
        <f t="shared" si="26"/>
        <v>97</v>
      </c>
      <c r="B100" s="9">
        <v>1109</v>
      </c>
      <c r="C100" s="9" t="str">
        <f>VLOOKUP(B100,'[1]اسماء الموظفين'!$B$8:$O$501,2,0)</f>
        <v>احمد سمير محمود الجندى</v>
      </c>
      <c r="D100" s="9" t="str">
        <f>VLOOKUP(B100,'[1]اسماء الموظفين'!$B$8:$O$501,4,0)</f>
        <v>مصر</v>
      </c>
      <c r="E100" s="9" t="str">
        <f>VLOOKUP(B100,'[2]المقيمين النشطين'!$B$2:$Q$980,15,0)</f>
        <v>شركة ريال البركة للتجارة</v>
      </c>
      <c r="F100" s="9" t="str">
        <f>VLOOKUP(B100,'[1]اسماء الموظفين'!$B$8:$O$501,11,0)</f>
        <v>جملة ريال البركة</v>
      </c>
      <c r="G100" s="11">
        <f>VLOOKUP(B100,'[3]رواتب الموظفين 2022'!$B$9:$J$1019,9,0)</f>
        <v>2800</v>
      </c>
      <c r="H100" s="11">
        <f>VLOOKUP(B100,'[3]رواتب الموظفين 2022'!$B$9:$E$438,4,0)*2%</f>
        <v>32</v>
      </c>
      <c r="I100" s="11">
        <f>517/12</f>
        <v>43.083333333333336</v>
      </c>
      <c r="J100" s="11">
        <v>0</v>
      </c>
      <c r="K100" s="11">
        <f t="shared" si="33"/>
        <v>163.33333333333334</v>
      </c>
      <c r="L100" s="11">
        <f t="shared" si="34"/>
        <v>116.66666666666667</v>
      </c>
      <c r="M100" s="11">
        <f>1500/24</f>
        <v>62.5</v>
      </c>
      <c r="O100" s="10">
        <f t="shared" si="35"/>
        <v>54.166666666666664</v>
      </c>
      <c r="P100" s="10">
        <f t="shared" si="36"/>
        <v>808.33333333333337</v>
      </c>
      <c r="Q100" s="10">
        <v>0</v>
      </c>
      <c r="R100" s="10">
        <f>$K$329</f>
        <v>739.31702574525752</v>
      </c>
      <c r="S100" s="10">
        <f t="shared" si="24"/>
        <v>4819.4003590785906</v>
      </c>
      <c r="T100" s="10">
        <f t="shared" si="25"/>
        <v>57832.804308943087</v>
      </c>
    </row>
    <row r="101" spans="1:20" s="8" customFormat="1" ht="20.100000000000001" customHeight="1" x14ac:dyDescent="0.2">
      <c r="A101" s="9">
        <f t="shared" si="26"/>
        <v>98</v>
      </c>
      <c r="B101" s="9">
        <v>1110</v>
      </c>
      <c r="C101" s="9" t="str">
        <f>VLOOKUP(B101,'[1]اسماء الموظفين'!$B$8:$O$501,2,0)</f>
        <v>خالد محمود لالديم</v>
      </c>
      <c r="D101" s="9" t="str">
        <f>VLOOKUP(B101,'[1]اسماء الموظفين'!$B$8:$O$501,4,0)</f>
        <v>باكستان</v>
      </c>
      <c r="E101" s="9" t="str">
        <f>VLOOKUP(B101,'[2]المقيمين النشطين'!$B$2:$Q$980,15,0)</f>
        <v>شركة ريال البركة للتجارة</v>
      </c>
      <c r="F101" s="9" t="str">
        <f>VLOOKUP(B101,'[1]اسماء الموظفين'!$B$8:$O$501,11,0)</f>
        <v>الإدارة</v>
      </c>
      <c r="G101" s="11">
        <f>VLOOKUP(B101,'[3]رواتب الموظفين 2022'!$B$9:$J$1019,9,0)</f>
        <v>5000</v>
      </c>
      <c r="H101" s="11">
        <f>VLOOKUP(B101,'[3]رواتب الموظفين 2022'!$B$9:$E$438,4,0)*2%</f>
        <v>56</v>
      </c>
      <c r="I101" s="11">
        <f>415.19/12</f>
        <v>34.599166666666669</v>
      </c>
      <c r="J101" s="11">
        <v>0</v>
      </c>
      <c r="K101" s="11">
        <f t="shared" si="33"/>
        <v>291.66666666666669</v>
      </c>
      <c r="L101" s="11">
        <f t="shared" si="34"/>
        <v>208.33333333333334</v>
      </c>
      <c r="M101" s="11">
        <f>1800/24</f>
        <v>75</v>
      </c>
      <c r="O101" s="10">
        <f t="shared" si="35"/>
        <v>54.166666666666664</v>
      </c>
      <c r="P101" s="10">
        <f t="shared" si="36"/>
        <v>808.33333333333337</v>
      </c>
      <c r="Q101" s="10">
        <v>0</v>
      </c>
      <c r="R101" s="10">
        <f>$K$329</f>
        <v>739.31702574525752</v>
      </c>
      <c r="S101" s="10">
        <f t="shared" si="24"/>
        <v>7267.4161924119244</v>
      </c>
      <c r="T101" s="10">
        <f t="shared" si="25"/>
        <v>87208.994308943089</v>
      </c>
    </row>
    <row r="102" spans="1:20" s="8" customFormat="1" ht="20.100000000000001" customHeight="1" x14ac:dyDescent="0.2">
      <c r="A102" s="9">
        <f t="shared" si="26"/>
        <v>99</v>
      </c>
      <c r="B102" s="9">
        <v>1111</v>
      </c>
      <c r="C102" s="9" t="str">
        <f>VLOOKUP(B102,'[1]اسماء الموظفين'!$B$8:$O$501,2,0)</f>
        <v>أبو طاهر أبو الحسم</v>
      </c>
      <c r="D102" s="9" t="str">
        <f>VLOOKUP(B102,'[1]اسماء الموظفين'!$B$8:$O$501,4,0)</f>
        <v>بنجلاديش</v>
      </c>
      <c r="E102" s="9" t="str">
        <f>VLOOKUP(B102,'[2]المقيمين النشطين'!$B$2:$Q$980,15,0)</f>
        <v>مؤسسة عبدالرحمن سلطان عبدالرحمن الرزيحي للتجارة</v>
      </c>
      <c r="F102" s="9" t="str">
        <f>VLOOKUP(B102,'[1]اسماء الموظفين'!$B$8:$O$501,11,0)</f>
        <v>الأندلس</v>
      </c>
      <c r="G102" s="11">
        <f>VLOOKUP(B102,'[3]رواتب الموظفين 2022'!$B$9:$J$1019,9,0)</f>
        <v>1650</v>
      </c>
      <c r="H102" s="11">
        <f>VLOOKUP(B102,'[3]رواتب الموظفين 2022'!$B$9:$E$438,4,0)*2%</f>
        <v>24</v>
      </c>
      <c r="I102" s="11">
        <f>367/12</f>
        <v>30.583333333333332</v>
      </c>
      <c r="J102" s="11">
        <v>0</v>
      </c>
      <c r="K102" s="11">
        <f t="shared" si="33"/>
        <v>96.25</v>
      </c>
      <c r="L102" s="11">
        <f t="shared" si="34"/>
        <v>68.75</v>
      </c>
      <c r="M102" s="11">
        <f>1800/24</f>
        <v>75</v>
      </c>
      <c r="O102" s="10">
        <f t="shared" si="35"/>
        <v>54.166666666666664</v>
      </c>
      <c r="P102" s="10">
        <f t="shared" si="36"/>
        <v>808.33333333333337</v>
      </c>
      <c r="Q102" s="10">
        <f>VLOOKUP(B102,[4]بيان!$B$6:$G$112,4,0)</f>
        <v>333.33333333333331</v>
      </c>
      <c r="R102" s="10">
        <f>J$334</f>
        <v>581.33333333333337</v>
      </c>
      <c r="S102" s="10">
        <f t="shared" si="24"/>
        <v>3721.7500000000005</v>
      </c>
      <c r="T102" s="10">
        <f t="shared" si="25"/>
        <v>44661.000000000007</v>
      </c>
    </row>
    <row r="103" spans="1:20" s="8" customFormat="1" ht="20.100000000000001" customHeight="1" x14ac:dyDescent="0.2">
      <c r="A103" s="9">
        <f t="shared" si="26"/>
        <v>100</v>
      </c>
      <c r="B103" s="9">
        <v>1112</v>
      </c>
      <c r="C103" s="9" t="str">
        <f>VLOOKUP(B103,'[1]اسماء الموظفين'!$B$8:$O$501,2,0)</f>
        <v>طه اسامه طه يسين</v>
      </c>
      <c r="D103" s="9" t="str">
        <f>VLOOKUP(B103,'[1]اسماء الموظفين'!$B$8:$O$501,4,0)</f>
        <v>مصر</v>
      </c>
      <c r="E103" s="9" t="str">
        <f>VLOOKUP(B103,'[2]المقيمين النشطين'!$B$2:$Q$980,15,0)</f>
        <v>شركة ريال البركة للتجارة</v>
      </c>
      <c r="F103" s="9" t="str">
        <f>VLOOKUP(B103,'[1]اسماء الموظفين'!$B$8:$O$501,11,0)</f>
        <v>الإدارة</v>
      </c>
      <c r="G103" s="11">
        <f>VLOOKUP(B103,'[3]رواتب الموظفين 2022'!$B$9:$J$1019,9,0)</f>
        <v>5000</v>
      </c>
      <c r="H103" s="11">
        <f>VLOOKUP(B103,'[3]رواتب الموظفين 2022'!$B$9:$E$438,4,0)*2%</f>
        <v>48</v>
      </c>
      <c r="I103" s="11">
        <f>517/12</f>
        <v>43.083333333333336</v>
      </c>
      <c r="J103" s="11">
        <v>0</v>
      </c>
      <c r="K103" s="11">
        <f t="shared" si="33"/>
        <v>291.66666666666669</v>
      </c>
      <c r="L103" s="11">
        <f t="shared" si="34"/>
        <v>208.33333333333334</v>
      </c>
      <c r="M103" s="11">
        <f>1500/12</f>
        <v>125</v>
      </c>
      <c r="O103" s="10">
        <f t="shared" si="35"/>
        <v>54.166666666666664</v>
      </c>
      <c r="P103" s="10">
        <f t="shared" si="36"/>
        <v>808.33333333333337</v>
      </c>
      <c r="Q103" s="10">
        <f>VLOOKUP(B103,[4]بيان!$B$6:$G$112,4,0)</f>
        <v>329.16666666666669</v>
      </c>
      <c r="R103" s="10">
        <f>$K$329</f>
        <v>739.31702574525752</v>
      </c>
      <c r="S103" s="10">
        <f t="shared" si="24"/>
        <v>7647.0670257452575</v>
      </c>
      <c r="T103" s="10">
        <f t="shared" si="25"/>
        <v>91764.804308943087</v>
      </c>
    </row>
    <row r="104" spans="1:20" s="8" customFormat="1" ht="20.100000000000001" customHeight="1" x14ac:dyDescent="0.2">
      <c r="A104" s="9">
        <f t="shared" si="26"/>
        <v>101</v>
      </c>
      <c r="B104" s="9">
        <v>1113</v>
      </c>
      <c r="C104" s="9" t="str">
        <f>VLOOKUP(B104,'[1]اسماء الموظفين'!$B$8:$O$501,2,0)</f>
        <v>عمار عبدالغني صادق حمود الجعمي</v>
      </c>
      <c r="D104" s="9" t="str">
        <f>VLOOKUP(B104,'[1]اسماء الموظفين'!$B$8:$O$501,4,0)</f>
        <v>اليمن</v>
      </c>
      <c r="E104" s="9" t="str">
        <f>VLOOKUP(B104,'[2]المقيمين النشطين'!$B$2:$Q$980,15,0)</f>
        <v>شركة ريال البركة للتجارة</v>
      </c>
      <c r="F104" s="9" t="str">
        <f>VLOOKUP(B104,'[1]اسماء الموظفين'!$B$8:$O$501,11,0)</f>
        <v>أونلاين</v>
      </c>
      <c r="G104" s="11">
        <f>VLOOKUP(B104,'[3]رواتب الموظفين 2022'!$B$9:$J$1019,9,0)</f>
        <v>2600</v>
      </c>
      <c r="H104" s="11">
        <f>VLOOKUP(B104,'[3]رواتب الموظفين 2022'!$B$9:$E$438,4,0)*2%</f>
        <v>36</v>
      </c>
      <c r="I104" s="11">
        <f>412/12</f>
        <v>34.333333333333336</v>
      </c>
      <c r="J104" s="11">
        <v>0</v>
      </c>
      <c r="K104" s="11">
        <f t="shared" si="33"/>
        <v>151.66666666666666</v>
      </c>
      <c r="L104" s="11">
        <f t="shared" si="34"/>
        <v>108.33333333333333</v>
      </c>
      <c r="M104" s="11">
        <f>1500/24</f>
        <v>62.5</v>
      </c>
      <c r="O104" s="10">
        <f t="shared" si="35"/>
        <v>54.166666666666664</v>
      </c>
      <c r="P104" s="10">
        <f t="shared" si="36"/>
        <v>808.33333333333337</v>
      </c>
      <c r="Q104" s="10">
        <f>VLOOKUP(B104,[4]بيان!$B$6:$G$112,4,0)</f>
        <v>96.491228070175438</v>
      </c>
      <c r="R104" s="10">
        <f>$K$329</f>
        <v>739.31702574525752</v>
      </c>
      <c r="S104" s="10">
        <f t="shared" si="24"/>
        <v>4691.1415871487661</v>
      </c>
      <c r="T104" s="10">
        <f t="shared" si="25"/>
        <v>56293.699045785193</v>
      </c>
    </row>
    <row r="105" spans="1:20" s="8" customFormat="1" ht="20.100000000000001" customHeight="1" x14ac:dyDescent="0.2">
      <c r="A105" s="9">
        <f t="shared" si="26"/>
        <v>102</v>
      </c>
      <c r="B105" s="9">
        <v>1114</v>
      </c>
      <c r="C105" s="9" t="str">
        <f>VLOOKUP(B105,'[1]اسماء الموظفين'!$B$8:$O$501,2,0)</f>
        <v>فواز سليمان صالح المريشد</v>
      </c>
      <c r="D105" s="9" t="str">
        <f>VLOOKUP(B105,'[1]اسماء الموظفين'!$B$8:$O$501,4,0)</f>
        <v>سعودي</v>
      </c>
      <c r="E105" s="9" t="str">
        <f>VLOOKUP(B105,'[2]المقيمين النشطين'!$B$2:$Q$980,15,0)</f>
        <v>شركة ريال البركة للتجارة</v>
      </c>
      <c r="F105" s="9" t="str">
        <f>VLOOKUP(B105,'[1]اسماء الموظفين'!$B$8:$O$501,11,0)</f>
        <v>وكالة ممكن</v>
      </c>
      <c r="G105" s="11">
        <f>VLOOKUP(B105,'[3]رواتب الموظفين 2022'!$B$9:$J$1019,9,0)</f>
        <v>6500</v>
      </c>
      <c r="H105" s="11">
        <f>VLOOKUP(B105,'[3]رواتب الموظفين 2022'!$B$9:$E$438,4,0)*12.25%</f>
        <v>490</v>
      </c>
      <c r="I105" s="11">
        <f>245/12</f>
        <v>20.416666666666668</v>
      </c>
      <c r="J105" s="11">
        <v>0</v>
      </c>
      <c r="K105" s="11">
        <f t="shared" si="33"/>
        <v>379.16666666666669</v>
      </c>
      <c r="L105" s="11">
        <f t="shared" si="34"/>
        <v>270.83333333333331</v>
      </c>
      <c r="M105" s="11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f t="shared" si="24"/>
        <v>7660.416666666667</v>
      </c>
      <c r="T105" s="10">
        <f t="shared" si="25"/>
        <v>91925</v>
      </c>
    </row>
    <row r="106" spans="1:20" s="8" customFormat="1" ht="20.100000000000001" customHeight="1" x14ac:dyDescent="0.2">
      <c r="A106" s="9">
        <f t="shared" si="26"/>
        <v>103</v>
      </c>
      <c r="B106" s="9">
        <v>1115</v>
      </c>
      <c r="C106" s="9" t="str">
        <f>VLOOKUP(B106,'[1]اسماء الموظفين'!$B$8:$O$501,2,0)</f>
        <v>شير محمد قلشي</v>
      </c>
      <c r="D106" s="9" t="str">
        <f>VLOOKUP(B106,'[1]اسماء الموظفين'!$B$8:$O$501,4,0)</f>
        <v>باكستان</v>
      </c>
      <c r="E106" s="9" t="str">
        <f>VLOOKUP(B106,'[2]المقيمين النشطين'!$B$2:$Q$980,15,0)</f>
        <v>مؤسسة عبدالرحمن سلطان عبدالرحمن الرزيحي للتجارة</v>
      </c>
      <c r="F106" s="9" t="str">
        <f>VLOOKUP(B106,'[1]اسماء الموظفين'!$B$8:$O$501,11,0)</f>
        <v>المالك</v>
      </c>
      <c r="G106" s="11">
        <f>VLOOKUP(B106,'[3]رواتب الموظفين 2022'!$B$9:$J$1019,9,0)</f>
        <v>400</v>
      </c>
      <c r="H106" s="11">
        <f>VLOOKUP(B106,'[3]رواتب الموظفين 2022'!$B$9:$E$438,4,0)*2%</f>
        <v>8</v>
      </c>
      <c r="I106" s="11">
        <f>480/12</f>
        <v>40</v>
      </c>
      <c r="J106" s="11">
        <v>0</v>
      </c>
      <c r="K106" s="11">
        <v>0</v>
      </c>
      <c r="L106" s="11">
        <v>0</v>
      </c>
      <c r="M106" s="11">
        <v>0</v>
      </c>
      <c r="O106" s="10">
        <v>0</v>
      </c>
      <c r="P106" s="10">
        <v>0</v>
      </c>
      <c r="Q106" s="10">
        <v>0</v>
      </c>
      <c r="R106" s="10">
        <v>688</v>
      </c>
      <c r="S106" s="10">
        <f t="shared" si="24"/>
        <v>1136</v>
      </c>
      <c r="T106" s="10">
        <f t="shared" si="25"/>
        <v>13632</v>
      </c>
    </row>
    <row r="107" spans="1:20" s="8" customFormat="1" ht="20.100000000000001" customHeight="1" x14ac:dyDescent="0.2">
      <c r="A107" s="9">
        <f t="shared" si="26"/>
        <v>104</v>
      </c>
      <c r="B107" s="9">
        <v>1116</v>
      </c>
      <c r="C107" s="9" t="str">
        <f>VLOOKUP(B107,'[1]اسماء الموظفين'!$B$8:$O$501,2,0)</f>
        <v>عبد الله محمد عبده حكمي</v>
      </c>
      <c r="D107" s="9" t="str">
        <f>VLOOKUP(B107,'[1]اسماء الموظفين'!$B$8:$O$501,4,0)</f>
        <v>سعودي</v>
      </c>
      <c r="E107" s="9" t="str">
        <f>VLOOKUP(B107,'[2]المقيمين النشطين'!$B$2:$Q$980,15,0)</f>
        <v>مؤسسة زاوية ريال بركة للكماليات</v>
      </c>
      <c r="F107" s="9" t="str">
        <f>VLOOKUP(B107,'[1]اسماء الموظفين'!$B$8:$O$501,11,0)</f>
        <v>المصيف</v>
      </c>
      <c r="G107" s="11">
        <f>VLOOKUP(B107,'[3]رواتب الموظفين 2022'!$B$9:$J$1019,9,0)</f>
        <v>4500</v>
      </c>
      <c r="H107" s="11">
        <f>VLOOKUP(B107,'[3]رواتب الموظفين 2022'!$B$9:$E$438,4,0)*12.25%</f>
        <v>490</v>
      </c>
      <c r="I107" s="11"/>
      <c r="J107" s="11">
        <v>0</v>
      </c>
      <c r="K107" s="11">
        <f t="shared" ref="K107:K129" si="37">G107/30*21/12</f>
        <v>262.5</v>
      </c>
      <c r="L107" s="11">
        <f t="shared" ref="L107:L129" si="38">G107/2/12</f>
        <v>187.5</v>
      </c>
      <c r="M107" s="11">
        <v>0</v>
      </c>
      <c r="O107" s="10">
        <v>0</v>
      </c>
      <c r="P107" s="10">
        <v>0</v>
      </c>
      <c r="Q107" s="10">
        <v>0</v>
      </c>
      <c r="R107" s="10"/>
      <c r="S107" s="10">
        <f t="shared" si="24"/>
        <v>5440</v>
      </c>
      <c r="T107" s="10">
        <f t="shared" si="25"/>
        <v>65280</v>
      </c>
    </row>
    <row r="108" spans="1:20" s="8" customFormat="1" ht="20.100000000000001" customHeight="1" x14ac:dyDescent="0.2">
      <c r="A108" s="9">
        <f t="shared" si="26"/>
        <v>105</v>
      </c>
      <c r="B108" s="9">
        <v>1117</v>
      </c>
      <c r="C108" s="9" t="str">
        <f>VLOOKUP(B108,'[1]اسماء الموظفين'!$B$8:$O$501,2,0)</f>
        <v>منيرة شافي هضيبان النتيفات</v>
      </c>
      <c r="D108" s="9" t="str">
        <f>VLOOKUP(B108,'[1]اسماء الموظفين'!$B$8:$O$501,4,0)</f>
        <v>سعودي</v>
      </c>
      <c r="E108" s="9" t="str">
        <f>VLOOKUP(B108,'[2]المقيمين النشطين'!$B$2:$Q$980,15,0)</f>
        <v>شركة ريال البركة للتجارة</v>
      </c>
      <c r="F108" s="9" t="str">
        <f>VLOOKUP(B108,'[1]اسماء الموظفين'!$B$8:$O$501,11,0)</f>
        <v>غرناطة</v>
      </c>
      <c r="G108" s="11">
        <f>VLOOKUP(B108,'[3]رواتب الموظفين 2022'!$B$9:$J$1019,9,0)</f>
        <v>4300</v>
      </c>
      <c r="H108" s="11">
        <f>VLOOKUP(B108,'[3]رواتب الموظفين 2022'!$B$9:$E$438,4,0)*12.25%</f>
        <v>490</v>
      </c>
      <c r="I108" s="11">
        <f>331/12</f>
        <v>27.583333333333332</v>
      </c>
      <c r="J108" s="11">
        <f>220/12</f>
        <v>18.333333333333332</v>
      </c>
      <c r="K108" s="11">
        <f t="shared" si="37"/>
        <v>250.83333333333334</v>
      </c>
      <c r="L108" s="11">
        <f t="shared" si="38"/>
        <v>179.16666666666666</v>
      </c>
      <c r="M108" s="11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f t="shared" si="24"/>
        <v>5265.9166666666661</v>
      </c>
      <c r="T108" s="10">
        <f t="shared" si="25"/>
        <v>63190.999999999993</v>
      </c>
    </row>
    <row r="109" spans="1:20" s="8" customFormat="1" ht="20.100000000000001" customHeight="1" x14ac:dyDescent="0.2">
      <c r="A109" s="9">
        <f t="shared" si="26"/>
        <v>106</v>
      </c>
      <c r="B109" s="9">
        <v>1119</v>
      </c>
      <c r="C109" s="9" t="str">
        <f>VLOOKUP(B109,'[1]اسماء الموظفين'!$B$8:$O$501,2,0)</f>
        <v>شذى فرحان معاشي العنزي</v>
      </c>
      <c r="D109" s="9" t="str">
        <f>VLOOKUP(B109,'[1]اسماء الموظفين'!$B$8:$O$501,4,0)</f>
        <v>سعودي</v>
      </c>
      <c r="E109" s="9" t="str">
        <f>VLOOKUP(B109,'[2]المقيمين النشطين'!$B$2:$Q$980,15,0)</f>
        <v>شركة ريال البركة للتجارة</v>
      </c>
      <c r="F109" s="9" t="str">
        <f>VLOOKUP(B109,'[1]اسماء الموظفين'!$B$8:$O$501,11,0)</f>
        <v>الدائري الغربي</v>
      </c>
      <c r="G109" s="11">
        <f>VLOOKUP(B109,'[3]رواتب الموظفين 2022'!$B$9:$J$1019,9,0)</f>
        <v>4060</v>
      </c>
      <c r="H109" s="11">
        <f>VLOOKUP(B109,'[3]رواتب الموظفين 2022'!$B$9:$E$438,4,0)*12.25%</f>
        <v>490</v>
      </c>
      <c r="I109" s="11">
        <f>331/12</f>
        <v>27.583333333333332</v>
      </c>
      <c r="J109" s="11">
        <f>964/12</f>
        <v>80.333333333333329</v>
      </c>
      <c r="K109" s="11">
        <f t="shared" si="37"/>
        <v>236.83333333333334</v>
      </c>
      <c r="L109" s="11">
        <f t="shared" si="38"/>
        <v>169.16666666666666</v>
      </c>
      <c r="M109" s="11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f t="shared" si="24"/>
        <v>5063.9166666666661</v>
      </c>
      <c r="T109" s="10">
        <f t="shared" si="25"/>
        <v>60766.999999999993</v>
      </c>
    </row>
    <row r="110" spans="1:20" s="8" customFormat="1" ht="20.100000000000001" customHeight="1" x14ac:dyDescent="0.2">
      <c r="A110" s="9">
        <f t="shared" si="26"/>
        <v>107</v>
      </c>
      <c r="B110" s="9">
        <v>1120</v>
      </c>
      <c r="C110" s="9" t="str">
        <f>VLOOKUP(B110,'[1]اسماء الموظفين'!$B$8:$O$501,2,0)</f>
        <v>أشواق سويد يحي قاصر</v>
      </c>
      <c r="D110" s="9" t="str">
        <f>VLOOKUP(B110,'[1]اسماء الموظفين'!$B$8:$O$501,4,0)</f>
        <v>سعودي</v>
      </c>
      <c r="E110" s="9" t="str">
        <f>VLOOKUP(B110,'[2]المقيمين النشطين'!$B$2:$Q$980,15,0)</f>
        <v>مؤسسة عبدالرحمن سلطان عبدالرحمن الرزيحي للتجارة</v>
      </c>
      <c r="F110" s="9" t="str">
        <f>VLOOKUP(B110,'[1]اسماء الموظفين'!$B$8:$O$501,11,0)</f>
        <v>لبن</v>
      </c>
      <c r="G110" s="11">
        <f>VLOOKUP(B110,'[3]رواتب الموظفين 2022'!$B$9:$J$1019,9,0)</f>
        <v>4500</v>
      </c>
      <c r="H110" s="11">
        <f>VLOOKUP(B110,'[3]رواتب الموظفين 2022'!$B$9:$E$438,4,0)*12.25%</f>
        <v>490</v>
      </c>
      <c r="I110" s="11">
        <f>378/12</f>
        <v>31.5</v>
      </c>
      <c r="J110" s="11">
        <f>964/12</f>
        <v>80.333333333333329</v>
      </c>
      <c r="K110" s="11">
        <f t="shared" si="37"/>
        <v>262.5</v>
      </c>
      <c r="L110" s="11">
        <f t="shared" si="38"/>
        <v>187.5</v>
      </c>
      <c r="M110" s="11">
        <v>0</v>
      </c>
      <c r="O110" s="10">
        <v>0</v>
      </c>
      <c r="P110" s="10">
        <v>0</v>
      </c>
      <c r="Q110" s="10">
        <v>0</v>
      </c>
      <c r="R110" s="10">
        <v>1150</v>
      </c>
      <c r="S110" s="10">
        <f t="shared" si="24"/>
        <v>6701.833333333333</v>
      </c>
      <c r="T110" s="10">
        <f t="shared" si="25"/>
        <v>80422</v>
      </c>
    </row>
    <row r="111" spans="1:20" s="8" customFormat="1" ht="20.100000000000001" customHeight="1" x14ac:dyDescent="0.2">
      <c r="A111" s="9">
        <f t="shared" si="26"/>
        <v>108</v>
      </c>
      <c r="B111" s="9">
        <v>1123</v>
      </c>
      <c r="C111" s="9" t="str">
        <f>VLOOKUP(B111,'[1]اسماء الموظفين'!$B$8:$O$501,2,0)</f>
        <v>بنين عبدالله موسي آل درويش</v>
      </c>
      <c r="D111" s="9" t="str">
        <f>VLOOKUP(B111,'[1]اسماء الموظفين'!$B$8:$O$501,4,0)</f>
        <v>سعودي</v>
      </c>
      <c r="E111" s="9" t="str">
        <f>VLOOKUP(B111,'[2]المقيمين النشطين'!$B$2:$Q$980,15,0)</f>
        <v>شركة ريال البركة للتجارة</v>
      </c>
      <c r="F111" s="9" t="str">
        <f>VLOOKUP(B111,'[1]اسماء الموظفين'!$B$8:$O$501,11,0)</f>
        <v>العنود</v>
      </c>
      <c r="G111" s="11">
        <f>VLOOKUP(B111,'[3]رواتب الموظفين 2022'!$B$9:$J$1019,9,0)</f>
        <v>4300</v>
      </c>
      <c r="H111" s="11">
        <f>VLOOKUP(B111,'[3]رواتب الموظفين 2022'!$B$9:$E$438,4,0)*12.25%</f>
        <v>490</v>
      </c>
      <c r="I111" s="11">
        <f>331/12</f>
        <v>27.583333333333332</v>
      </c>
      <c r="J111" s="11">
        <v>0</v>
      </c>
      <c r="K111" s="11">
        <f t="shared" si="37"/>
        <v>250.83333333333334</v>
      </c>
      <c r="L111" s="11">
        <f t="shared" si="38"/>
        <v>179.16666666666666</v>
      </c>
      <c r="M111" s="11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f t="shared" si="24"/>
        <v>5247.583333333333</v>
      </c>
      <c r="T111" s="10">
        <f t="shared" si="25"/>
        <v>62971</v>
      </c>
    </row>
    <row r="112" spans="1:20" s="8" customFormat="1" ht="20.100000000000001" customHeight="1" x14ac:dyDescent="0.2">
      <c r="A112" s="9">
        <f t="shared" si="26"/>
        <v>109</v>
      </c>
      <c r="B112" s="9">
        <v>1124</v>
      </c>
      <c r="C112" s="9" t="str">
        <f>VLOOKUP(B112,'[1]اسماء الموظفين'!$B$8:$O$501,2,0)</f>
        <v>محمد عيضة عوض المالكي</v>
      </c>
      <c r="D112" s="9" t="str">
        <f>VLOOKUP(B112,'[1]اسماء الموظفين'!$B$8:$O$501,4,0)</f>
        <v>سعودي</v>
      </c>
      <c r="E112" s="9" t="str">
        <f>VLOOKUP(B112,'[2]المقيمين النشطين'!$B$2:$Q$980,15,0)</f>
        <v>مؤسسة زاوية ريال بركة للكماليات</v>
      </c>
      <c r="F112" s="9" t="str">
        <f>VLOOKUP(B112,'[1]اسماء الموظفين'!$B$8:$O$501,11,0)</f>
        <v>اليرموك</v>
      </c>
      <c r="G112" s="11">
        <f>VLOOKUP(B112,'[3]رواتب الموظفين 2022'!$B$9:$J$1019,9,0)</f>
        <v>4500</v>
      </c>
      <c r="H112" s="11">
        <f>VLOOKUP(B112,'[3]رواتب الموظفين 2022'!$B$9:$E$438,4,0)*12.25%</f>
        <v>490</v>
      </c>
      <c r="I112" s="11"/>
      <c r="J112" s="11">
        <v>0</v>
      </c>
      <c r="K112" s="11">
        <f t="shared" si="37"/>
        <v>262.5</v>
      </c>
      <c r="L112" s="11">
        <f t="shared" si="38"/>
        <v>187.5</v>
      </c>
      <c r="M112" s="11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f t="shared" si="24"/>
        <v>5440</v>
      </c>
      <c r="T112" s="10">
        <f t="shared" si="25"/>
        <v>65280</v>
      </c>
    </row>
    <row r="113" spans="1:20" s="8" customFormat="1" ht="20.100000000000001" customHeight="1" x14ac:dyDescent="0.2">
      <c r="A113" s="9">
        <f t="shared" si="26"/>
        <v>110</v>
      </c>
      <c r="B113" s="9">
        <v>1125</v>
      </c>
      <c r="C113" s="9" t="str">
        <f>VLOOKUP(B113,'[1]اسماء الموظفين'!$B$8:$O$501,2,0)</f>
        <v>محمد عبدالسلام محمد سيف العامري</v>
      </c>
      <c r="D113" s="9" t="str">
        <f>VLOOKUP(B113,'[1]اسماء الموظفين'!$B$8:$O$501,4,0)</f>
        <v>اليمن</v>
      </c>
      <c r="E113" s="9" t="str">
        <f>VLOOKUP(B113,'[2]المقيمين النشطين'!$B$2:$Q$980,15,0)</f>
        <v>شركة ريال البركة للتجارة</v>
      </c>
      <c r="F113" s="9" t="str">
        <f>VLOOKUP(B113,'[1]اسماء الموظفين'!$B$8:$O$501,11,0)</f>
        <v>مستودع جملة سلطان</v>
      </c>
      <c r="G113" s="11">
        <f>VLOOKUP(B113,'[3]رواتب الموظفين 2022'!$B$9:$J$1019,9,0)</f>
        <v>2800</v>
      </c>
      <c r="H113" s="11">
        <f>VLOOKUP(B113,'[3]رواتب الموظفين 2022'!$B$9:$E$438,4,0)*2%</f>
        <v>50</v>
      </c>
      <c r="I113" s="11">
        <f>269.38/12</f>
        <v>22.448333333333334</v>
      </c>
      <c r="J113" s="11">
        <v>0</v>
      </c>
      <c r="K113" s="11">
        <f t="shared" si="37"/>
        <v>163.33333333333334</v>
      </c>
      <c r="L113" s="11">
        <f t="shared" si="38"/>
        <v>116.66666666666667</v>
      </c>
      <c r="M113" s="11">
        <f>1500/24</f>
        <v>62.5</v>
      </c>
      <c r="O113" s="10">
        <f>650/12</f>
        <v>54.166666666666664</v>
      </c>
      <c r="P113" s="10">
        <f>9700/12</f>
        <v>808.33333333333337</v>
      </c>
      <c r="Q113" s="10">
        <f>VLOOKUP(B113,[4]بيان!$B$6:$G$112,4,0)</f>
        <v>96.491228070175438</v>
      </c>
      <c r="R113" s="10">
        <f>$K$329</f>
        <v>739.31702574525752</v>
      </c>
      <c r="S113" s="10">
        <f t="shared" si="24"/>
        <v>4913.2565871487659</v>
      </c>
      <c r="T113" s="10">
        <f t="shared" si="25"/>
        <v>58959.079045785191</v>
      </c>
    </row>
    <row r="114" spans="1:20" s="8" customFormat="1" ht="20.100000000000001" customHeight="1" x14ac:dyDescent="0.2">
      <c r="A114" s="9">
        <f t="shared" si="26"/>
        <v>111</v>
      </c>
      <c r="B114" s="9">
        <v>1127</v>
      </c>
      <c r="C114" s="9" t="str">
        <f>VLOOKUP(B114,'[1]اسماء الموظفين'!$B$8:$O$501,2,0)</f>
        <v>اسامه عبداللطيف عمر عبداللطيف</v>
      </c>
      <c r="D114" s="9" t="str">
        <f>VLOOKUP(B114,'[1]اسماء الموظفين'!$B$8:$O$501,4,0)</f>
        <v>مصر</v>
      </c>
      <c r="E114" s="9" t="str">
        <f>VLOOKUP(B114,'[2]المقيمين النشطين'!$B$2:$Q$980,15,0)</f>
        <v>شركة ريال البركة للتجارة</v>
      </c>
      <c r="F114" s="9" t="str">
        <f>VLOOKUP(B114,'[1]اسماء الموظفين'!$B$8:$O$501,11,0)</f>
        <v>الإدارة</v>
      </c>
      <c r="G114" s="11">
        <f>VLOOKUP(B114,'[3]رواتب الموظفين 2022'!$B$9:$J$1019,9,0)</f>
        <v>5000</v>
      </c>
      <c r="H114" s="11">
        <f>VLOOKUP(B114,'[3]رواتب الموظفين 2022'!$B$9:$E$438,4,0)*2%</f>
        <v>54</v>
      </c>
      <c r="I114" s="11"/>
      <c r="J114" s="11">
        <v>0</v>
      </c>
      <c r="K114" s="11">
        <f t="shared" si="37"/>
        <v>291.66666666666669</v>
      </c>
      <c r="L114" s="11">
        <f t="shared" si="38"/>
        <v>208.33333333333334</v>
      </c>
      <c r="M114" s="11">
        <f>1500/12</f>
        <v>125</v>
      </c>
      <c r="O114" s="10">
        <f>650/12</f>
        <v>54.166666666666664</v>
      </c>
      <c r="P114" s="10">
        <f>9700/12</f>
        <v>808.33333333333337</v>
      </c>
      <c r="Q114" s="10">
        <f>6000/12</f>
        <v>500</v>
      </c>
      <c r="R114" s="10">
        <f>$K$329</f>
        <v>739.31702574525752</v>
      </c>
      <c r="S114" s="10">
        <f t="shared" si="24"/>
        <v>7780.8170257452575</v>
      </c>
      <c r="T114" s="10">
        <f t="shared" si="25"/>
        <v>93369.804308943087</v>
      </c>
    </row>
    <row r="115" spans="1:20" s="8" customFormat="1" ht="20.100000000000001" customHeight="1" x14ac:dyDescent="0.2">
      <c r="A115" s="9">
        <f t="shared" si="26"/>
        <v>112</v>
      </c>
      <c r="B115" s="9">
        <v>1130</v>
      </c>
      <c r="C115" s="9" t="str">
        <f>VLOOKUP(B115,'[1]اسماء الموظفين'!$B$8:$O$501,2,0)</f>
        <v>منيرة سالم إبراهيم المفتاح</v>
      </c>
      <c r="D115" s="9" t="str">
        <f>VLOOKUP(B115,'[1]اسماء الموظفين'!$B$8:$O$501,4,0)</f>
        <v>سعودي</v>
      </c>
      <c r="E115" s="9" t="str">
        <f>VLOOKUP(B115,'[2]المقيمين النشطين'!$B$2:$Q$980,15,0)</f>
        <v>مؤسسة عبدالرحمن سلطان عبدالرحمن الرزيحي للتجارة</v>
      </c>
      <c r="F115" s="9" t="str">
        <f>VLOOKUP(B115,'[1]اسماء الموظفين'!$B$8:$O$501,11,0)</f>
        <v>الشفا</v>
      </c>
      <c r="G115" s="11">
        <f>VLOOKUP(B115,'[3]رواتب الموظفين 2022'!$B$9:$J$1019,9,0)</f>
        <v>4000</v>
      </c>
      <c r="H115" s="11">
        <f>VLOOKUP(B115,'[3]رواتب الموظفين 2022'!$B$9:$E$438,4,0)*2%</f>
        <v>80</v>
      </c>
      <c r="I115" s="11">
        <f>317.36/12</f>
        <v>26.446666666666669</v>
      </c>
      <c r="J115" s="11">
        <f>220/12</f>
        <v>18.333333333333332</v>
      </c>
      <c r="K115" s="11">
        <f t="shared" si="37"/>
        <v>233.33333333333334</v>
      </c>
      <c r="L115" s="11">
        <f t="shared" si="38"/>
        <v>166.66666666666666</v>
      </c>
      <c r="M115" s="11">
        <v>0</v>
      </c>
      <c r="O115" s="10">
        <v>0</v>
      </c>
      <c r="P115" s="10">
        <v>0</v>
      </c>
      <c r="Q115" s="10">
        <v>0</v>
      </c>
      <c r="R115" s="10">
        <v>1150</v>
      </c>
      <c r="S115" s="10">
        <f t="shared" si="24"/>
        <v>5674.78</v>
      </c>
      <c r="T115" s="10">
        <f t="shared" si="25"/>
        <v>68097.36</v>
      </c>
    </row>
    <row r="116" spans="1:20" s="8" customFormat="1" ht="20.100000000000001" customHeight="1" x14ac:dyDescent="0.2">
      <c r="A116" s="9">
        <f t="shared" si="26"/>
        <v>113</v>
      </c>
      <c r="B116" s="9">
        <v>1131</v>
      </c>
      <c r="C116" s="9" t="str">
        <f>VLOOKUP(B116,'[1]اسماء الموظفين'!$B$8:$O$501,2,0)</f>
        <v>عبد الله يحي حسن مجممي</v>
      </c>
      <c r="D116" s="9" t="str">
        <f>VLOOKUP(B116,'[1]اسماء الموظفين'!$B$8:$O$501,4,0)</f>
        <v>سعودي</v>
      </c>
      <c r="E116" s="9" t="str">
        <f>VLOOKUP(B116,'[2]المقيمين النشطين'!$B$2:$Q$980,15,0)</f>
        <v>مؤسسة عبدالرحمن سلطان عبدالرحمن الرزيحي للتجارة</v>
      </c>
      <c r="F116" s="9" t="str">
        <f>VLOOKUP(B116,'[1]اسماء الموظفين'!$B$8:$O$501,11,0)</f>
        <v>لبن</v>
      </c>
      <c r="G116" s="11">
        <f>VLOOKUP(B116,'[3]رواتب الموظفين 2022'!$B$9:$J$1019,9,0)</f>
        <v>4000</v>
      </c>
      <c r="H116" s="11">
        <f>VLOOKUP(B116,'[3]رواتب الموظفين 2022'!$B$9:$E$438,4,0)*2%</f>
        <v>80</v>
      </c>
      <c r="I116" s="11">
        <f>186.96/12</f>
        <v>15.58</v>
      </c>
      <c r="J116" s="11">
        <f>220/12</f>
        <v>18.333333333333332</v>
      </c>
      <c r="K116" s="11">
        <f t="shared" si="37"/>
        <v>233.33333333333334</v>
      </c>
      <c r="L116" s="11">
        <f t="shared" si="38"/>
        <v>166.66666666666666</v>
      </c>
      <c r="M116" s="11">
        <v>0</v>
      </c>
      <c r="O116" s="10">
        <v>0</v>
      </c>
      <c r="P116" s="10">
        <v>0</v>
      </c>
      <c r="Q116" s="10">
        <v>0</v>
      </c>
      <c r="R116" s="10">
        <v>1150</v>
      </c>
      <c r="S116" s="10">
        <f t="shared" si="24"/>
        <v>5663.913333333333</v>
      </c>
      <c r="T116" s="10">
        <f t="shared" si="25"/>
        <v>67966.959999999992</v>
      </c>
    </row>
    <row r="117" spans="1:20" s="8" customFormat="1" ht="20.100000000000001" customHeight="1" x14ac:dyDescent="0.2">
      <c r="A117" s="9">
        <f t="shared" si="26"/>
        <v>114</v>
      </c>
      <c r="B117" s="9">
        <v>1132</v>
      </c>
      <c r="C117" s="9" t="str">
        <f>VLOOKUP(B117,'[1]اسماء الموظفين'!$B$8:$O$501,2,0)</f>
        <v>عزالدين عبدالله موسي الفكي</v>
      </c>
      <c r="D117" s="9" t="str">
        <f>VLOOKUP(B117,'[1]اسماء الموظفين'!$B$8:$O$501,4,0)</f>
        <v>السودان</v>
      </c>
      <c r="E117" s="9" t="str">
        <f>VLOOKUP(B117,'[2]المقيمين النشطين'!$B$2:$Q$980,15,0)</f>
        <v>شركة ريال البركة للتجارة</v>
      </c>
      <c r="F117" s="9" t="str">
        <f>VLOOKUP(B117,'[1]اسماء الموظفين'!$B$8:$O$501,11,0)</f>
        <v>جملة ريال البركة</v>
      </c>
      <c r="G117" s="11">
        <f>VLOOKUP(B117,'[3]رواتب الموظفين 2022'!$B$9:$J$1019,9,0)</f>
        <v>2500</v>
      </c>
      <c r="H117" s="11">
        <f>VLOOKUP(B117,'[3]رواتب الموظفين 2022'!$B$9:$E$438,4,0)*2%</f>
        <v>36</v>
      </c>
      <c r="I117" s="11">
        <f>338.04/12</f>
        <v>28.17</v>
      </c>
      <c r="J117" s="11">
        <v>0</v>
      </c>
      <c r="K117" s="11">
        <f t="shared" si="37"/>
        <v>145.83333333333334</v>
      </c>
      <c r="L117" s="11">
        <f t="shared" si="38"/>
        <v>104.16666666666667</v>
      </c>
      <c r="M117" s="11">
        <f t="shared" ref="M117:M123" si="39">1500/24</f>
        <v>62.5</v>
      </c>
      <c r="O117" s="10">
        <f t="shared" ref="O117:O123" si="40">650/12</f>
        <v>54.166666666666664</v>
      </c>
      <c r="P117" s="10">
        <f>9700/12</f>
        <v>808.33333333333337</v>
      </c>
      <c r="Q117" s="10">
        <f>VLOOKUP(B117,[4]بيان!$B$6:$G$112,4,0)</f>
        <v>96.491228070175438</v>
      </c>
      <c r="R117" s="10">
        <f>$K$329</f>
        <v>739.31702574525752</v>
      </c>
      <c r="S117" s="10">
        <f t="shared" si="24"/>
        <v>4574.9782538154332</v>
      </c>
      <c r="T117" s="10">
        <f t="shared" si="25"/>
        <v>54899.739045785202</v>
      </c>
    </row>
    <row r="118" spans="1:20" s="8" customFormat="1" ht="20.100000000000001" customHeight="1" x14ac:dyDescent="0.2">
      <c r="A118" s="9">
        <f t="shared" si="26"/>
        <v>115</v>
      </c>
      <c r="B118" s="9">
        <v>1133</v>
      </c>
      <c r="C118" s="9" t="str">
        <f>VLOOKUP(B118,'[1]اسماء الموظفين'!$B$8:$O$501,2,0)</f>
        <v>محسن يحي محسن عميسان</v>
      </c>
      <c r="D118" s="9" t="str">
        <f>VLOOKUP(B118,'[1]اسماء الموظفين'!$B$8:$O$501,4,0)</f>
        <v>اليمن</v>
      </c>
      <c r="E118" s="9" t="str">
        <f>VLOOKUP(B118,'[2]المقيمين النشطين'!$B$2:$Q$980,15,0)</f>
        <v>شركة أدفان للصناعة ( شركة شخص واحد )</v>
      </c>
      <c r="F118" s="9" t="str">
        <f>VLOOKUP(B118,'[1]اسماء الموظفين'!$B$8:$O$501,11,0)</f>
        <v>ورشة أثاث</v>
      </c>
      <c r="G118" s="11">
        <f>VLOOKUP(B118,'[3]رواتب الموظفين 2022'!$B$9:$J$1019,9,0)</f>
        <v>5000</v>
      </c>
      <c r="H118" s="11">
        <f>VLOOKUP(B118,'[3]رواتب الموظفين 2022'!$B$9:$E$438,4,0)*2%</f>
        <v>28</v>
      </c>
      <c r="I118" s="11">
        <f>829.15+846.4/12</f>
        <v>899.68333333333328</v>
      </c>
      <c r="J118" s="11">
        <v>0</v>
      </c>
      <c r="K118" s="11">
        <f t="shared" si="37"/>
        <v>291.66666666666669</v>
      </c>
      <c r="L118" s="11">
        <f t="shared" si="38"/>
        <v>208.33333333333334</v>
      </c>
      <c r="M118" s="11">
        <f t="shared" si="39"/>
        <v>62.5</v>
      </c>
      <c r="N118" s="8">
        <f t="shared" ref="N118:N123" si="41">2000/12</f>
        <v>166.66666666666666</v>
      </c>
      <c r="O118" s="10">
        <f t="shared" si="40"/>
        <v>54.166666666666664</v>
      </c>
      <c r="P118" s="10">
        <f t="shared" ref="P118:P123" si="42">100/12</f>
        <v>8.3333333333333339</v>
      </c>
      <c r="Q118" s="10">
        <v>0</v>
      </c>
      <c r="R118" s="10">
        <f t="shared" ref="R118:R123" si="43">J$335</f>
        <v>700</v>
      </c>
      <c r="S118" s="10">
        <f t="shared" si="24"/>
        <v>7419.35</v>
      </c>
      <c r="T118" s="10">
        <f t="shared" si="25"/>
        <v>89032.200000000012</v>
      </c>
    </row>
    <row r="119" spans="1:20" s="8" customFormat="1" ht="20.100000000000001" customHeight="1" x14ac:dyDescent="0.2">
      <c r="A119" s="9">
        <f t="shared" si="26"/>
        <v>116</v>
      </c>
      <c r="B119" s="9">
        <v>1134</v>
      </c>
      <c r="C119" s="9" t="str">
        <f>VLOOKUP(B119,'[1]اسماء الموظفين'!$B$8:$O$501,2,0)</f>
        <v>ضيف الله احمد عبدالله اليافعي</v>
      </c>
      <c r="D119" s="9" t="str">
        <f>VLOOKUP(B119,'[1]اسماء الموظفين'!$B$8:$O$501,4,0)</f>
        <v>اليمن</v>
      </c>
      <c r="E119" s="9" t="str">
        <f>VLOOKUP(B119,'[2]المقيمين النشطين'!$B$2:$Q$980,15,0)</f>
        <v>شركة أدفان للصناعة ( شركة شخص واحد )</v>
      </c>
      <c r="F119" s="9" t="str">
        <f>VLOOKUP(B119,'[1]اسماء الموظفين'!$B$8:$O$501,11,0)</f>
        <v>ورشة أثاث</v>
      </c>
      <c r="G119" s="11">
        <f>VLOOKUP(B119,'[3]رواتب الموظفين 2022'!$B$9:$J$1019,9,0)</f>
        <v>3500</v>
      </c>
      <c r="H119" s="11">
        <f>VLOOKUP(B119,'[3]رواتب الموظفين 2022'!$B$9:$E$438,4,0)*2%</f>
        <v>50</v>
      </c>
      <c r="I119" s="11">
        <f>373.75/12</f>
        <v>31.145833333333332</v>
      </c>
      <c r="J119" s="11">
        <v>0</v>
      </c>
      <c r="K119" s="11">
        <f t="shared" si="37"/>
        <v>204.16666666666666</v>
      </c>
      <c r="L119" s="11">
        <f t="shared" si="38"/>
        <v>145.83333333333334</v>
      </c>
      <c r="M119" s="11">
        <f t="shared" si="39"/>
        <v>62.5</v>
      </c>
      <c r="N119" s="8">
        <f t="shared" si="41"/>
        <v>166.66666666666666</v>
      </c>
      <c r="O119" s="10">
        <f t="shared" si="40"/>
        <v>54.166666666666664</v>
      </c>
      <c r="P119" s="10">
        <f t="shared" si="42"/>
        <v>8.3333333333333339</v>
      </c>
      <c r="Q119" s="10">
        <v>0</v>
      </c>
      <c r="R119" s="10">
        <f t="shared" si="43"/>
        <v>700</v>
      </c>
      <c r="S119" s="10">
        <f t="shared" si="24"/>
        <v>4922.8125</v>
      </c>
      <c r="T119" s="10">
        <f t="shared" si="25"/>
        <v>59073.75</v>
      </c>
    </row>
    <row r="120" spans="1:20" s="8" customFormat="1" ht="20.100000000000001" customHeight="1" x14ac:dyDescent="0.2">
      <c r="A120" s="9">
        <f t="shared" si="26"/>
        <v>117</v>
      </c>
      <c r="B120" s="9">
        <v>1135</v>
      </c>
      <c r="C120" s="9" t="str">
        <f>VLOOKUP(B120,'[1]اسماء الموظفين'!$B$8:$O$501,2,0)</f>
        <v>اسامه عبده احمد عبدالله العبادي</v>
      </c>
      <c r="D120" s="9" t="str">
        <f>VLOOKUP(B120,'[1]اسماء الموظفين'!$B$8:$O$501,4,0)</f>
        <v>اليمن</v>
      </c>
      <c r="E120" s="9" t="str">
        <f>VLOOKUP(B120,'[2]المقيمين النشطين'!$B$2:$Q$980,15,0)</f>
        <v>شركة أدفان للصناعة ( شركة شخص واحد )</v>
      </c>
      <c r="F120" s="9" t="str">
        <f>VLOOKUP(B120,'[1]اسماء الموظفين'!$B$8:$O$501,11,0)</f>
        <v>ورشة أثاث</v>
      </c>
      <c r="G120" s="11">
        <f>VLOOKUP(B120,'[3]رواتب الموظفين 2022'!$B$9:$J$1019,9,0)</f>
        <v>2400</v>
      </c>
      <c r="H120" s="11">
        <f>VLOOKUP(B120,'[3]رواتب الموظفين 2022'!$B$9:$E$438,4,0)*2%</f>
        <v>24</v>
      </c>
      <c r="I120" s="11">
        <f>373.75/12</f>
        <v>31.145833333333332</v>
      </c>
      <c r="J120" s="11">
        <v>0</v>
      </c>
      <c r="K120" s="11">
        <f t="shared" si="37"/>
        <v>140</v>
      </c>
      <c r="L120" s="11">
        <f t="shared" si="38"/>
        <v>100</v>
      </c>
      <c r="M120" s="11">
        <f t="shared" si="39"/>
        <v>62.5</v>
      </c>
      <c r="N120" s="8">
        <f t="shared" si="41"/>
        <v>166.66666666666666</v>
      </c>
      <c r="O120" s="10">
        <f t="shared" si="40"/>
        <v>54.166666666666664</v>
      </c>
      <c r="P120" s="10">
        <f t="shared" si="42"/>
        <v>8.3333333333333339</v>
      </c>
      <c r="Q120" s="10">
        <v>0</v>
      </c>
      <c r="R120" s="10">
        <f t="shared" si="43"/>
        <v>700</v>
      </c>
      <c r="S120" s="10">
        <f t="shared" si="24"/>
        <v>3686.8125</v>
      </c>
      <c r="T120" s="10">
        <f t="shared" si="25"/>
        <v>44241.75</v>
      </c>
    </row>
    <row r="121" spans="1:20" s="8" customFormat="1" ht="20.100000000000001" customHeight="1" x14ac:dyDescent="0.2">
      <c r="A121" s="9">
        <f t="shared" si="26"/>
        <v>118</v>
      </c>
      <c r="B121" s="9">
        <v>1136</v>
      </c>
      <c r="C121" s="9" t="str">
        <f>VLOOKUP(B121,'[1]اسماء الموظفين'!$B$8:$O$501,2,0)</f>
        <v>عبدالحافظ رشاد علي سعيد</v>
      </c>
      <c r="D121" s="9" t="str">
        <f>VLOOKUP(B121,'[1]اسماء الموظفين'!$B$8:$O$501,4,0)</f>
        <v>اليمن</v>
      </c>
      <c r="E121" s="9" t="str">
        <f>VLOOKUP(B121,'[2]المقيمين النشطين'!$B$2:$Q$980,15,0)</f>
        <v>شركة أدفان للصناعة ( شركة شخص واحد )</v>
      </c>
      <c r="F121" s="9" t="str">
        <f>VLOOKUP(B121,'[1]اسماء الموظفين'!$B$8:$O$501,11,0)</f>
        <v>ورشة أثاث</v>
      </c>
      <c r="G121" s="11">
        <f>VLOOKUP(B121,'[3]رواتب الموظفين 2022'!$B$9:$J$1019,9,0)</f>
        <v>2000</v>
      </c>
      <c r="H121" s="11">
        <f>VLOOKUP(B121,'[3]رواتب الموظفين 2022'!$B$9:$E$438,4,0)*2%</f>
        <v>30</v>
      </c>
      <c r="I121" s="11">
        <f>449.65/12</f>
        <v>37.470833333333331</v>
      </c>
      <c r="J121" s="11">
        <v>0</v>
      </c>
      <c r="K121" s="11">
        <f t="shared" si="37"/>
        <v>116.66666666666667</v>
      </c>
      <c r="L121" s="11">
        <f t="shared" si="38"/>
        <v>83.333333333333329</v>
      </c>
      <c r="M121" s="11">
        <f t="shared" si="39"/>
        <v>62.5</v>
      </c>
      <c r="N121" s="8">
        <f t="shared" si="41"/>
        <v>166.66666666666666</v>
      </c>
      <c r="O121" s="10">
        <f t="shared" si="40"/>
        <v>54.166666666666664</v>
      </c>
      <c r="P121" s="10">
        <f t="shared" si="42"/>
        <v>8.3333333333333339</v>
      </c>
      <c r="Q121" s="10">
        <v>0</v>
      </c>
      <c r="R121" s="10">
        <f t="shared" si="43"/>
        <v>700</v>
      </c>
      <c r="S121" s="10">
        <f t="shared" si="24"/>
        <v>3259.1374999999998</v>
      </c>
      <c r="T121" s="10">
        <f t="shared" si="25"/>
        <v>39109.649999999994</v>
      </c>
    </row>
    <row r="122" spans="1:20" s="8" customFormat="1" ht="20.100000000000001" customHeight="1" x14ac:dyDescent="0.2">
      <c r="A122" s="9">
        <f t="shared" si="26"/>
        <v>119</v>
      </c>
      <c r="B122" s="9">
        <v>1137</v>
      </c>
      <c r="C122" s="9" t="str">
        <f>VLOOKUP(B122,'[1]اسماء الموظفين'!$B$8:$O$501,2,0)</f>
        <v>حسن عبده حزام عساج</v>
      </c>
      <c r="D122" s="9" t="str">
        <f>VLOOKUP(B122,'[1]اسماء الموظفين'!$B$8:$O$501,4,0)</f>
        <v>اليمن</v>
      </c>
      <c r="E122" s="9" t="str">
        <f>VLOOKUP(B122,'[2]المقيمين النشطين'!$B$2:$Q$980,15,0)</f>
        <v>شركة أدفان للصناعة ( شركة شخص واحد )</v>
      </c>
      <c r="F122" s="9" t="str">
        <f>VLOOKUP(B122,'[1]اسماء الموظفين'!$B$8:$O$501,11,0)</f>
        <v>ورشة أثاث</v>
      </c>
      <c r="G122" s="11">
        <f>VLOOKUP(B122,'[3]رواتب الموظفين 2022'!$B$9:$J$1019,9,0)</f>
        <v>2800</v>
      </c>
      <c r="H122" s="11">
        <f>VLOOKUP(B122,'[3]رواتب الموظفين 2022'!$B$9:$E$438,4,0)*2%</f>
        <v>24</v>
      </c>
      <c r="I122" s="11">
        <f>449.65/12</f>
        <v>37.470833333333331</v>
      </c>
      <c r="J122" s="11">
        <v>0</v>
      </c>
      <c r="K122" s="11">
        <f t="shared" si="37"/>
        <v>163.33333333333334</v>
      </c>
      <c r="L122" s="11">
        <f t="shared" si="38"/>
        <v>116.66666666666667</v>
      </c>
      <c r="M122" s="11">
        <f t="shared" si="39"/>
        <v>62.5</v>
      </c>
      <c r="N122" s="8">
        <f t="shared" si="41"/>
        <v>166.66666666666666</v>
      </c>
      <c r="O122" s="10">
        <f t="shared" si="40"/>
        <v>54.166666666666664</v>
      </c>
      <c r="P122" s="10">
        <f t="shared" si="42"/>
        <v>8.3333333333333339</v>
      </c>
      <c r="Q122" s="10">
        <v>0</v>
      </c>
      <c r="R122" s="10">
        <f t="shared" si="43"/>
        <v>700</v>
      </c>
      <c r="S122" s="10">
        <f t="shared" si="24"/>
        <v>4133.1374999999998</v>
      </c>
      <c r="T122" s="10">
        <f t="shared" si="25"/>
        <v>49597.649999999994</v>
      </c>
    </row>
    <row r="123" spans="1:20" s="8" customFormat="1" ht="20.100000000000001" customHeight="1" x14ac:dyDescent="0.2">
      <c r="A123" s="9">
        <f t="shared" si="26"/>
        <v>120</v>
      </c>
      <c r="B123" s="9">
        <v>1138</v>
      </c>
      <c r="C123" s="9" t="str">
        <f>VLOOKUP(B123,'[1]اسماء الموظفين'!$B$8:$O$501,2,0)</f>
        <v>محمد عمر سعد محمود</v>
      </c>
      <c r="D123" s="9" t="str">
        <f>VLOOKUP(B123,'[1]اسماء الموظفين'!$B$8:$O$501,4,0)</f>
        <v>مصر</v>
      </c>
      <c r="E123" s="9" t="str">
        <f>VLOOKUP(B123,'[2]المقيمين النشطين'!$B$2:$Q$980,15,0)</f>
        <v>شركة أدفان للصناعة ( شركة شخص واحد )</v>
      </c>
      <c r="F123" s="9" t="str">
        <f>VLOOKUP(B123,'[1]اسماء الموظفين'!$B$8:$O$501,11,0)</f>
        <v>ورشة أثاث</v>
      </c>
      <c r="G123" s="11">
        <f>VLOOKUP(B123,'[3]رواتب الموظفين 2022'!$B$9:$J$1019,9,0)</f>
        <v>3500</v>
      </c>
      <c r="H123" s="11">
        <f>VLOOKUP(B123,'[3]رواتب الموظفين 2022'!$B$9:$E$438,4,0)*2%</f>
        <v>50</v>
      </c>
      <c r="I123" s="11">
        <f>449.65/12</f>
        <v>37.470833333333331</v>
      </c>
      <c r="J123" s="11">
        <v>0</v>
      </c>
      <c r="K123" s="11">
        <f t="shared" si="37"/>
        <v>204.16666666666666</v>
      </c>
      <c r="L123" s="11">
        <f t="shared" si="38"/>
        <v>145.83333333333334</v>
      </c>
      <c r="M123" s="11">
        <f t="shared" si="39"/>
        <v>62.5</v>
      </c>
      <c r="N123" s="8">
        <f t="shared" si="41"/>
        <v>166.66666666666666</v>
      </c>
      <c r="O123" s="10">
        <f t="shared" si="40"/>
        <v>54.166666666666664</v>
      </c>
      <c r="P123" s="10">
        <f t="shared" si="42"/>
        <v>8.3333333333333339</v>
      </c>
      <c r="Q123" s="10">
        <v>0</v>
      </c>
      <c r="R123" s="10">
        <f t="shared" si="43"/>
        <v>700</v>
      </c>
      <c r="S123" s="10">
        <f t="shared" si="24"/>
        <v>4929.1374999999998</v>
      </c>
      <c r="T123" s="10">
        <f t="shared" si="25"/>
        <v>59149.649999999994</v>
      </c>
    </row>
    <row r="124" spans="1:20" s="8" customFormat="1" ht="20.100000000000001" customHeight="1" x14ac:dyDescent="0.2">
      <c r="A124" s="9">
        <f t="shared" si="26"/>
        <v>121</v>
      </c>
      <c r="B124" s="9">
        <v>1139</v>
      </c>
      <c r="C124" s="9" t="str">
        <f>VLOOKUP(B124,'[1]اسماء الموظفين'!$B$8:$O$501,2,0)</f>
        <v>صالحه علي أحمد هزازي</v>
      </c>
      <c r="D124" s="9" t="str">
        <f>VLOOKUP(B124,'[1]اسماء الموظفين'!$B$8:$O$501,4,0)</f>
        <v>سعودي</v>
      </c>
      <c r="E124" s="9" t="str">
        <f>VLOOKUP(B124,'[2]المقيمين النشطين'!$B$2:$Q$980,15,0)</f>
        <v>شركة ريال البركة للتجارة</v>
      </c>
      <c r="F124" s="9" t="str">
        <f>VLOOKUP(B124,'[1]اسماء الموظفين'!$B$8:$O$501,11,0)</f>
        <v>العنود</v>
      </c>
      <c r="G124" s="11">
        <f>VLOOKUP(B124,'[3]رواتب الموظفين 2022'!$B$9:$J$1019,9,0)</f>
        <v>4300</v>
      </c>
      <c r="H124" s="11">
        <f>VLOOKUP(B124,'[3]رواتب الموظفين 2022'!$B$9:$E$438,4,0)*12.25%</f>
        <v>490</v>
      </c>
      <c r="I124" s="11"/>
      <c r="J124" s="11">
        <v>0</v>
      </c>
      <c r="K124" s="11">
        <f t="shared" si="37"/>
        <v>250.83333333333334</v>
      </c>
      <c r="L124" s="11">
        <f t="shared" si="38"/>
        <v>179.16666666666666</v>
      </c>
      <c r="M124" s="11">
        <v>0</v>
      </c>
      <c r="N124" s="8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f t="shared" si="24"/>
        <v>5220</v>
      </c>
      <c r="T124" s="10">
        <f t="shared" si="25"/>
        <v>62640</v>
      </c>
    </row>
    <row r="125" spans="1:20" s="8" customFormat="1" ht="20.100000000000001" customHeight="1" x14ac:dyDescent="0.2">
      <c r="A125" s="9">
        <f t="shared" si="26"/>
        <v>122</v>
      </c>
      <c r="B125" s="9">
        <v>1140</v>
      </c>
      <c r="C125" s="9" t="str">
        <f>VLOOKUP(B125,'[1]اسماء الموظفين'!$B$8:$O$501,2,0)</f>
        <v>علي سمير حسن</v>
      </c>
      <c r="D125" s="9" t="str">
        <f>VLOOKUP(B125,'[1]اسماء الموظفين'!$B$8:$O$501,4,0)</f>
        <v>مصر</v>
      </c>
      <c r="E125" s="9" t="str">
        <f>VLOOKUP(B125,'[2]المقيمين النشطين'!$B$2:$Q$980,15,0)</f>
        <v>مصنع سلطان عبدالرحمن صالح الرزيحي للمنتجات الورقية</v>
      </c>
      <c r="F125" s="9" t="str">
        <f>VLOOKUP(B125,'[1]اسماء الموظفين'!$B$8:$O$501,11,0)</f>
        <v>المصنع</v>
      </c>
      <c r="G125" s="11">
        <f>VLOOKUP(B125,'[3]رواتب الموظفين 2022'!$B$9:$J$1019,9,0)</f>
        <v>2250</v>
      </c>
      <c r="H125" s="11">
        <f>VLOOKUP(B125,'[3]رواتب الموظفين 2022'!$B$9:$E$438,4,0)*2%</f>
        <v>36</v>
      </c>
      <c r="I125" s="11">
        <v>0</v>
      </c>
      <c r="J125" s="11">
        <f>1225.6/12</f>
        <v>102.13333333333333</v>
      </c>
      <c r="K125" s="11">
        <f t="shared" si="37"/>
        <v>131.25</v>
      </c>
      <c r="L125" s="11">
        <f t="shared" si="38"/>
        <v>93.75</v>
      </c>
      <c r="M125" s="11">
        <f>1500/24</f>
        <v>62.5</v>
      </c>
      <c r="N125" s="8">
        <v>0</v>
      </c>
      <c r="O125" s="10">
        <f>650/12</f>
        <v>54.166666666666664</v>
      </c>
      <c r="P125" s="10">
        <v>8.3333333333333339</v>
      </c>
      <c r="Q125" s="10">
        <v>0</v>
      </c>
      <c r="R125" s="10">
        <f>$K$329</f>
        <v>739.31702574525752</v>
      </c>
      <c r="S125" s="10">
        <f t="shared" si="24"/>
        <v>3477.4503590785907</v>
      </c>
      <c r="T125" s="10">
        <f t="shared" si="25"/>
        <v>41729.404308943092</v>
      </c>
    </row>
    <row r="126" spans="1:20" s="8" customFormat="1" ht="20.100000000000001" customHeight="1" x14ac:dyDescent="0.2">
      <c r="A126" s="9">
        <f t="shared" si="26"/>
        <v>123</v>
      </c>
      <c r="B126" s="9">
        <v>1141</v>
      </c>
      <c r="C126" s="9" t="str">
        <f>VLOOKUP(B126,'[1]اسماء الموظفين'!$B$8:$O$501,2,0)</f>
        <v>أحمد جابر احمد مدكور</v>
      </c>
      <c r="D126" s="9" t="str">
        <f>VLOOKUP(B126,'[1]اسماء الموظفين'!$B$8:$O$501,4,0)</f>
        <v>مصر</v>
      </c>
      <c r="E126" s="9" t="str">
        <f>VLOOKUP(B126,'[2]المقيمين النشطين'!$B$2:$Q$980,15,0)</f>
        <v>مصنع سلطان عبدالرحمن صالح الرزيحي للمنتجات الورقية</v>
      </c>
      <c r="F126" s="9" t="str">
        <f>VLOOKUP(B126,'[1]اسماء الموظفين'!$B$8:$O$501,11,0)</f>
        <v>المصنع</v>
      </c>
      <c r="G126" s="11">
        <f>VLOOKUP(B126,'[3]رواتب الموظفين 2022'!$B$9:$J$1019,9,0)</f>
        <v>5000</v>
      </c>
      <c r="H126" s="11">
        <f>VLOOKUP(B126,'[3]رواتب الموظفين 2022'!$B$9:$E$438,4,0)*2%</f>
        <v>60</v>
      </c>
      <c r="I126" s="11">
        <v>0</v>
      </c>
      <c r="J126" s="11">
        <f>1225.6/12</f>
        <v>102.13333333333333</v>
      </c>
      <c r="K126" s="11">
        <f t="shared" si="37"/>
        <v>291.66666666666669</v>
      </c>
      <c r="L126" s="11">
        <f t="shared" si="38"/>
        <v>208.33333333333334</v>
      </c>
      <c r="M126" s="11">
        <f>1500/24</f>
        <v>62.5</v>
      </c>
      <c r="N126" s="8">
        <v>0</v>
      </c>
      <c r="O126" s="10">
        <f>650/12</f>
        <v>54.166666666666664</v>
      </c>
      <c r="P126" s="10">
        <v>8.3333333333333339</v>
      </c>
      <c r="Q126" s="10">
        <v>0</v>
      </c>
      <c r="R126" s="10">
        <f>$K$329</f>
        <v>739.31702574525752</v>
      </c>
      <c r="S126" s="10">
        <f t="shared" si="24"/>
        <v>6526.4503590785907</v>
      </c>
      <c r="T126" s="10">
        <f t="shared" si="25"/>
        <v>78317.404308943092</v>
      </c>
    </row>
    <row r="127" spans="1:20" s="8" customFormat="1" ht="20.100000000000001" customHeight="1" x14ac:dyDescent="0.2">
      <c r="A127" s="9">
        <f t="shared" si="26"/>
        <v>124</v>
      </c>
      <c r="B127" s="9">
        <v>1142</v>
      </c>
      <c r="C127" s="9" t="str">
        <f>VLOOKUP(B127,'[1]اسماء الموظفين'!$B$8:$O$501,2,0)</f>
        <v>معتز عصام الصافي الرضي</v>
      </c>
      <c r="D127" s="9" t="str">
        <f>VLOOKUP(B127,'[1]اسماء الموظفين'!$B$8:$O$501,4,0)</f>
        <v>السودان</v>
      </c>
      <c r="E127" s="9" t="str">
        <f>VLOOKUP(B127,'[2]المقيمين النشطين'!$B$2:$Q$980,15,0)</f>
        <v>شركة ريال البركة للتجارة</v>
      </c>
      <c r="F127" s="9" t="str">
        <f>VLOOKUP(B127,'[1]اسماء الموظفين'!$B$8:$O$501,11,0)</f>
        <v>أونلاين</v>
      </c>
      <c r="G127" s="11">
        <f>VLOOKUP(B127,'[3]رواتب الموظفين 2022'!$B$9:$J$1019,9,0)</f>
        <v>2500</v>
      </c>
      <c r="H127" s="11">
        <f>VLOOKUP(B127,'[3]رواتب الموظفين 2022'!$B$9:$E$438,4,0)*2%</f>
        <v>36</v>
      </c>
      <c r="I127" s="11">
        <f>269.38/12</f>
        <v>22.448333333333334</v>
      </c>
      <c r="J127" s="11">
        <v>0</v>
      </c>
      <c r="K127" s="11">
        <f t="shared" si="37"/>
        <v>145.83333333333334</v>
      </c>
      <c r="L127" s="11">
        <f t="shared" si="38"/>
        <v>104.16666666666667</v>
      </c>
      <c r="M127" s="11">
        <f>1500/24</f>
        <v>62.5</v>
      </c>
      <c r="N127" s="8">
        <f>2000/12</f>
        <v>166.66666666666666</v>
      </c>
      <c r="O127" s="10">
        <f>650/12</f>
        <v>54.166666666666664</v>
      </c>
      <c r="P127" s="10">
        <f>9700/12</f>
        <v>808.33333333333337</v>
      </c>
      <c r="Q127" s="10">
        <f>VLOOKUP(B127,[4]بيان!$B$6:$G$112,4,0)</f>
        <v>96.491228070175438</v>
      </c>
      <c r="R127" s="10">
        <f>$K$329</f>
        <v>739.31702574525752</v>
      </c>
      <c r="S127" s="10">
        <f t="shared" si="24"/>
        <v>4735.9232538154329</v>
      </c>
      <c r="T127" s="10">
        <f t="shared" si="25"/>
        <v>56831.079045785198</v>
      </c>
    </row>
    <row r="128" spans="1:20" s="8" customFormat="1" ht="20.100000000000001" customHeight="1" x14ac:dyDescent="0.2">
      <c r="A128" s="9">
        <f t="shared" si="26"/>
        <v>125</v>
      </c>
      <c r="B128" s="9">
        <v>1143</v>
      </c>
      <c r="C128" s="9" t="str">
        <f>VLOOKUP(B128,'[1]اسماء الموظفين'!$B$8:$O$501,2,0)</f>
        <v>AMIR ALAM WARKOTAY KHAN</v>
      </c>
      <c r="D128" s="9" t="str">
        <f>VLOOKUP(B128,'[1]اسماء الموظفين'!$B$8:$O$501,4,0)</f>
        <v>باكستان</v>
      </c>
      <c r="E128" s="9" t="str">
        <f>VLOOKUP(B128,'[2]المقيمين النشطين'!$B$2:$Q$980,15,0)</f>
        <v xml:space="preserve">سلطان عبدالرحمن صالح الرزيحي </v>
      </c>
      <c r="F128" s="9" t="str">
        <f>VLOOKUP(B128,'[1]اسماء الموظفين'!$B$8:$O$501,11,0)</f>
        <v>المالك</v>
      </c>
      <c r="G128" s="11">
        <f>VLOOKUP(B128,'[3]رواتب الموظفين 2022'!$B$9:$J$1019,9,0)</f>
        <v>2000</v>
      </c>
      <c r="H128" s="11">
        <v>0</v>
      </c>
      <c r="I128" s="11">
        <v>0</v>
      </c>
      <c r="J128" s="11">
        <v>0</v>
      </c>
      <c r="K128" s="11">
        <f t="shared" si="37"/>
        <v>116.66666666666667</v>
      </c>
      <c r="L128" s="11">
        <f t="shared" si="38"/>
        <v>83.333333333333329</v>
      </c>
      <c r="M128" s="11">
        <f>1800/24</f>
        <v>75</v>
      </c>
      <c r="N128" s="8">
        <f>2000/12</f>
        <v>166.66666666666666</v>
      </c>
      <c r="O128" s="10">
        <f>650/12</f>
        <v>54.166666666666664</v>
      </c>
      <c r="P128" s="10">
        <v>0</v>
      </c>
      <c r="Q128" s="10">
        <v>0</v>
      </c>
      <c r="R128" s="10">
        <v>0</v>
      </c>
      <c r="S128" s="10">
        <f t="shared" si="24"/>
        <v>2495.833333333333</v>
      </c>
      <c r="T128" s="10">
        <f t="shared" si="25"/>
        <v>29949.999999999996</v>
      </c>
    </row>
    <row r="129" spans="1:20" s="8" customFormat="1" ht="20.100000000000001" customHeight="1" x14ac:dyDescent="0.2">
      <c r="A129" s="9">
        <f t="shared" si="26"/>
        <v>126</v>
      </c>
      <c r="B129" s="9">
        <v>1144</v>
      </c>
      <c r="C129" s="9" t="str">
        <f>VLOOKUP(B129,'[1]اسماء الموظفين'!$B$8:$O$501,2,0)</f>
        <v>صالحة محمد أحمد عتين</v>
      </c>
      <c r="D129" s="9" t="str">
        <f>VLOOKUP(B129,'[1]اسماء الموظفين'!$B$8:$O$501,4,0)</f>
        <v>سعودي</v>
      </c>
      <c r="E129" s="9" t="str">
        <f>VLOOKUP(B129,'[2]المقيمين النشطين'!$B$2:$Q$980,15,0)</f>
        <v>مؤسسة سلطان عبدالرحمن صالح الرزيحي للتجارة</v>
      </c>
      <c r="F129" s="9" t="str">
        <f>VLOOKUP(B129,'[1]اسماء الموظفين'!$B$8:$O$501,11,0)</f>
        <v>جملة سلطان/السويلم</v>
      </c>
      <c r="G129" s="11">
        <f>VLOOKUP(B129,'[3]رواتب الموظفين 2022'!$B$9:$J$1019,9,0)</f>
        <v>4550</v>
      </c>
      <c r="H129" s="11">
        <f>VLOOKUP(B129,'[3]رواتب الموظفين 2022'!$B$9:$E$438,4,0)*12.25%</f>
        <v>490</v>
      </c>
      <c r="I129" s="11">
        <f>832.93/12</f>
        <v>69.410833333333329</v>
      </c>
      <c r="J129" s="11">
        <v>0</v>
      </c>
      <c r="K129" s="11">
        <f t="shared" si="37"/>
        <v>265.41666666666669</v>
      </c>
      <c r="L129" s="11">
        <f t="shared" si="38"/>
        <v>189.58333333333334</v>
      </c>
      <c r="M129" s="11">
        <v>0</v>
      </c>
      <c r="N129" s="8">
        <v>0</v>
      </c>
      <c r="O129" s="10">
        <v>0</v>
      </c>
      <c r="P129" s="10">
        <v>0</v>
      </c>
      <c r="Q129" s="10">
        <v>0</v>
      </c>
      <c r="R129" s="10">
        <v>1323</v>
      </c>
      <c r="S129" s="10">
        <f t="shared" si="24"/>
        <v>6887.4108333333334</v>
      </c>
      <c r="T129" s="10">
        <f t="shared" si="25"/>
        <v>82648.929999999993</v>
      </c>
    </row>
    <row r="130" spans="1:20" s="8" customFormat="1" ht="20.100000000000001" customHeight="1" x14ac:dyDescent="0.2">
      <c r="A130" s="9">
        <f t="shared" si="26"/>
        <v>127</v>
      </c>
      <c r="B130" s="9">
        <v>1145</v>
      </c>
      <c r="C130" s="9" t="str">
        <f>VLOOKUP(B130,'[1]اسماء الموظفين'!$B$8:$O$501,2,0)</f>
        <v>مرام عبدالوهاب الخولاني</v>
      </c>
      <c r="D130" s="9" t="str">
        <f>VLOOKUP(B130,'[1]اسماء الموظفين'!$B$8:$O$501,4,0)</f>
        <v>اليمن</v>
      </c>
      <c r="E130" s="9" t="str">
        <f>VLOOKUP(B130,'[2]المقيمين النشطين'!$B$2:$Q$980,15,0)</f>
        <v>عن بعد</v>
      </c>
      <c r="F130" s="9" t="str">
        <f>VLOOKUP(B130,'[1]اسماء الموظفين'!$B$8:$O$501,11,0)</f>
        <v>وكالة ممكن</v>
      </c>
      <c r="G130" s="11">
        <f>VLOOKUP(B130,'[3]رواتب الموظفين 2022'!$B$9:$J$1019,9,0)</f>
        <v>2000</v>
      </c>
      <c r="H130" s="11">
        <v>0</v>
      </c>
      <c r="I130" s="11">
        <v>0</v>
      </c>
      <c r="J130" s="11">
        <v>0</v>
      </c>
      <c r="K130" s="11">
        <v>0</v>
      </c>
      <c r="L130" s="11"/>
      <c r="M130" s="11">
        <v>0</v>
      </c>
      <c r="N130" s="8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f t="shared" si="24"/>
        <v>2000</v>
      </c>
      <c r="T130" s="10">
        <f t="shared" si="25"/>
        <v>24000</v>
      </c>
    </row>
    <row r="131" spans="1:20" s="8" customFormat="1" ht="20.100000000000001" customHeight="1" x14ac:dyDescent="0.2">
      <c r="A131" s="9">
        <f t="shared" si="26"/>
        <v>128</v>
      </c>
      <c r="B131" s="9">
        <v>1152</v>
      </c>
      <c r="C131" s="9" t="str">
        <f>VLOOKUP(B131,'[1]اسماء الموظفين'!$B$8:$O$501,2,0)</f>
        <v>سجاء علي عبدالله المحيميد</v>
      </c>
      <c r="D131" s="9" t="str">
        <f>VLOOKUP(B131,'[1]اسماء الموظفين'!$B$8:$O$501,4,0)</f>
        <v>سعودي</v>
      </c>
      <c r="E131" s="9" t="str">
        <f>VLOOKUP(B131,'[2]المقيمين النشطين'!$B$2:$Q$980,15,0)</f>
        <v>مؤسسة عبدالرحمن سلطان عبدالرحمن الرزيحي للتجارة</v>
      </c>
      <c r="F131" s="9" t="str">
        <f>VLOOKUP(B131,'[1]اسماء الموظفين'!$B$8:$O$501,11,0)</f>
        <v>الأندلس</v>
      </c>
      <c r="G131" s="11">
        <f>VLOOKUP(B131,'[3]رواتب الموظفين 2022'!$B$9:$J$1019,9,0)</f>
        <v>4000</v>
      </c>
      <c r="H131" s="11">
        <f>VLOOKUP(B131,'[3]رواتب الموظفين 2022'!$B$9:$E$438,4,0)*12.25%</f>
        <v>490</v>
      </c>
      <c r="I131" s="11"/>
      <c r="J131" s="11">
        <v>0</v>
      </c>
      <c r="K131" s="11">
        <f>G131/30*21/12</f>
        <v>233.33333333333334</v>
      </c>
      <c r="L131" s="11">
        <f>G131/2/12</f>
        <v>166.66666666666666</v>
      </c>
      <c r="M131" s="11">
        <v>0</v>
      </c>
      <c r="N131" s="8">
        <v>0</v>
      </c>
      <c r="O131" s="10">
        <v>0</v>
      </c>
      <c r="P131" s="10">
        <v>0</v>
      </c>
      <c r="Q131" s="10">
        <v>0</v>
      </c>
      <c r="R131" s="10">
        <v>1150</v>
      </c>
      <c r="S131" s="10">
        <f t="shared" si="24"/>
        <v>6040</v>
      </c>
      <c r="T131" s="10">
        <f t="shared" si="25"/>
        <v>72480</v>
      </c>
    </row>
    <row r="132" spans="1:20" s="8" customFormat="1" ht="20.100000000000001" customHeight="1" x14ac:dyDescent="0.2">
      <c r="A132" s="9">
        <f t="shared" si="26"/>
        <v>129</v>
      </c>
      <c r="B132" s="9">
        <v>1153</v>
      </c>
      <c r="C132" s="9" t="str">
        <f>VLOOKUP(B132,'[1]اسماء الموظفين'!$B$8:$O$501,2,0)</f>
        <v>سارة عدنان علي الصالح</v>
      </c>
      <c r="D132" s="9" t="str">
        <f>VLOOKUP(B132,'[1]اسماء الموظفين'!$B$8:$O$501,4,0)</f>
        <v>سعودي</v>
      </c>
      <c r="E132" s="9" t="str">
        <f>VLOOKUP(B132,'[2]المقيمين النشطين'!$B$2:$Q$980,15,0)</f>
        <v>مؤسسة عبدالرحمن سلطان عبدالرحمن الرزيحي للتجارة</v>
      </c>
      <c r="F132" s="9" t="str">
        <f>VLOOKUP(B132,'[1]اسماء الموظفين'!$B$8:$O$501,11,0)</f>
        <v>الأندلس</v>
      </c>
      <c r="G132" s="11">
        <f>VLOOKUP(B132,'[3]رواتب الموظفين 2022'!$B$9:$J$1019,9,0)</f>
        <v>4000</v>
      </c>
      <c r="H132" s="11">
        <f>VLOOKUP(B132,'[3]رواتب الموظفين 2022'!$B$9:$E$438,4,0)*12.25%</f>
        <v>490</v>
      </c>
      <c r="I132" s="11"/>
      <c r="J132" s="11">
        <v>0</v>
      </c>
      <c r="K132" s="11">
        <f>G132/30*21/12</f>
        <v>233.33333333333334</v>
      </c>
      <c r="L132" s="11">
        <f>G132/2/12</f>
        <v>166.66666666666666</v>
      </c>
      <c r="M132" s="11">
        <v>0</v>
      </c>
      <c r="N132" s="8">
        <v>0</v>
      </c>
      <c r="O132" s="10">
        <v>0</v>
      </c>
      <c r="P132" s="10">
        <v>0</v>
      </c>
      <c r="Q132" s="10">
        <v>0</v>
      </c>
      <c r="R132" s="10">
        <v>1150</v>
      </c>
      <c r="S132" s="10">
        <f t="shared" ref="S132:S195" si="44">SUM(G132:R132)</f>
        <v>6040</v>
      </c>
      <c r="T132" s="10">
        <f t="shared" si="25"/>
        <v>72480</v>
      </c>
    </row>
    <row r="133" spans="1:20" s="8" customFormat="1" ht="20.100000000000001" customHeight="1" x14ac:dyDescent="0.2">
      <c r="A133" s="9">
        <f t="shared" si="26"/>
        <v>130</v>
      </c>
      <c r="B133" s="9">
        <v>1154</v>
      </c>
      <c r="C133" s="9" t="str">
        <f>VLOOKUP(B133,'[1]اسماء الموظفين'!$B$8:$O$501,2,0)</f>
        <v>فاطمه علي عبدالله المطوع</v>
      </c>
      <c r="D133" s="9" t="str">
        <f>VLOOKUP(B133,'[1]اسماء الموظفين'!$B$8:$O$501,4,0)</f>
        <v>سعودي</v>
      </c>
      <c r="E133" s="9" t="str">
        <f>VLOOKUP(B133,'[2]المقيمين النشطين'!$B$2:$Q$980,15,0)</f>
        <v>مؤسسة عبدالرحمن سلطان عبدالرحمن الرزيحي للتجارة</v>
      </c>
      <c r="F133" s="9" t="str">
        <f>VLOOKUP(B133,'[1]اسماء الموظفين'!$B$8:$O$501,11,0)</f>
        <v>الأندلس</v>
      </c>
      <c r="G133" s="11">
        <f>VLOOKUP(B133,'[3]رواتب الموظفين 2022'!$B$9:$J$1019,9,0)</f>
        <v>4000</v>
      </c>
      <c r="H133" s="11">
        <f>VLOOKUP(B133,'[3]رواتب الموظفين 2022'!$B$9:$E$438,4,0)*12.25%</f>
        <v>490</v>
      </c>
      <c r="I133" s="11"/>
      <c r="J133" s="11">
        <v>0</v>
      </c>
      <c r="K133" s="11">
        <f>G133/30*21/12</f>
        <v>233.33333333333334</v>
      </c>
      <c r="L133" s="11">
        <f>G133/2/12</f>
        <v>166.66666666666666</v>
      </c>
      <c r="M133" s="11">
        <v>0</v>
      </c>
      <c r="N133" s="8">
        <v>0</v>
      </c>
      <c r="O133" s="10">
        <v>0</v>
      </c>
      <c r="P133" s="10">
        <v>0</v>
      </c>
      <c r="Q133" s="10">
        <v>0</v>
      </c>
      <c r="R133" s="10">
        <v>1150</v>
      </c>
      <c r="S133" s="10">
        <f t="shared" si="44"/>
        <v>6040</v>
      </c>
      <c r="T133" s="10">
        <f t="shared" ref="T133:T196" si="45">S133*12</f>
        <v>72480</v>
      </c>
    </row>
    <row r="134" spans="1:20" s="8" customFormat="1" ht="20.100000000000001" customHeight="1" x14ac:dyDescent="0.2">
      <c r="A134" s="9">
        <f t="shared" ref="A134:A197" si="46">ROW()-3</f>
        <v>131</v>
      </c>
      <c r="B134" s="9">
        <v>1157</v>
      </c>
      <c r="C134" s="9" t="str">
        <f>VLOOKUP(B134,'[1]اسماء الموظفين'!$B$8:$O$501,2,0)</f>
        <v>نور محمد حسين الحدب</v>
      </c>
      <c r="D134" s="9" t="str">
        <f>VLOOKUP(B134,'[1]اسماء الموظفين'!$B$8:$O$501,4,0)</f>
        <v>سعودي</v>
      </c>
      <c r="E134" s="9" t="str">
        <f>VLOOKUP(B134,'[2]المقيمين النشطين'!$B$2:$Q$980,15,0)</f>
        <v>مؤسسة عبدالرحمن سلطان عبدالرحمن الرزيحي للتجارة</v>
      </c>
      <c r="F134" s="9" t="str">
        <f>VLOOKUP(B134,'[1]اسماء الموظفين'!$B$8:$O$501,11,0)</f>
        <v>الأندلس</v>
      </c>
      <c r="G134" s="11">
        <f>VLOOKUP(B134,'[3]رواتب الموظفين 2022'!$B$9:$J$1019,9,0)</f>
        <v>4000</v>
      </c>
      <c r="H134" s="11">
        <f>VLOOKUP(B134,'[3]رواتب الموظفين 2022'!$B$9:$E$438,4,0)*12.25%</f>
        <v>490</v>
      </c>
      <c r="I134" s="11"/>
      <c r="J134" s="11">
        <v>0</v>
      </c>
      <c r="K134" s="11">
        <f>G134/30*21/12</f>
        <v>233.33333333333334</v>
      </c>
      <c r="L134" s="11">
        <f>G134/2/12</f>
        <v>166.66666666666666</v>
      </c>
      <c r="M134" s="11">
        <v>0</v>
      </c>
      <c r="N134" s="8">
        <v>0</v>
      </c>
      <c r="O134" s="10">
        <v>0</v>
      </c>
      <c r="P134" s="10">
        <v>0</v>
      </c>
      <c r="Q134" s="10">
        <v>0</v>
      </c>
      <c r="R134" s="10">
        <v>1150</v>
      </c>
      <c r="S134" s="10">
        <f t="shared" si="44"/>
        <v>6040</v>
      </c>
      <c r="T134" s="10">
        <f t="shared" si="45"/>
        <v>72480</v>
      </c>
    </row>
    <row r="135" spans="1:20" s="8" customFormat="1" ht="20.100000000000001" customHeight="1" x14ac:dyDescent="0.2">
      <c r="A135" s="9">
        <f t="shared" si="46"/>
        <v>132</v>
      </c>
      <c r="B135" s="9">
        <v>1158</v>
      </c>
      <c r="C135" s="9" t="str">
        <f>VLOOKUP(B135,'[1]اسماء الموظفين'!$B$8:$O$501,2,0)</f>
        <v>محمد كوثر</v>
      </c>
      <c r="D135" s="9" t="str">
        <f>VLOOKUP(B135,'[1]اسماء الموظفين'!$B$8:$O$501,4,0)</f>
        <v>بنجلاديش</v>
      </c>
      <c r="E135" s="9" t="str">
        <f>VLOOKUP(B135,'[2]المقيمين النشطين'!$B$2:$Q$980,15,0)</f>
        <v>تحت التجربة</v>
      </c>
      <c r="F135" s="9" t="str">
        <f>VLOOKUP(B135,'[1]اسماء الموظفين'!$B$8:$O$501,11,0)</f>
        <v>المدير العام</v>
      </c>
      <c r="G135" s="11">
        <f>VLOOKUP(B135,'[3]رواتب الموظفين 2022'!$B$9:$J$1019,9,0)</f>
        <v>1800</v>
      </c>
      <c r="H135" s="11"/>
      <c r="I135" s="11">
        <v>0</v>
      </c>
      <c r="J135" s="11">
        <v>0</v>
      </c>
      <c r="K135" s="11">
        <f>G135/30*21/12</f>
        <v>105</v>
      </c>
      <c r="L135" s="11">
        <f>G135/2/12</f>
        <v>75</v>
      </c>
      <c r="M135" s="11">
        <f>1800/24</f>
        <v>75</v>
      </c>
      <c r="N135" s="8">
        <f>2000/12</f>
        <v>166.66666666666666</v>
      </c>
      <c r="O135" s="10">
        <f>600/12</f>
        <v>50</v>
      </c>
      <c r="P135" s="10">
        <v>0</v>
      </c>
      <c r="Q135" s="10">
        <f>VLOOKUP(B135,[4]بيان!$B$6:$G$112,4,0)</f>
        <v>96.491228070175438</v>
      </c>
      <c r="R135" s="10">
        <v>0</v>
      </c>
      <c r="S135" s="10">
        <f t="shared" si="44"/>
        <v>2368.1578947368421</v>
      </c>
      <c r="T135" s="10">
        <f t="shared" si="45"/>
        <v>28417.894736842107</v>
      </c>
    </row>
    <row r="136" spans="1:20" s="8" customFormat="1" ht="20.100000000000001" customHeight="1" x14ac:dyDescent="0.2">
      <c r="A136" s="9">
        <f t="shared" si="46"/>
        <v>133</v>
      </c>
      <c r="B136" s="9">
        <v>1159</v>
      </c>
      <c r="C136" s="9" t="str">
        <f>VLOOKUP(B136,'[1]اسماء الموظفين'!$B$8:$O$501,2,0)</f>
        <v>سيف أحمد محسن اليمني</v>
      </c>
      <c r="D136" s="9" t="str">
        <f>VLOOKUP(B136,'[1]اسماء الموظفين'!$B$8:$O$501,4,0)</f>
        <v>اليمن</v>
      </c>
      <c r="E136" s="9" t="str">
        <f>VLOOKUP(B136,'[2]المقيمين النشطين'!$B$2:$Q$980,15,0)</f>
        <v>تحت التجربة</v>
      </c>
      <c r="F136" s="9" t="str">
        <f>VLOOKUP(B136,'[1]اسماء الموظفين'!$B$8:$O$501,11,0)</f>
        <v>مستودع الغنامية</v>
      </c>
      <c r="G136" s="11">
        <f>VLOOKUP(B136,'[3]رواتب الموظفين 2022'!$B$9:$J$1019,9,0)</f>
        <v>1000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8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f t="shared" si="44"/>
        <v>1000</v>
      </c>
      <c r="T136" s="10">
        <f t="shared" si="45"/>
        <v>12000</v>
      </c>
    </row>
    <row r="137" spans="1:20" s="8" customFormat="1" ht="20.100000000000001" customHeight="1" x14ac:dyDescent="0.2">
      <c r="A137" s="9">
        <f t="shared" si="46"/>
        <v>134</v>
      </c>
      <c r="B137" s="9">
        <v>1160</v>
      </c>
      <c r="C137" s="9" t="str">
        <f>VLOOKUP(B137,'[1]اسماء الموظفين'!$B$8:$O$501,2,0)</f>
        <v>غدير راشد محمد السبيعي</v>
      </c>
      <c r="D137" s="9" t="str">
        <f>VLOOKUP(B137,'[1]اسماء الموظفين'!$B$8:$O$501,4,0)</f>
        <v>سعودي</v>
      </c>
      <c r="E137" s="9" t="str">
        <f>VLOOKUP(B137,'[2]المقيمين النشطين'!$B$2:$Q$980,15,0)</f>
        <v>مؤسسة عبدالرحمن سلطان عبدالرحمن الرزيحي للتجارة</v>
      </c>
      <c r="F137" s="9" t="str">
        <f>VLOOKUP(B137,'[1]اسماء الموظفين'!$B$8:$O$501,11,0)</f>
        <v>الشفا</v>
      </c>
      <c r="G137" s="11">
        <f>VLOOKUP(B137,'[3]رواتب الموظفين 2022'!$B$9:$J$1019,9,0)</f>
        <v>4000</v>
      </c>
      <c r="H137" s="11">
        <f>VLOOKUP(B137,'[3]رواتب الموظفين 2022'!$B$9:$E$438,4,0)*12.25%</f>
        <v>490</v>
      </c>
      <c r="I137" s="11"/>
      <c r="J137" s="11">
        <f>220/12</f>
        <v>18.333333333333332</v>
      </c>
      <c r="K137" s="11">
        <f t="shared" ref="K137:K186" si="47">G137/30*21/12</f>
        <v>233.33333333333334</v>
      </c>
      <c r="L137" s="11">
        <f t="shared" ref="L137:L186" si="48">G137/2/12</f>
        <v>166.66666666666666</v>
      </c>
      <c r="M137" s="11">
        <v>0</v>
      </c>
      <c r="N137" s="8">
        <v>0</v>
      </c>
      <c r="O137" s="10">
        <v>0</v>
      </c>
      <c r="P137" s="10">
        <v>0</v>
      </c>
      <c r="Q137" s="10">
        <v>0</v>
      </c>
      <c r="R137" s="10">
        <v>1150</v>
      </c>
      <c r="S137" s="10">
        <f t="shared" si="44"/>
        <v>6058.333333333333</v>
      </c>
      <c r="T137" s="10">
        <f t="shared" si="45"/>
        <v>72700</v>
      </c>
    </row>
    <row r="138" spans="1:20" s="8" customFormat="1" ht="20.100000000000001" customHeight="1" x14ac:dyDescent="0.2">
      <c r="A138" s="9">
        <f t="shared" si="46"/>
        <v>135</v>
      </c>
      <c r="B138" s="9">
        <v>1164</v>
      </c>
      <c r="C138" s="9" t="str">
        <f>VLOOKUP(B138,'[1]اسماء الموظفين'!$B$8:$O$501,2,0)</f>
        <v>جيهان عبد ماطر المطيري</v>
      </c>
      <c r="D138" s="9" t="str">
        <f>VLOOKUP(B138,'[1]اسماء الموظفين'!$B$8:$O$501,4,0)</f>
        <v>سعودي</v>
      </c>
      <c r="E138" s="9" t="str">
        <f>VLOOKUP(B138,'[2]المقيمين النشطين'!$B$2:$Q$980,15,0)</f>
        <v>مؤسسة عبدالرحمن سلطان عبدالرحمن الرزيحي للتجارة</v>
      </c>
      <c r="F138" s="9" t="str">
        <f>VLOOKUP(B138,'[1]اسماء الموظفين'!$B$8:$O$501,11,0)</f>
        <v>لبن</v>
      </c>
      <c r="G138" s="11">
        <f>VLOOKUP(B138,'[3]رواتب الموظفين 2022'!$B$9:$J$1019,9,0)</f>
        <v>4000</v>
      </c>
      <c r="H138" s="11">
        <f>VLOOKUP(B138,'[3]رواتب الموظفين 2022'!$B$9:$E$438,4,0)*12.25%</f>
        <v>490</v>
      </c>
      <c r="I138" s="11"/>
      <c r="J138" s="11">
        <f>964/12</f>
        <v>80.333333333333329</v>
      </c>
      <c r="K138" s="11">
        <f t="shared" si="47"/>
        <v>233.33333333333334</v>
      </c>
      <c r="L138" s="11">
        <f t="shared" si="48"/>
        <v>166.66666666666666</v>
      </c>
      <c r="M138" s="11">
        <v>0</v>
      </c>
      <c r="N138" s="8">
        <v>0</v>
      </c>
      <c r="O138" s="10">
        <v>0</v>
      </c>
      <c r="P138" s="10">
        <v>0</v>
      </c>
      <c r="Q138" s="10">
        <v>0</v>
      </c>
      <c r="R138" s="10">
        <v>1150</v>
      </c>
      <c r="S138" s="10">
        <f t="shared" si="44"/>
        <v>6120.333333333333</v>
      </c>
      <c r="T138" s="10">
        <f t="shared" si="45"/>
        <v>73444</v>
      </c>
    </row>
    <row r="139" spans="1:20" s="8" customFormat="1" ht="20.100000000000001" customHeight="1" x14ac:dyDescent="0.2">
      <c r="A139" s="9">
        <f t="shared" si="46"/>
        <v>136</v>
      </c>
      <c r="B139" s="9">
        <v>1165</v>
      </c>
      <c r="C139" s="9" t="str">
        <f>VLOOKUP(B139,'[1]اسماء الموظفين'!$B$8:$O$501,2,0)</f>
        <v>رفاه ماطر علي اليامي</v>
      </c>
      <c r="D139" s="9" t="str">
        <f>VLOOKUP(B139,'[1]اسماء الموظفين'!$B$8:$O$501,4,0)</f>
        <v>سعودي</v>
      </c>
      <c r="E139" s="9" t="str">
        <f>VLOOKUP(B139,'[2]المقيمين النشطين'!$B$2:$Q$980,15,0)</f>
        <v>شركة ريال البركة للتجارة</v>
      </c>
      <c r="F139" s="9" t="str">
        <f>VLOOKUP(B139,'[1]اسماء الموظفين'!$B$8:$O$501,11,0)</f>
        <v>الدائري الغربي</v>
      </c>
      <c r="G139" s="11">
        <f>VLOOKUP(B139,'[3]رواتب الموظفين 2022'!$B$9:$J$1019,9,0)</f>
        <v>4000</v>
      </c>
      <c r="H139" s="11">
        <f>VLOOKUP(B139,'[3]رواتب الموظفين 2022'!$B$9:$E$438,4,0)*12.25%</f>
        <v>490</v>
      </c>
      <c r="I139" s="11"/>
      <c r="J139" s="11">
        <f>964/12</f>
        <v>80.333333333333329</v>
      </c>
      <c r="K139" s="11">
        <f t="shared" si="47"/>
        <v>233.33333333333334</v>
      </c>
      <c r="L139" s="11">
        <f t="shared" si="48"/>
        <v>166.66666666666666</v>
      </c>
      <c r="M139" s="11">
        <v>0</v>
      </c>
      <c r="N139" s="8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f t="shared" si="44"/>
        <v>4970.333333333333</v>
      </c>
      <c r="T139" s="10">
        <f t="shared" si="45"/>
        <v>59644</v>
      </c>
    </row>
    <row r="140" spans="1:20" s="8" customFormat="1" ht="20.100000000000001" customHeight="1" x14ac:dyDescent="0.2">
      <c r="A140" s="9">
        <f t="shared" si="46"/>
        <v>137</v>
      </c>
      <c r="B140" s="9">
        <v>1166</v>
      </c>
      <c r="C140" s="9" t="str">
        <f>VLOOKUP(B140,'[1]اسماء الموظفين'!$B$8:$O$501,2,0)</f>
        <v>مرسلين مد شفيق الإسلام</v>
      </c>
      <c r="D140" s="9" t="str">
        <f>VLOOKUP(B140,'[1]اسماء الموظفين'!$B$8:$O$501,4,0)</f>
        <v>بنجلاديش</v>
      </c>
      <c r="E140" s="9" t="str">
        <f>VLOOKUP(B140,'[2]المقيمين النشطين'!$B$2:$Q$980,15,0)</f>
        <v>شركة ريال البركة للتجارة</v>
      </c>
      <c r="F140" s="9" t="str">
        <f>VLOOKUP(B140,'[1]اسماء الموظفين'!$B$8:$O$501,11,0)</f>
        <v>النسيم</v>
      </c>
      <c r="G140" s="11">
        <f>VLOOKUP(B140,'[3]رواتب الموظفين 2022'!$B$9:$J$1019,9,0)</f>
        <v>1600</v>
      </c>
      <c r="H140" s="11">
        <f>VLOOKUP(B140,'[3]رواتب الموظفين 2022'!$B$9:$E$438,4,0)*2%</f>
        <v>32</v>
      </c>
      <c r="I140" s="11"/>
      <c r="J140" s="11">
        <f t="shared" ref="J140:J145" si="49">1251.55/12</f>
        <v>104.29583333333333</v>
      </c>
      <c r="K140" s="11">
        <f t="shared" si="47"/>
        <v>93.333333333333329</v>
      </c>
      <c r="L140" s="11">
        <f t="shared" si="48"/>
        <v>66.666666666666671</v>
      </c>
      <c r="M140" s="11">
        <f>1800/24</f>
        <v>75</v>
      </c>
      <c r="N140" s="8">
        <f t="shared" ref="N140:N145" si="50">2000/12</f>
        <v>166.66666666666666</v>
      </c>
      <c r="O140" s="10">
        <f t="shared" ref="O140:O145" si="51">650/12</f>
        <v>54.166666666666664</v>
      </c>
      <c r="P140" s="10">
        <f t="shared" ref="P140:P145" si="52">9700/12</f>
        <v>808.33333333333337</v>
      </c>
      <c r="Q140" s="10">
        <f>VLOOKUP(B140,[4]بيان!$B$6:$G$112,4,0)</f>
        <v>183.33333333333334</v>
      </c>
      <c r="R140" s="10">
        <f>$K$329</f>
        <v>739.31702574525752</v>
      </c>
      <c r="S140" s="10">
        <f t="shared" si="44"/>
        <v>3923.1128590785911</v>
      </c>
      <c r="T140" s="10">
        <f t="shared" si="45"/>
        <v>47077.35430894309</v>
      </c>
    </row>
    <row r="141" spans="1:20" s="8" customFormat="1" ht="20.100000000000001" customHeight="1" x14ac:dyDescent="0.2">
      <c r="A141" s="9">
        <f t="shared" si="46"/>
        <v>138</v>
      </c>
      <c r="B141" s="9">
        <v>1167</v>
      </c>
      <c r="C141" s="9" t="str">
        <f>VLOOKUP(B141,'[1]اسماء الموظفين'!$B$8:$O$501,2,0)</f>
        <v>حمزه قايد غالب المليكي</v>
      </c>
      <c r="D141" s="9" t="str">
        <f>VLOOKUP(B141,'[1]اسماء الموظفين'!$B$8:$O$501,4,0)</f>
        <v>اليمن</v>
      </c>
      <c r="E141" s="9" t="str">
        <f>VLOOKUP(B141,'[2]المقيمين النشطين'!$B$2:$Q$980,15,0)</f>
        <v>مؤسسة عبدالرحمن سلطان عبدالرحمن الرزيحي للتجارة</v>
      </c>
      <c r="F141" s="9" t="str">
        <f>VLOOKUP(B141,'[1]اسماء الموظفين'!$B$8:$O$501,11,0)</f>
        <v>لبن</v>
      </c>
      <c r="G141" s="11">
        <f>VLOOKUP(B141,'[3]رواتب الموظفين 2022'!$B$9:$J$1019,9,0)</f>
        <v>2000</v>
      </c>
      <c r="H141" s="11">
        <f>VLOOKUP(B141,'[3]رواتب الموظفين 2022'!$B$9:$E$438,4,0)*2%</f>
        <v>40</v>
      </c>
      <c r="I141" s="11"/>
      <c r="J141" s="11">
        <f t="shared" si="49"/>
        <v>104.29583333333333</v>
      </c>
      <c r="K141" s="11">
        <f t="shared" si="47"/>
        <v>116.66666666666667</v>
      </c>
      <c r="L141" s="11">
        <f t="shared" si="48"/>
        <v>83.333333333333329</v>
      </c>
      <c r="M141" s="11">
        <f>1500/24</f>
        <v>62.5</v>
      </c>
      <c r="N141" s="8">
        <f t="shared" si="50"/>
        <v>166.66666666666666</v>
      </c>
      <c r="O141" s="10">
        <f t="shared" si="51"/>
        <v>54.166666666666664</v>
      </c>
      <c r="P141" s="10">
        <f t="shared" si="52"/>
        <v>808.33333333333337</v>
      </c>
      <c r="Q141" s="10">
        <f>VLOOKUP(B141,[4]بيان!$B$6:$G$112,4,0)</f>
        <v>220.23809523809521</v>
      </c>
      <c r="R141" s="10">
        <f>J$334</f>
        <v>581.33333333333337</v>
      </c>
      <c r="S141" s="10">
        <f t="shared" si="44"/>
        <v>4237.5339285714281</v>
      </c>
      <c r="T141" s="10">
        <f t="shared" si="45"/>
        <v>50850.407142857133</v>
      </c>
    </row>
    <row r="142" spans="1:20" s="8" customFormat="1" ht="20.100000000000001" customHeight="1" x14ac:dyDescent="0.2">
      <c r="A142" s="9">
        <f t="shared" si="46"/>
        <v>139</v>
      </c>
      <c r="B142" s="9">
        <v>1168</v>
      </c>
      <c r="C142" s="9" t="str">
        <f>VLOOKUP(B142,'[1]اسماء الموظفين'!$B$8:$O$501,2,0)</f>
        <v>ليون مياه</v>
      </c>
      <c r="D142" s="9" t="str">
        <f>VLOOKUP(B142,'[1]اسماء الموظفين'!$B$8:$O$501,4,0)</f>
        <v>بنجلاديش</v>
      </c>
      <c r="E142" s="9" t="str">
        <f>VLOOKUP(B142,'[2]المقيمين النشطين'!$B$2:$Q$980,15,0)</f>
        <v>مؤسسة سلطان عبدالرحمن صالح الرزيحي للتجارة</v>
      </c>
      <c r="F142" s="9" t="str">
        <f>VLOOKUP(B142,'[1]اسماء الموظفين'!$B$8:$O$501,11,0)</f>
        <v>هاينس</v>
      </c>
      <c r="G142" s="11">
        <f>VLOOKUP(B142,'[3]رواتب الموظفين 2022'!$B$9:$J$1019,9,0)</f>
        <v>1600</v>
      </c>
      <c r="H142" s="11">
        <f>VLOOKUP(B142,'[3]رواتب الموظفين 2022'!$B$9:$E$438,4,0)*2%</f>
        <v>24</v>
      </c>
      <c r="I142" s="11">
        <f>382.33/12</f>
        <v>31.860833333333332</v>
      </c>
      <c r="J142" s="11">
        <f t="shared" si="49"/>
        <v>104.29583333333333</v>
      </c>
      <c r="K142" s="11">
        <f t="shared" si="47"/>
        <v>93.333333333333329</v>
      </c>
      <c r="L142" s="11">
        <f t="shared" si="48"/>
        <v>66.666666666666671</v>
      </c>
      <c r="M142" s="11">
        <f>1800/24</f>
        <v>75</v>
      </c>
      <c r="N142" s="8">
        <f t="shared" si="50"/>
        <v>166.66666666666666</v>
      </c>
      <c r="O142" s="10">
        <f t="shared" si="51"/>
        <v>54.166666666666664</v>
      </c>
      <c r="P142" s="10">
        <f t="shared" si="52"/>
        <v>808.33333333333337</v>
      </c>
      <c r="Q142" s="10">
        <f>VLOOKUP(B142,[4]بيان!$B$6:$G$112,4,0)</f>
        <v>92.594444444444449</v>
      </c>
      <c r="R142" s="10">
        <f>$K$329</f>
        <v>739.31702574525752</v>
      </c>
      <c r="S142" s="10">
        <f t="shared" si="44"/>
        <v>3856.2348035230352</v>
      </c>
      <c r="T142" s="10">
        <f t="shared" si="45"/>
        <v>46274.817642276423</v>
      </c>
    </row>
    <row r="143" spans="1:20" s="8" customFormat="1" ht="20.100000000000001" customHeight="1" x14ac:dyDescent="0.2">
      <c r="A143" s="9">
        <f t="shared" si="46"/>
        <v>140</v>
      </c>
      <c r="B143" s="9">
        <v>1169</v>
      </c>
      <c r="C143" s="9" t="str">
        <f>VLOOKUP(B143,'[1]اسماء الموظفين'!$B$8:$O$501,2,0)</f>
        <v>مد راسل</v>
      </c>
      <c r="D143" s="9" t="str">
        <f>VLOOKUP(B143,'[1]اسماء الموظفين'!$B$8:$O$501,4,0)</f>
        <v>بنجلاديش</v>
      </c>
      <c r="E143" s="9" t="str">
        <f>VLOOKUP(B143,'[2]المقيمين النشطين'!$B$2:$Q$980,15,0)</f>
        <v>مؤسسة سلطان عبدالرحمن صالح الرزيحي للتجارة</v>
      </c>
      <c r="F143" s="9" t="str">
        <f>VLOOKUP(B143,'[1]اسماء الموظفين'!$B$8:$O$501,11,0)</f>
        <v>هاينس</v>
      </c>
      <c r="G143" s="11">
        <f>VLOOKUP(B143,'[3]رواتب الموظفين 2022'!$B$9:$J$1019,9,0)</f>
        <v>1600</v>
      </c>
      <c r="H143" s="11">
        <f>VLOOKUP(B143,'[3]رواتب الموظفين 2022'!$B$9:$E$438,4,0)*2%</f>
        <v>24</v>
      </c>
      <c r="I143" s="11">
        <f>380.27/12</f>
        <v>31.689166666666665</v>
      </c>
      <c r="J143" s="11">
        <f t="shared" si="49"/>
        <v>104.29583333333333</v>
      </c>
      <c r="K143" s="11">
        <f t="shared" si="47"/>
        <v>93.333333333333329</v>
      </c>
      <c r="L143" s="11">
        <f t="shared" si="48"/>
        <v>66.666666666666671</v>
      </c>
      <c r="M143" s="11">
        <f>1800/24</f>
        <v>75</v>
      </c>
      <c r="N143" s="8">
        <f t="shared" si="50"/>
        <v>166.66666666666666</v>
      </c>
      <c r="O143" s="10">
        <f t="shared" si="51"/>
        <v>54.166666666666664</v>
      </c>
      <c r="P143" s="10">
        <f t="shared" si="52"/>
        <v>808.33333333333337</v>
      </c>
      <c r="Q143" s="10">
        <f>VLOOKUP(B143,[4]بيان!$B$6:$G$112,4,0)</f>
        <v>92.594444444444449</v>
      </c>
      <c r="R143" s="10">
        <f>$K$329</f>
        <v>739.31702574525752</v>
      </c>
      <c r="S143" s="10">
        <f t="shared" si="44"/>
        <v>3856.0631368563686</v>
      </c>
      <c r="T143" s="10">
        <f t="shared" si="45"/>
        <v>46272.757642276425</v>
      </c>
    </row>
    <row r="144" spans="1:20" s="8" customFormat="1" ht="20.100000000000001" customHeight="1" x14ac:dyDescent="0.2">
      <c r="A144" s="9">
        <f t="shared" si="46"/>
        <v>141</v>
      </c>
      <c r="B144" s="9">
        <v>1170</v>
      </c>
      <c r="C144" s="9" t="str">
        <f>VLOOKUP(B144,'[1]اسماء الموظفين'!$B$8:$O$501,2,0)</f>
        <v>ياسين عرفات</v>
      </c>
      <c r="D144" s="9" t="str">
        <f>VLOOKUP(B144,'[1]اسماء الموظفين'!$B$8:$O$501,4,0)</f>
        <v>بنجلاديش</v>
      </c>
      <c r="E144" s="9" t="str">
        <f>VLOOKUP(B144,'[2]المقيمين النشطين'!$B$2:$Q$980,15,0)</f>
        <v>مؤسسة سلطان عبدالرحمن صالح الرزيحي للتجارة</v>
      </c>
      <c r="F144" s="9" t="str">
        <f>VLOOKUP(B144,'[1]اسماء الموظفين'!$B$8:$O$501,11,0)</f>
        <v>هاينس</v>
      </c>
      <c r="G144" s="11">
        <f>VLOOKUP(B144,'[3]رواتب الموظفين 2022'!$B$9:$J$1019,9,0)</f>
        <v>1600</v>
      </c>
      <c r="H144" s="11">
        <f>VLOOKUP(B144,'[3]رواتب الموظفين 2022'!$B$9:$E$438,4,0)*2%</f>
        <v>24</v>
      </c>
      <c r="I144" s="11">
        <f>382.33/12</f>
        <v>31.860833333333332</v>
      </c>
      <c r="J144" s="11">
        <f t="shared" si="49"/>
        <v>104.29583333333333</v>
      </c>
      <c r="K144" s="11">
        <f t="shared" si="47"/>
        <v>93.333333333333329</v>
      </c>
      <c r="L144" s="11">
        <f t="shared" si="48"/>
        <v>66.666666666666671</v>
      </c>
      <c r="M144" s="11">
        <f>1800/24</f>
        <v>75</v>
      </c>
      <c r="N144" s="8">
        <f t="shared" si="50"/>
        <v>166.66666666666666</v>
      </c>
      <c r="O144" s="10">
        <f t="shared" si="51"/>
        <v>54.166666666666664</v>
      </c>
      <c r="P144" s="10">
        <f t="shared" si="52"/>
        <v>808.33333333333337</v>
      </c>
      <c r="Q144" s="10">
        <f>VLOOKUP(B144,[4]بيان!$B$6:$G$112,4,0)</f>
        <v>92.594444444444449</v>
      </c>
      <c r="R144" s="10">
        <f>$K$329</f>
        <v>739.31702574525752</v>
      </c>
      <c r="S144" s="10">
        <f t="shared" si="44"/>
        <v>3856.2348035230352</v>
      </c>
      <c r="T144" s="10">
        <f t="shared" si="45"/>
        <v>46274.817642276423</v>
      </c>
    </row>
    <row r="145" spans="1:20" s="8" customFormat="1" ht="20.100000000000001" customHeight="1" x14ac:dyDescent="0.2">
      <c r="A145" s="9">
        <f t="shared" si="46"/>
        <v>142</v>
      </c>
      <c r="B145" s="9">
        <v>1171</v>
      </c>
      <c r="C145" s="9" t="str">
        <f>VLOOKUP(B145,'[1]اسماء الموظفين'!$B$8:$O$501,2,0)</f>
        <v>صفايات حسين</v>
      </c>
      <c r="D145" s="9" t="str">
        <f>VLOOKUP(B145,'[1]اسماء الموظفين'!$B$8:$O$501,4,0)</f>
        <v>بنجلاديش</v>
      </c>
      <c r="E145" s="9" t="str">
        <f>VLOOKUP(B145,'[2]المقيمين النشطين'!$B$2:$Q$980,15,0)</f>
        <v>مؤسسة سلطان عبدالرحمن صالح الرزيحي للتجارة</v>
      </c>
      <c r="F145" s="9" t="str">
        <f>VLOOKUP(B145,'[1]اسماء الموظفين'!$B$8:$O$501,11,0)</f>
        <v>هاينس</v>
      </c>
      <c r="G145" s="11">
        <f>VLOOKUP(B145,'[3]رواتب الموظفين 2022'!$B$9:$J$1019,9,0)</f>
        <v>1600</v>
      </c>
      <c r="H145" s="11">
        <f>VLOOKUP(B145,'[3]رواتب الموظفين 2022'!$B$9:$E$438,4,0)*2%</f>
        <v>24</v>
      </c>
      <c r="I145" s="11">
        <f>380.27/12</f>
        <v>31.689166666666665</v>
      </c>
      <c r="J145" s="11">
        <f t="shared" si="49"/>
        <v>104.29583333333333</v>
      </c>
      <c r="K145" s="11">
        <f t="shared" si="47"/>
        <v>93.333333333333329</v>
      </c>
      <c r="L145" s="11">
        <f t="shared" si="48"/>
        <v>66.666666666666671</v>
      </c>
      <c r="M145" s="11">
        <f>1800/24</f>
        <v>75</v>
      </c>
      <c r="N145" s="8">
        <f t="shared" si="50"/>
        <v>166.66666666666666</v>
      </c>
      <c r="O145" s="10">
        <f t="shared" si="51"/>
        <v>54.166666666666664</v>
      </c>
      <c r="P145" s="10">
        <f t="shared" si="52"/>
        <v>808.33333333333337</v>
      </c>
      <c r="Q145" s="10">
        <f>VLOOKUP(B145,[4]بيان!$B$6:$G$112,4,0)</f>
        <v>92.594444444444449</v>
      </c>
      <c r="R145" s="10">
        <f>$K$329</f>
        <v>739.31702574525752</v>
      </c>
      <c r="S145" s="10">
        <f t="shared" si="44"/>
        <v>3856.0631368563686</v>
      </c>
      <c r="T145" s="10">
        <f t="shared" si="45"/>
        <v>46272.757642276425</v>
      </c>
    </row>
    <row r="146" spans="1:20" s="8" customFormat="1" ht="20.100000000000001" customHeight="1" x14ac:dyDescent="0.2">
      <c r="A146" s="9">
        <f t="shared" si="46"/>
        <v>143</v>
      </c>
      <c r="B146" s="9">
        <v>1172</v>
      </c>
      <c r="C146" s="9" t="str">
        <f>VLOOKUP(B146,'[1]اسماء الموظفين'!$B$8:$O$501,2,0)</f>
        <v>نجود محمد جبران سفياني</v>
      </c>
      <c r="D146" s="9" t="str">
        <f>VLOOKUP(B146,'[1]اسماء الموظفين'!$B$8:$O$501,4,0)</f>
        <v>سعودي</v>
      </c>
      <c r="E146" s="9" t="str">
        <f>VLOOKUP(B146,'[2]المقيمين النشطين'!$B$2:$Q$980,15,0)</f>
        <v>شركة ريال البركة للتجارة</v>
      </c>
      <c r="F146" s="9" t="str">
        <f>VLOOKUP(B146,'[1]اسماء الموظفين'!$B$8:$O$501,11,0)</f>
        <v>الدائري الغربي</v>
      </c>
      <c r="G146" s="11">
        <f>VLOOKUP(B146,'[3]رواتب الموظفين 2022'!$B$9:$J$1019,9,0)</f>
        <v>4000</v>
      </c>
      <c r="H146" s="11">
        <f>VLOOKUP(B146,'[3]رواتب الموظفين 2022'!$B$9:$E$438,4,0)*12.25%</f>
        <v>490</v>
      </c>
      <c r="I146" s="11"/>
      <c r="J146" s="11">
        <f>964/12</f>
        <v>80.333333333333329</v>
      </c>
      <c r="K146" s="11">
        <f t="shared" si="47"/>
        <v>233.33333333333334</v>
      </c>
      <c r="L146" s="11">
        <f t="shared" si="48"/>
        <v>166.66666666666666</v>
      </c>
      <c r="M146" s="11">
        <v>0</v>
      </c>
      <c r="N146" s="8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f t="shared" si="44"/>
        <v>4970.333333333333</v>
      </c>
      <c r="T146" s="10">
        <f t="shared" si="45"/>
        <v>59644</v>
      </c>
    </row>
    <row r="147" spans="1:20" s="8" customFormat="1" ht="20.100000000000001" customHeight="1" x14ac:dyDescent="0.2">
      <c r="A147" s="9">
        <f t="shared" si="46"/>
        <v>144</v>
      </c>
      <c r="B147" s="9">
        <v>1173</v>
      </c>
      <c r="C147" s="9" t="str">
        <f>VLOOKUP(B147,'[1]اسماء الموظفين'!$B$8:$O$501,2,0)</f>
        <v>اسامه عبدالقوي محسن احمد القاضي</v>
      </c>
      <c r="D147" s="9" t="str">
        <f>VLOOKUP(B147,'[1]اسماء الموظفين'!$B$8:$O$501,4,0)</f>
        <v>اليمن</v>
      </c>
      <c r="E147" s="9" t="str">
        <f>VLOOKUP(B147,'[2]المقيمين النشطين'!$B$2:$Q$980,15,0)</f>
        <v>مؤسسة سلطان عبدالرحمن صالح الرزيحي للتجارة</v>
      </c>
      <c r="F147" s="9" t="str">
        <f>VLOOKUP(B147,'[1]اسماء الموظفين'!$B$8:$O$501,11,0)</f>
        <v>مستودع جملة سلطان</v>
      </c>
      <c r="G147" s="11">
        <f>VLOOKUP(B147,'[3]رواتب الموظفين 2022'!$B$9:$J$1019,9,0)</f>
        <v>2200</v>
      </c>
      <c r="H147" s="11">
        <f>VLOOKUP(B147,'[3]رواتب الموظفين 2022'!$B$9:$E$438,4,0)*2%</f>
        <v>40</v>
      </c>
      <c r="I147" s="11">
        <f>384.43/12</f>
        <v>32.035833333333336</v>
      </c>
      <c r="J147" s="11">
        <v>0</v>
      </c>
      <c r="K147" s="11">
        <f t="shared" si="47"/>
        <v>128.33333333333334</v>
      </c>
      <c r="L147" s="11">
        <f t="shared" si="48"/>
        <v>91.666666666666671</v>
      </c>
      <c r="M147" s="11">
        <f>1500/24</f>
        <v>62.5</v>
      </c>
      <c r="N147" s="8">
        <f>2000/12</f>
        <v>166.66666666666666</v>
      </c>
      <c r="O147" s="10">
        <f>650/12</f>
        <v>54.166666666666664</v>
      </c>
      <c r="P147" s="10">
        <f>9700/12</f>
        <v>808.33333333333337</v>
      </c>
      <c r="Q147" s="10">
        <f>VLOOKUP(B147,[4]بيان!$B$6:$G$112,4,0)</f>
        <v>96.491228070175438</v>
      </c>
      <c r="R147" s="10">
        <f t="shared" ref="R147:R158" si="53">$K$329</f>
        <v>739.31702574525752</v>
      </c>
      <c r="S147" s="10">
        <f t="shared" si="44"/>
        <v>4419.5107538154334</v>
      </c>
      <c r="T147" s="10">
        <f t="shared" si="45"/>
        <v>53034.129045785201</v>
      </c>
    </row>
    <row r="148" spans="1:20" s="8" customFormat="1" ht="20.100000000000001" customHeight="1" x14ac:dyDescent="0.2">
      <c r="A148" s="9">
        <f t="shared" si="46"/>
        <v>145</v>
      </c>
      <c r="B148" s="9">
        <v>1176</v>
      </c>
      <c r="C148" s="9" t="str">
        <f>VLOOKUP(B148,'[1]اسماء الموظفين'!$B$8:$O$501,2,0)</f>
        <v>سويل كمال أوسين</v>
      </c>
      <c r="D148" s="9" t="str">
        <f>VLOOKUP(B148,'[1]اسماء الموظفين'!$B$8:$O$501,4,0)</f>
        <v>بنجلاديش</v>
      </c>
      <c r="E148" s="9" t="str">
        <f>VLOOKUP(B148,'[2]المقيمين النشطين'!$B$2:$Q$980,15,0)</f>
        <v>شركة ريال البركة للتجارة</v>
      </c>
      <c r="F148" s="9" t="str">
        <f>VLOOKUP(B148,'[1]اسماء الموظفين'!$B$8:$O$501,11,0)</f>
        <v>العنود</v>
      </c>
      <c r="G148" s="11">
        <f>VLOOKUP(B148,'[3]رواتب الموظفين 2022'!$B$9:$J$1019,9,0)</f>
        <v>1600</v>
      </c>
      <c r="H148" s="11">
        <f>VLOOKUP(B148,'[3]رواتب الموظفين 2022'!$B$9:$E$438,4,0)*2%</f>
        <v>24</v>
      </c>
      <c r="I148" s="11"/>
      <c r="J148" s="11">
        <v>0</v>
      </c>
      <c r="K148" s="11">
        <f t="shared" si="47"/>
        <v>93.333333333333329</v>
      </c>
      <c r="L148" s="11">
        <f t="shared" si="48"/>
        <v>66.666666666666671</v>
      </c>
      <c r="M148" s="11">
        <f>1800/24</f>
        <v>75</v>
      </c>
      <c r="N148" s="8">
        <f>2000/12</f>
        <v>166.66666666666666</v>
      </c>
      <c r="O148" s="10">
        <f>650/12</f>
        <v>54.166666666666664</v>
      </c>
      <c r="P148" s="10">
        <f>9700/12</f>
        <v>808.33333333333337</v>
      </c>
      <c r="Q148" s="10">
        <f>VLOOKUP(B148,[4]بيان!$B$6:$G$112,4,0)</f>
        <v>325</v>
      </c>
      <c r="R148" s="10">
        <f t="shared" si="53"/>
        <v>739.31702574525752</v>
      </c>
      <c r="S148" s="10">
        <f t="shared" si="44"/>
        <v>3952.4836924119245</v>
      </c>
      <c r="T148" s="10">
        <f t="shared" si="45"/>
        <v>47429.804308943094</v>
      </c>
    </row>
    <row r="149" spans="1:20" s="8" customFormat="1" ht="20.100000000000001" customHeight="1" x14ac:dyDescent="0.2">
      <c r="A149" s="9">
        <f t="shared" si="46"/>
        <v>146</v>
      </c>
      <c r="B149" s="9">
        <v>1177</v>
      </c>
      <c r="C149" s="9" t="str">
        <f>VLOOKUP(B149,'[1]اسماء الموظفين'!$B$8:$O$501,2,0)</f>
        <v>محفوظ ال رحمان</v>
      </c>
      <c r="D149" s="9" t="str">
        <f>VLOOKUP(B149,'[1]اسماء الموظفين'!$B$8:$O$501,4,0)</f>
        <v>بنجلاديش</v>
      </c>
      <c r="E149" s="9" t="str">
        <f>VLOOKUP(B149,'[2]المقيمين النشطين'!$B$2:$Q$980,15,0)</f>
        <v>مؤسسة سلطان عبدالرحمن صالح الرزيحي للتجارة</v>
      </c>
      <c r="F149" s="9" t="str">
        <f>VLOOKUP(B149,'[1]اسماء الموظفين'!$B$8:$O$501,11,0)</f>
        <v>هاينس</v>
      </c>
      <c r="G149" s="11">
        <f>VLOOKUP(B149,'[3]رواتب الموظفين 2022'!$B$9:$J$1019,9,0)</f>
        <v>1600</v>
      </c>
      <c r="H149" s="11">
        <f>VLOOKUP(B149,'[3]رواتب الموظفين 2022'!$B$9:$E$438,4,0)*2%</f>
        <v>24</v>
      </c>
      <c r="I149" s="11">
        <v>0</v>
      </c>
      <c r="J149" s="11">
        <f>1251.55/12</f>
        <v>104.29583333333333</v>
      </c>
      <c r="K149" s="11">
        <f t="shared" si="47"/>
        <v>93.333333333333329</v>
      </c>
      <c r="L149" s="11">
        <f t="shared" si="48"/>
        <v>66.666666666666671</v>
      </c>
      <c r="M149" s="11">
        <f>1800/24</f>
        <v>75</v>
      </c>
      <c r="N149" s="8">
        <v>0</v>
      </c>
      <c r="O149" s="10">
        <v>0</v>
      </c>
      <c r="P149" s="10">
        <f>9700/12</f>
        <v>808.33333333333337</v>
      </c>
      <c r="Q149" s="10">
        <f>VLOOKUP(B149,[4]بيان!$B$6:$G$112,4,0)</f>
        <v>92.594444444444449</v>
      </c>
      <c r="R149" s="10">
        <f t="shared" si="53"/>
        <v>739.31702574525752</v>
      </c>
      <c r="S149" s="10">
        <f t="shared" si="44"/>
        <v>3603.5406368563686</v>
      </c>
      <c r="T149" s="10">
        <f t="shared" si="45"/>
        <v>43242.487642276421</v>
      </c>
    </row>
    <row r="150" spans="1:20" s="8" customFormat="1" ht="20.100000000000001" customHeight="1" x14ac:dyDescent="0.2">
      <c r="A150" s="9">
        <f t="shared" si="46"/>
        <v>147</v>
      </c>
      <c r="B150" s="9">
        <v>1178</v>
      </c>
      <c r="C150" s="9" t="str">
        <f>VLOOKUP(B150,'[1]اسماء الموظفين'!$B$8:$O$501,2,0)</f>
        <v>محمد حمود محمد علي الراعي</v>
      </c>
      <c r="D150" s="9" t="str">
        <f>VLOOKUP(B150,'[1]اسماء الموظفين'!$B$8:$O$501,4,0)</f>
        <v>اليمن</v>
      </c>
      <c r="E150" s="9" t="str">
        <f>VLOOKUP(B150,'[2]المقيمين النشطين'!$B$2:$Q$980,15,0)</f>
        <v>شركة ريال البركة للتجارة</v>
      </c>
      <c r="F150" s="9" t="str">
        <f>VLOOKUP(B150,'[1]اسماء الموظفين'!$B$8:$O$501,11,0)</f>
        <v>جملة ريال البركة</v>
      </c>
      <c r="G150" s="11">
        <f>VLOOKUP(B150,'[3]رواتب الموظفين 2022'!$B$9:$J$1019,9,0)</f>
        <v>2500</v>
      </c>
      <c r="H150" s="11">
        <f>VLOOKUP(B150,'[3]رواتب الموظفين 2022'!$B$9:$E$438,4,0)*2%</f>
        <v>40</v>
      </c>
      <c r="I150" s="11"/>
      <c r="J150" s="11">
        <v>0</v>
      </c>
      <c r="K150" s="11">
        <f t="shared" si="47"/>
        <v>145.83333333333334</v>
      </c>
      <c r="L150" s="11">
        <f t="shared" si="48"/>
        <v>104.16666666666667</v>
      </c>
      <c r="M150" s="11">
        <f>1500/24</f>
        <v>62.5</v>
      </c>
      <c r="N150" s="8">
        <f>2000/12</f>
        <v>166.66666666666666</v>
      </c>
      <c r="O150" s="10">
        <f>650/12</f>
        <v>54.166666666666664</v>
      </c>
      <c r="P150" s="10">
        <f>9700/12</f>
        <v>808.33333333333337</v>
      </c>
      <c r="Q150" s="10">
        <f>VLOOKUP(B150,[4]بيان!$B$6:$G$112,4,0)</f>
        <v>183.33333333333334</v>
      </c>
      <c r="R150" s="10">
        <f t="shared" si="53"/>
        <v>739.31702574525752</v>
      </c>
      <c r="S150" s="10">
        <f t="shared" si="44"/>
        <v>4804.3170257452575</v>
      </c>
      <c r="T150" s="10">
        <f t="shared" si="45"/>
        <v>57651.804308943087</v>
      </c>
    </row>
    <row r="151" spans="1:20" s="8" customFormat="1" ht="20.100000000000001" customHeight="1" x14ac:dyDescent="0.2">
      <c r="A151" s="9">
        <f t="shared" si="46"/>
        <v>148</v>
      </c>
      <c r="B151" s="9">
        <v>1181</v>
      </c>
      <c r="C151" s="9" t="str">
        <f>VLOOKUP(B151,'[1]اسماء الموظفين'!$B$8:$O$501,2,0)</f>
        <v>أحمد سليمان محمد عبد المنعم</v>
      </c>
      <c r="D151" s="9" t="str">
        <f>VLOOKUP(B151,'[1]اسماء الموظفين'!$B$8:$O$501,4,0)</f>
        <v>مصر</v>
      </c>
      <c r="E151" s="9" t="str">
        <f>VLOOKUP(B151,'[2]المقيمين النشطين'!$B$2:$Q$980,15,0)</f>
        <v>مصنع سلطان عبدالرحمن صالح الرزيحي للمنتجات الورقية</v>
      </c>
      <c r="F151" s="9" t="str">
        <f>VLOOKUP(B151,'[1]اسماء الموظفين'!$B$8:$O$501,11,0)</f>
        <v>وكالة ممكن</v>
      </c>
      <c r="G151" s="11">
        <f>VLOOKUP(B151,'[3]رواتب الموظفين 2022'!$B$9:$J$1019,9,0)</f>
        <v>7000</v>
      </c>
      <c r="H151" s="11">
        <f>VLOOKUP(B151,'[3]رواتب الموظفين 2022'!$B$9:$E$438,4,0)*2%</f>
        <v>80</v>
      </c>
      <c r="I151" s="11"/>
      <c r="J151" s="11">
        <v>0</v>
      </c>
      <c r="K151" s="11">
        <f t="shared" si="47"/>
        <v>408.33333333333331</v>
      </c>
      <c r="L151" s="11">
        <f t="shared" si="48"/>
        <v>291.66666666666669</v>
      </c>
      <c r="M151" s="11">
        <f>1500/12</f>
        <v>125</v>
      </c>
      <c r="N151" s="8">
        <f>2000/12</f>
        <v>166.66666666666666</v>
      </c>
      <c r="O151" s="10">
        <f>650/12</f>
        <v>54.166666666666664</v>
      </c>
      <c r="P151" s="10">
        <f>100/12</f>
        <v>8.3333333333333339</v>
      </c>
      <c r="Q151" s="10">
        <f>VLOOKUP(B151,[4]بيان!$B$6:$G$112,4,0)</f>
        <v>347.29166666666669</v>
      </c>
      <c r="R151" s="10">
        <f t="shared" si="53"/>
        <v>739.31702574525752</v>
      </c>
      <c r="S151" s="10">
        <f t="shared" si="44"/>
        <v>9220.7753590785906</v>
      </c>
      <c r="T151" s="10">
        <f t="shared" si="45"/>
        <v>110649.30430894309</v>
      </c>
    </row>
    <row r="152" spans="1:20" s="8" customFormat="1" ht="20.100000000000001" customHeight="1" x14ac:dyDescent="0.2">
      <c r="A152" s="9">
        <f t="shared" si="46"/>
        <v>149</v>
      </c>
      <c r="B152" s="9">
        <v>1182</v>
      </c>
      <c r="C152" s="9" t="str">
        <f>VLOOKUP(B152,'[1]اسماء الموظفين'!$B$8:$O$501,2,0)</f>
        <v>مد زكريا مد ربي الله</v>
      </c>
      <c r="D152" s="9" t="str">
        <f>VLOOKUP(B152,'[1]اسماء الموظفين'!$B$8:$O$501,4,0)</f>
        <v>بنجلاديش</v>
      </c>
      <c r="E152" s="9" t="str">
        <f>VLOOKUP(B152,'[2]المقيمين النشطين'!$B$2:$Q$980,15,0)</f>
        <v>شركة ريال البركة للتجارة</v>
      </c>
      <c r="F152" s="9" t="str">
        <f>VLOOKUP(B152,'[1]اسماء الموظفين'!$B$8:$O$501,11,0)</f>
        <v>الدائري الغربي</v>
      </c>
      <c r="G152" s="11">
        <f>VLOOKUP(B152,'[3]رواتب الموظفين 2022'!$B$9:$J$1019,9,0)</f>
        <v>1900</v>
      </c>
      <c r="H152" s="11">
        <f>VLOOKUP(B152,'[3]رواتب الموظفين 2022'!$B$9:$E$438,4,0)*2%</f>
        <v>24</v>
      </c>
      <c r="I152" s="11">
        <v>0</v>
      </c>
      <c r="J152" s="11">
        <v>0</v>
      </c>
      <c r="K152" s="11">
        <f t="shared" si="47"/>
        <v>110.83333333333333</v>
      </c>
      <c r="L152" s="11">
        <f t="shared" si="48"/>
        <v>79.166666666666671</v>
      </c>
      <c r="M152" s="11">
        <f>1500/24</f>
        <v>62.5</v>
      </c>
      <c r="N152" s="8">
        <f>2000/12</f>
        <v>166.66666666666666</v>
      </c>
      <c r="O152" s="10">
        <f>650/12</f>
        <v>54.166666666666664</v>
      </c>
      <c r="P152" s="10">
        <f>9700/12</f>
        <v>808.33333333333337</v>
      </c>
      <c r="Q152" s="10">
        <f>VLOOKUP(B152,[4]بيان!$B$6:$G$112,4,0)</f>
        <v>183.33333333333334</v>
      </c>
      <c r="R152" s="10">
        <f t="shared" si="53"/>
        <v>739.31702574525752</v>
      </c>
      <c r="S152" s="10">
        <f t="shared" si="44"/>
        <v>4128.3170257452575</v>
      </c>
      <c r="T152" s="10">
        <f t="shared" si="45"/>
        <v>49539.804308943087</v>
      </c>
    </row>
    <row r="153" spans="1:20" s="8" customFormat="1" ht="20.100000000000001" customHeight="1" x14ac:dyDescent="0.2">
      <c r="A153" s="9">
        <f t="shared" si="46"/>
        <v>150</v>
      </c>
      <c r="B153" s="9">
        <v>1183</v>
      </c>
      <c r="C153" s="9" t="str">
        <f>VLOOKUP(B153,'[1]اسماء الموظفين'!$B$8:$O$501,2,0)</f>
        <v>زكرياء تعلي</v>
      </c>
      <c r="D153" s="9" t="str">
        <f>VLOOKUP(B153,'[1]اسماء الموظفين'!$B$8:$O$501,4,0)</f>
        <v>المغرب</v>
      </c>
      <c r="E153" s="9" t="str">
        <f>VLOOKUP(B153,'[2]المقيمين النشطين'!$B$2:$Q$980,15,0)</f>
        <v>مؤسسة سلطان عبدالرحمن صالح الرزيحي للتجارة</v>
      </c>
      <c r="F153" s="9" t="str">
        <f>VLOOKUP(B153,'[1]اسماء الموظفين'!$B$8:$O$501,11,0)</f>
        <v>هاينس</v>
      </c>
      <c r="G153" s="11">
        <f>VLOOKUP(B153,'[3]رواتب الموظفين 2022'!$B$9:$J$1019,9,0)</f>
        <v>4000</v>
      </c>
      <c r="H153" s="11">
        <f>VLOOKUP(B153,'[3]رواتب الموظفين 2022'!$B$9:$E$438,4,0)*2%</f>
        <v>80</v>
      </c>
      <c r="I153" s="11"/>
      <c r="J153" s="11">
        <f>1251.55/12</f>
        <v>104.29583333333333</v>
      </c>
      <c r="K153" s="11">
        <f t="shared" si="47"/>
        <v>233.33333333333334</v>
      </c>
      <c r="L153" s="11">
        <f t="shared" si="48"/>
        <v>166.66666666666666</v>
      </c>
      <c r="M153" s="11">
        <f>1500/24</f>
        <v>62.5</v>
      </c>
      <c r="N153" s="8">
        <f>2000/12</f>
        <v>166.66666666666666</v>
      </c>
      <c r="O153" s="10">
        <f>650/12</f>
        <v>54.166666666666664</v>
      </c>
      <c r="P153" s="10">
        <f>9700/12</f>
        <v>808.33333333333337</v>
      </c>
      <c r="Q153" s="10">
        <f>VLOOKUP(B153,[4]بيان!$B$6:$G$112,4,0)</f>
        <v>92.594444444444449</v>
      </c>
      <c r="R153" s="10">
        <f t="shared" si="53"/>
        <v>739.31702574525752</v>
      </c>
      <c r="S153" s="10">
        <f t="shared" si="44"/>
        <v>6507.873970189703</v>
      </c>
      <c r="T153" s="10">
        <f t="shared" si="45"/>
        <v>78094.487642276436</v>
      </c>
    </row>
    <row r="154" spans="1:20" s="8" customFormat="1" ht="20.100000000000001" customHeight="1" x14ac:dyDescent="0.2">
      <c r="A154" s="9">
        <f t="shared" si="46"/>
        <v>151</v>
      </c>
      <c r="B154" s="9">
        <v>1184</v>
      </c>
      <c r="C154" s="9" t="str">
        <f>VLOOKUP(B154,'[1]اسماء الموظفين'!$B$8:$O$501,2,0)</f>
        <v>يوسف ناجي حزام فازع</v>
      </c>
      <c r="D154" s="9" t="str">
        <f>VLOOKUP(B154,'[1]اسماء الموظفين'!$B$8:$O$501,4,0)</f>
        <v>اليمن</v>
      </c>
      <c r="E154" s="9" t="str">
        <f>VLOOKUP(B154,'[2]المقيمين النشطين'!$B$2:$Q$980,15,0)</f>
        <v>مصنع سلطان عبدالرحمن صالح الرزيحي للمنتجات الورقية</v>
      </c>
      <c r="F154" s="9" t="str">
        <f>VLOOKUP(B154,'[1]اسماء الموظفين'!$B$8:$O$501,11,0)</f>
        <v>وكالة ممكن</v>
      </c>
      <c r="G154" s="11">
        <f>VLOOKUP(B154,'[3]رواتب الموظفين 2022'!$B$9:$J$1019,9,0)</f>
        <v>6000</v>
      </c>
      <c r="H154" s="11">
        <f>VLOOKUP(B154,'[3]رواتب الموظفين 2022'!$B$9:$E$438,4,0)*2%</f>
        <v>80</v>
      </c>
      <c r="I154" s="11">
        <f>373.75/12</f>
        <v>31.145833333333332</v>
      </c>
      <c r="J154" s="11">
        <v>0</v>
      </c>
      <c r="K154" s="11">
        <f t="shared" si="47"/>
        <v>350</v>
      </c>
      <c r="L154" s="11">
        <f t="shared" si="48"/>
        <v>250</v>
      </c>
      <c r="M154" s="11">
        <f>1500/12</f>
        <v>125</v>
      </c>
      <c r="N154" s="8">
        <f>2000/12</f>
        <v>166.66666666666666</v>
      </c>
      <c r="O154" s="10">
        <f>650/12</f>
        <v>54.166666666666664</v>
      </c>
      <c r="P154" s="10">
        <f>100/12</f>
        <v>8.3333333333333339</v>
      </c>
      <c r="Q154" s="10">
        <f>VLOOKUP(B154,[4]بيان!$B$6:$G$112,4,0)</f>
        <v>347.29166666666669</v>
      </c>
      <c r="R154" s="10">
        <f t="shared" si="53"/>
        <v>739.31702574525752</v>
      </c>
      <c r="S154" s="10">
        <f t="shared" si="44"/>
        <v>8151.9211924119245</v>
      </c>
      <c r="T154" s="10">
        <f t="shared" si="45"/>
        <v>97823.054308943101</v>
      </c>
    </row>
    <row r="155" spans="1:20" s="8" customFormat="1" ht="20.100000000000001" customHeight="1" x14ac:dyDescent="0.2">
      <c r="A155" s="9">
        <f t="shared" si="46"/>
        <v>152</v>
      </c>
      <c r="B155" s="9">
        <v>1185</v>
      </c>
      <c r="C155" s="9" t="str">
        <f>VLOOKUP(B155,'[1]اسماء الموظفين'!$B$8:$O$501,2,0)</f>
        <v>سيف الدين مصطفي معوض محمد</v>
      </c>
      <c r="D155" s="9" t="str">
        <f>VLOOKUP(B155,'[1]اسماء الموظفين'!$B$8:$O$501,4,0)</f>
        <v>مصر</v>
      </c>
      <c r="E155" s="9" t="str">
        <f>VLOOKUP(B155,'[2]المقيمين النشطين'!$B$2:$Q$980,15,0)</f>
        <v>مصنع سلطان عبدالرحمن صالح الرزيحي للمنتجات الورقية</v>
      </c>
      <c r="F155" s="9" t="str">
        <f>VLOOKUP(B155,'[1]اسماء الموظفين'!$B$8:$O$501,11,0)</f>
        <v>وكالة ممكن</v>
      </c>
      <c r="G155" s="11">
        <f>VLOOKUP(B155,'[3]رواتب الموظفين 2022'!$B$9:$J$1019,9,0)</f>
        <v>7000</v>
      </c>
      <c r="H155" s="11">
        <f>VLOOKUP(B155,'[3]رواتب الموظفين 2022'!$B$9:$E$438,4,0)*2%</f>
        <v>80</v>
      </c>
      <c r="I155" s="11">
        <f>449.65/12</f>
        <v>37.470833333333331</v>
      </c>
      <c r="J155" s="11">
        <v>0</v>
      </c>
      <c r="K155" s="11">
        <f t="shared" si="47"/>
        <v>408.33333333333331</v>
      </c>
      <c r="L155" s="11">
        <f t="shared" si="48"/>
        <v>291.66666666666669</v>
      </c>
      <c r="M155" s="11">
        <f>1500/12</f>
        <v>125</v>
      </c>
      <c r="O155" s="10">
        <v>0</v>
      </c>
      <c r="P155" s="10">
        <v>0</v>
      </c>
      <c r="Q155" s="10">
        <f>VLOOKUP(B155,[4]بيان!$B$6:$G$112,4,0)</f>
        <v>347.29166666666669</v>
      </c>
      <c r="R155" s="10">
        <f t="shared" si="53"/>
        <v>739.31702574525752</v>
      </c>
      <c r="S155" s="10">
        <f t="shared" si="44"/>
        <v>9029.0795257452592</v>
      </c>
      <c r="T155" s="10">
        <f t="shared" si="45"/>
        <v>108348.95430894311</v>
      </c>
    </row>
    <row r="156" spans="1:20" s="8" customFormat="1" ht="20.100000000000001" customHeight="1" x14ac:dyDescent="0.2">
      <c r="A156" s="9">
        <f t="shared" si="46"/>
        <v>153</v>
      </c>
      <c r="B156" s="9">
        <v>1186</v>
      </c>
      <c r="C156" s="9" t="str">
        <f>VLOOKUP(B156,'[1]اسماء الموظفين'!$B$8:$O$501,2,0)</f>
        <v>ميد أنعام ال حقي</v>
      </c>
      <c r="D156" s="9" t="str">
        <f>VLOOKUP(B156,'[1]اسماء الموظفين'!$B$8:$O$501,4,0)</f>
        <v>بنجلاديش</v>
      </c>
      <c r="E156" s="9" t="str">
        <f>VLOOKUP(B156,'[2]المقيمين النشطين'!$B$2:$Q$980,15,0)</f>
        <v>مؤسسة سلطان عبدالرحمن صالح الرزيحي للتجارة</v>
      </c>
      <c r="F156" s="9" t="str">
        <f>VLOOKUP(B156,'[1]اسماء الموظفين'!$B$8:$O$501,11,0)</f>
        <v>هاينس</v>
      </c>
      <c r="G156" s="11">
        <f>VLOOKUP(B156,'[3]رواتب الموظفين 2022'!$B$9:$J$1019,9,0)</f>
        <v>1800</v>
      </c>
      <c r="H156" s="11">
        <f>VLOOKUP(B156,'[3]رواتب الموظفين 2022'!$B$9:$E$438,4,0)*2%</f>
        <v>24</v>
      </c>
      <c r="I156" s="11">
        <f>460.84/12</f>
        <v>38.403333333333329</v>
      </c>
      <c r="J156" s="11">
        <f>1251.55/12</f>
        <v>104.29583333333333</v>
      </c>
      <c r="K156" s="11">
        <f t="shared" si="47"/>
        <v>105</v>
      </c>
      <c r="L156" s="11">
        <f t="shared" si="48"/>
        <v>75</v>
      </c>
      <c r="M156" s="11">
        <f>1800/24</f>
        <v>75</v>
      </c>
      <c r="N156" s="8">
        <f>2000/12</f>
        <v>166.66666666666666</v>
      </c>
      <c r="O156" s="10">
        <f>650/12</f>
        <v>54.166666666666664</v>
      </c>
      <c r="P156" s="10">
        <f>9700/12</f>
        <v>808.33333333333337</v>
      </c>
      <c r="Q156" s="10">
        <f>VLOOKUP(B156,[4]بيان!$B$6:$G$112,4,0)</f>
        <v>92.594444444444449</v>
      </c>
      <c r="R156" s="10">
        <f t="shared" si="53"/>
        <v>739.31702574525752</v>
      </c>
      <c r="S156" s="10">
        <f t="shared" si="44"/>
        <v>4082.7773035230352</v>
      </c>
      <c r="T156" s="10">
        <f t="shared" si="45"/>
        <v>48993.327642276425</v>
      </c>
    </row>
    <row r="157" spans="1:20" s="8" customFormat="1" ht="20.100000000000001" customHeight="1" x14ac:dyDescent="0.2">
      <c r="A157" s="9">
        <f t="shared" si="46"/>
        <v>154</v>
      </c>
      <c r="B157" s="9">
        <v>1187</v>
      </c>
      <c r="C157" s="9" t="str">
        <f>VLOOKUP(B157,'[1]اسماء الموظفين'!$B$8:$O$501,2,0)</f>
        <v>مد إبراهيم هارون رشيد</v>
      </c>
      <c r="D157" s="9" t="str">
        <f>VLOOKUP(B157,'[1]اسماء الموظفين'!$B$8:$O$501,4,0)</f>
        <v>بنجلاديش</v>
      </c>
      <c r="E157" s="9" t="str">
        <f>VLOOKUP(B157,'[2]المقيمين النشطين'!$B$2:$Q$980,15,0)</f>
        <v>مؤسسة سلطان عبدالرحمن صالح الرزيحي للتجارة</v>
      </c>
      <c r="F157" s="9" t="str">
        <f>VLOOKUP(B157,'[1]اسماء الموظفين'!$B$8:$O$501,11,0)</f>
        <v>هاينس</v>
      </c>
      <c r="G157" s="11">
        <f>VLOOKUP(B157,'[3]رواتب الموظفين 2022'!$B$9:$J$1019,9,0)</f>
        <v>1600</v>
      </c>
      <c r="H157" s="11">
        <f>VLOOKUP(B157,'[3]رواتب الموظفين 2022'!$B$9:$E$438,4,0)*2%</f>
        <v>24</v>
      </c>
      <c r="I157" s="11">
        <f>382.33/12</f>
        <v>31.860833333333332</v>
      </c>
      <c r="J157" s="11">
        <f>1251.55/12</f>
        <v>104.29583333333333</v>
      </c>
      <c r="K157" s="11">
        <f t="shared" si="47"/>
        <v>93.333333333333329</v>
      </c>
      <c r="L157" s="11">
        <f t="shared" si="48"/>
        <v>66.666666666666671</v>
      </c>
      <c r="M157" s="11">
        <f>1800/24</f>
        <v>75</v>
      </c>
      <c r="N157" s="8">
        <f>2000/12</f>
        <v>166.66666666666666</v>
      </c>
      <c r="O157" s="10">
        <f>650/12</f>
        <v>54.166666666666664</v>
      </c>
      <c r="P157" s="10">
        <f>9700/12</f>
        <v>808.33333333333337</v>
      </c>
      <c r="Q157" s="10">
        <f>VLOOKUP(B157,[4]بيان!$B$6:$G$112,4,0)</f>
        <v>92.594444444444449</v>
      </c>
      <c r="R157" s="10">
        <f t="shared" si="53"/>
        <v>739.31702574525752</v>
      </c>
      <c r="S157" s="10">
        <f t="shared" si="44"/>
        <v>3856.2348035230352</v>
      </c>
      <c r="T157" s="10">
        <f t="shared" si="45"/>
        <v>46274.817642276423</v>
      </c>
    </row>
    <row r="158" spans="1:20" s="8" customFormat="1" ht="20.100000000000001" customHeight="1" x14ac:dyDescent="0.2">
      <c r="A158" s="9">
        <f t="shared" si="46"/>
        <v>155</v>
      </c>
      <c r="B158" s="9">
        <v>1188</v>
      </c>
      <c r="C158" s="9" t="str">
        <f>VLOOKUP(B158,'[1]اسماء الموظفين'!$B$8:$O$501,2,0)</f>
        <v>نازميل حسين حسين حسين</v>
      </c>
      <c r="D158" s="9" t="str">
        <f>VLOOKUP(B158,'[1]اسماء الموظفين'!$B$8:$O$501,4,0)</f>
        <v>بنجلاديش</v>
      </c>
      <c r="E158" s="9" t="str">
        <f>VLOOKUP(B158,'[2]المقيمين النشطين'!$B$2:$Q$980,15,0)</f>
        <v>مؤسسة سلطان عبدالرحمن صالح الرزيحي للتجارة</v>
      </c>
      <c r="F158" s="9" t="str">
        <f>VLOOKUP(B158,'[1]اسماء الموظفين'!$B$8:$O$501,11,0)</f>
        <v>المصيف</v>
      </c>
      <c r="G158" s="11">
        <f>VLOOKUP(B158,'[3]رواتب الموظفين 2022'!$B$9:$J$1019,9,0)</f>
        <v>1600</v>
      </c>
      <c r="H158" s="11">
        <f>VLOOKUP(B158,'[3]رواتب الموظفين 2022'!$B$9:$E$438,4,0)*2%</f>
        <v>24</v>
      </c>
      <c r="I158" s="11"/>
      <c r="J158" s="11">
        <f>1251.55/12</f>
        <v>104.29583333333333</v>
      </c>
      <c r="K158" s="11">
        <f t="shared" si="47"/>
        <v>93.333333333333329</v>
      </c>
      <c r="L158" s="11">
        <f t="shared" si="48"/>
        <v>66.666666666666671</v>
      </c>
      <c r="M158" s="11">
        <f>1800/24</f>
        <v>75</v>
      </c>
      <c r="N158" s="8">
        <f>2000/12</f>
        <v>166.66666666666666</v>
      </c>
      <c r="O158" s="10">
        <f>650/12</f>
        <v>54.166666666666664</v>
      </c>
      <c r="P158" s="10">
        <f>9700/12</f>
        <v>808.33333333333337</v>
      </c>
      <c r="Q158" s="10">
        <f>VLOOKUP(B158,[4]بيان!$B$6:$G$112,4,0)</f>
        <v>92.594444444444449</v>
      </c>
      <c r="R158" s="10">
        <f t="shared" si="53"/>
        <v>739.31702574525752</v>
      </c>
      <c r="S158" s="10">
        <f t="shared" si="44"/>
        <v>3824.373970189702</v>
      </c>
      <c r="T158" s="10">
        <f t="shared" si="45"/>
        <v>45892.487642276421</v>
      </c>
    </row>
    <row r="159" spans="1:20" s="8" customFormat="1" ht="20.100000000000001" customHeight="1" x14ac:dyDescent="0.2">
      <c r="A159" s="9">
        <f t="shared" si="46"/>
        <v>156</v>
      </c>
      <c r="B159" s="9">
        <v>1190</v>
      </c>
      <c r="C159" s="9" t="str">
        <f>VLOOKUP(B159,'[1]اسماء الموظفين'!$B$8:$O$501,2,0)</f>
        <v>منصور آيت بنكوهية</v>
      </c>
      <c r="D159" s="9" t="str">
        <f>VLOOKUP(B159,'[1]اسماء الموظفين'!$B$8:$O$501,4,0)</f>
        <v>المغرب</v>
      </c>
      <c r="E159" s="9" t="str">
        <f>VLOOKUP(B159,'[2]المقيمين النشطين'!$B$2:$Q$980,15,0)</f>
        <v>تحت التجربة</v>
      </c>
      <c r="F159" s="9" t="str">
        <f>VLOOKUP(B159,'[1]اسماء الموظفين'!$B$8:$O$501,11,0)</f>
        <v>هاينس</v>
      </c>
      <c r="G159" s="11">
        <f>VLOOKUP(B159,'[3]رواتب الموظفين 2022'!$B$9:$J$1019,9,0)</f>
        <v>3000</v>
      </c>
      <c r="H159" s="11">
        <v>0</v>
      </c>
      <c r="I159" s="11">
        <v>0</v>
      </c>
      <c r="J159" s="11">
        <v>0</v>
      </c>
      <c r="K159" s="11">
        <f t="shared" si="47"/>
        <v>175</v>
      </c>
      <c r="L159" s="11">
        <f t="shared" si="48"/>
        <v>125</v>
      </c>
      <c r="M159" s="11">
        <f>1500/24</f>
        <v>62.5</v>
      </c>
      <c r="N159" s="8">
        <v>0</v>
      </c>
      <c r="O159" s="10">
        <v>0</v>
      </c>
      <c r="P159" s="10">
        <v>0</v>
      </c>
      <c r="Q159" s="10">
        <f>VLOOKUP(B159,[4]بيان!$B$6:$G$112,4,0)</f>
        <v>92.594444444444449</v>
      </c>
      <c r="R159" s="10">
        <v>0</v>
      </c>
      <c r="S159" s="10">
        <f t="shared" si="44"/>
        <v>3455.0944444444444</v>
      </c>
      <c r="T159" s="10">
        <f t="shared" si="45"/>
        <v>41461.133333333331</v>
      </c>
    </row>
    <row r="160" spans="1:20" s="8" customFormat="1" ht="20.100000000000001" customHeight="1" x14ac:dyDescent="0.2">
      <c r="A160" s="9">
        <f t="shared" si="46"/>
        <v>157</v>
      </c>
      <c r="B160" s="9">
        <v>1191</v>
      </c>
      <c r="C160" s="9" t="str">
        <f>VLOOKUP(B160,'[1]اسماء الموظفين'!$B$8:$O$501,2,0)</f>
        <v>JASHIM UDDIN</v>
      </c>
      <c r="D160" s="9" t="str">
        <f>VLOOKUP(B160,'[1]اسماء الموظفين'!$B$8:$O$501,4,0)</f>
        <v>بنجلاديش</v>
      </c>
      <c r="E160" s="9" t="str">
        <f>VLOOKUP(B160,'[2]المقيمين النشطين'!$B$2:$Q$980,15,0)</f>
        <v xml:space="preserve">سلطان عبدالرحمن صالح الرزيحي </v>
      </c>
      <c r="F160" s="9" t="str">
        <f>VLOOKUP(B160,'[1]اسماء الموظفين'!$B$8:$O$501,11,0)</f>
        <v>المالك</v>
      </c>
      <c r="G160" s="11">
        <f>VLOOKUP(B160,'[3]رواتب الموظفين 2022'!$B$9:$J$1019,9,0)</f>
        <v>2000</v>
      </c>
      <c r="H160" s="11">
        <v>0</v>
      </c>
      <c r="I160" s="11">
        <v>0</v>
      </c>
      <c r="J160" s="11">
        <v>0</v>
      </c>
      <c r="K160" s="11">
        <f t="shared" si="47"/>
        <v>116.66666666666667</v>
      </c>
      <c r="L160" s="11">
        <f t="shared" si="48"/>
        <v>83.333333333333329</v>
      </c>
      <c r="M160" s="11">
        <f>1800/24</f>
        <v>75</v>
      </c>
      <c r="N160" s="8">
        <f>2000/12</f>
        <v>166.66666666666666</v>
      </c>
      <c r="O160" s="10">
        <f>650/12</f>
        <v>54.166666666666664</v>
      </c>
      <c r="P160" s="10">
        <v>0</v>
      </c>
      <c r="Q160" s="10">
        <v>0</v>
      </c>
      <c r="R160" s="10">
        <v>0</v>
      </c>
      <c r="S160" s="10">
        <f t="shared" si="44"/>
        <v>2495.833333333333</v>
      </c>
      <c r="T160" s="10">
        <f t="shared" si="45"/>
        <v>29949.999999999996</v>
      </c>
    </row>
    <row r="161" spans="1:20" s="8" customFormat="1" ht="20.100000000000001" customHeight="1" x14ac:dyDescent="0.2">
      <c r="A161" s="9">
        <f t="shared" si="46"/>
        <v>158</v>
      </c>
      <c r="B161" s="9">
        <v>1193</v>
      </c>
      <c r="C161" s="9" t="str">
        <f>VLOOKUP(B161,'[1]اسماء الموظفين'!$B$8:$O$501,2,0)</f>
        <v>طارق محمد محمد علوان الخضر</v>
      </c>
      <c r="D161" s="9" t="str">
        <f>VLOOKUP(B161,'[1]اسماء الموظفين'!$B$8:$O$501,4,0)</f>
        <v>اليمن</v>
      </c>
      <c r="E161" s="9" t="str">
        <f>VLOOKUP(B161,'[2]المقيمين النشطين'!$B$2:$Q$980,15,0)</f>
        <v>شركة أدفان للصناعة ( شركة شخص واحد )</v>
      </c>
      <c r="F161" s="9" t="str">
        <f>VLOOKUP(B161,'[1]اسماء الموظفين'!$B$8:$O$501,11,0)</f>
        <v>ورشة أثاث</v>
      </c>
      <c r="G161" s="11">
        <f>VLOOKUP(B161,'[3]رواتب الموظفين 2022'!$B$9:$J$1019,9,0)</f>
        <v>2700</v>
      </c>
      <c r="H161" s="11"/>
      <c r="I161" s="11">
        <v>0</v>
      </c>
      <c r="J161" s="11">
        <v>0</v>
      </c>
      <c r="K161" s="11">
        <f t="shared" si="47"/>
        <v>157.5</v>
      </c>
      <c r="L161" s="11">
        <f t="shared" si="48"/>
        <v>112.5</v>
      </c>
      <c r="M161" s="11">
        <f>1800/24</f>
        <v>75</v>
      </c>
      <c r="N161" s="8">
        <f>2000/12</f>
        <v>166.66666666666666</v>
      </c>
      <c r="O161" s="10">
        <f>650/12</f>
        <v>54.166666666666664</v>
      </c>
      <c r="P161" s="10">
        <f>100/12</f>
        <v>8.3333333333333339</v>
      </c>
      <c r="Q161" s="10">
        <v>0</v>
      </c>
      <c r="R161" s="10">
        <f>J$335</f>
        <v>700</v>
      </c>
      <c r="S161" s="10">
        <f t="shared" si="44"/>
        <v>3974.1666666666665</v>
      </c>
      <c r="T161" s="10">
        <f t="shared" si="45"/>
        <v>47690</v>
      </c>
    </row>
    <row r="162" spans="1:20" s="8" customFormat="1" ht="20.100000000000001" customHeight="1" x14ac:dyDescent="0.2">
      <c r="A162" s="9">
        <f t="shared" si="46"/>
        <v>159</v>
      </c>
      <c r="B162" s="9">
        <v>1195</v>
      </c>
      <c r="C162" s="9" t="str">
        <f>VLOOKUP(B162,'[1]اسماء الموظفين'!$B$8:$O$501,2,0)</f>
        <v>فهد محمد نايف الميموني المطيري</v>
      </c>
      <c r="D162" s="9" t="str">
        <f>VLOOKUP(B162,'[1]اسماء الموظفين'!$B$8:$O$501,4,0)</f>
        <v>سعودي</v>
      </c>
      <c r="E162" s="9" t="str">
        <f>VLOOKUP(B162,'[2]المقيمين النشطين'!$B$2:$Q$980,15,0)</f>
        <v>مؤسسة سلطان عبدالرحمن صالح الرزيحي للتجارة</v>
      </c>
      <c r="F162" s="9" t="str">
        <f>VLOOKUP(B162,'[1]اسماء الموظفين'!$B$8:$O$501,11,0)</f>
        <v>هاينس</v>
      </c>
      <c r="G162" s="11">
        <f>VLOOKUP(B162,'[3]رواتب الموظفين 2022'!$B$9:$J$1019,9,0)</f>
        <v>4500</v>
      </c>
      <c r="H162" s="11">
        <f>VLOOKUP(B162,'[3]رواتب الموظفين 2022'!$B$9:$E$438,4,0)*12.25%</f>
        <v>490</v>
      </c>
      <c r="I162" s="11">
        <f>384.43/12</f>
        <v>32.035833333333336</v>
      </c>
      <c r="J162" s="11">
        <f>160/12</f>
        <v>13.333333333333334</v>
      </c>
      <c r="K162" s="11">
        <f t="shared" si="47"/>
        <v>262.5</v>
      </c>
      <c r="L162" s="11">
        <f t="shared" si="48"/>
        <v>187.5</v>
      </c>
      <c r="M162" s="11">
        <v>0</v>
      </c>
      <c r="N162" s="8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f t="shared" si="44"/>
        <v>5485.3691666666664</v>
      </c>
      <c r="T162" s="10">
        <f t="shared" si="45"/>
        <v>65824.429999999993</v>
      </c>
    </row>
    <row r="163" spans="1:20" s="8" customFormat="1" ht="20.100000000000001" customHeight="1" x14ac:dyDescent="0.2">
      <c r="A163" s="9">
        <f t="shared" si="46"/>
        <v>160</v>
      </c>
      <c r="B163" s="9">
        <v>1196</v>
      </c>
      <c r="C163" s="9" t="str">
        <f>VLOOKUP(B163,'[1]اسماء الموظفين'!$B$8:$O$501,2,0)</f>
        <v>عبد الله عبد العزيز محمد السويح</v>
      </c>
      <c r="D163" s="9" t="str">
        <f>VLOOKUP(B163,'[1]اسماء الموظفين'!$B$8:$O$501,4,0)</f>
        <v>سعودي</v>
      </c>
      <c r="E163" s="9" t="str">
        <f>VLOOKUP(B163,'[2]المقيمين النشطين'!$B$2:$Q$980,15,0)</f>
        <v>مؤسسة سلطان عبدالرحمن صالح الرزيحي للتجارة</v>
      </c>
      <c r="F163" s="9" t="str">
        <f>VLOOKUP(B163,'[1]اسماء الموظفين'!$B$8:$O$501,11,0)</f>
        <v>هاينس</v>
      </c>
      <c r="G163" s="11">
        <f>VLOOKUP(B163,'[3]رواتب الموظفين 2022'!$B$9:$J$1019,9,0)</f>
        <v>4500</v>
      </c>
      <c r="H163" s="11">
        <f>VLOOKUP(B163,'[3]رواتب الموظفين 2022'!$B$9:$E$438,4,0)*12.25%</f>
        <v>490</v>
      </c>
      <c r="I163" s="11">
        <f>384.43/12</f>
        <v>32.035833333333336</v>
      </c>
      <c r="J163" s="11">
        <v>0</v>
      </c>
      <c r="K163" s="11">
        <f t="shared" si="47"/>
        <v>262.5</v>
      </c>
      <c r="L163" s="11">
        <f t="shared" si="48"/>
        <v>187.5</v>
      </c>
      <c r="M163" s="11">
        <v>0</v>
      </c>
      <c r="N163" s="8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f t="shared" si="44"/>
        <v>5472.0358333333334</v>
      </c>
      <c r="T163" s="10">
        <f t="shared" si="45"/>
        <v>65664.429999999993</v>
      </c>
    </row>
    <row r="164" spans="1:20" s="8" customFormat="1" ht="20.100000000000001" customHeight="1" x14ac:dyDescent="0.2">
      <c r="A164" s="9">
        <f t="shared" si="46"/>
        <v>161</v>
      </c>
      <c r="B164" s="9">
        <v>1197</v>
      </c>
      <c r="C164" s="9" t="str">
        <f>VLOOKUP(B164,'[1]اسماء الموظفين'!$B$8:$O$501,2,0)</f>
        <v>محمد مطلق نائف النفيعي العتيبي</v>
      </c>
      <c r="D164" s="9" t="str">
        <f>VLOOKUP(B164,'[1]اسماء الموظفين'!$B$8:$O$501,4,0)</f>
        <v>سعودي</v>
      </c>
      <c r="E164" s="9" t="str">
        <f>VLOOKUP(B164,'[2]المقيمين النشطين'!$B$2:$Q$980,15,0)</f>
        <v>مؤسسة سلطان عبدالرحمن صالح الرزيحي للتجارة</v>
      </c>
      <c r="F164" s="9" t="str">
        <f>VLOOKUP(B164,'[1]اسماء الموظفين'!$B$8:$O$501,11,0)</f>
        <v>هاينس</v>
      </c>
      <c r="G164" s="11">
        <f>VLOOKUP(B164,'[3]رواتب الموظفين 2022'!$B$9:$J$1019,9,0)</f>
        <v>2250</v>
      </c>
      <c r="H164" s="11">
        <f>VLOOKUP(B164,'[3]رواتب الموظفين 2022'!$B$9:$E$438,4,0)*12.25%</f>
        <v>490</v>
      </c>
      <c r="I164" s="11">
        <f>369.64/12</f>
        <v>30.803333333333331</v>
      </c>
      <c r="J164" s="11">
        <f>160/12</f>
        <v>13.333333333333334</v>
      </c>
      <c r="K164" s="11">
        <f t="shared" si="47"/>
        <v>131.25</v>
      </c>
      <c r="L164" s="11">
        <f t="shared" si="48"/>
        <v>93.75</v>
      </c>
      <c r="M164" s="11">
        <v>0</v>
      </c>
      <c r="N164" s="8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f t="shared" si="44"/>
        <v>3009.1366666666668</v>
      </c>
      <c r="T164" s="10">
        <f t="shared" si="45"/>
        <v>36109.64</v>
      </c>
    </row>
    <row r="165" spans="1:20" s="8" customFormat="1" ht="20.100000000000001" customHeight="1" x14ac:dyDescent="0.2">
      <c r="A165" s="9">
        <f t="shared" si="46"/>
        <v>162</v>
      </c>
      <c r="B165" s="9">
        <v>1198</v>
      </c>
      <c r="C165" s="9" t="str">
        <f>VLOOKUP(B165,'[1]اسماء الموظفين'!$B$8:$O$501,2,0)</f>
        <v>عبد المجيد هاني سعد الهباد</v>
      </c>
      <c r="D165" s="9" t="str">
        <f>VLOOKUP(B165,'[1]اسماء الموظفين'!$B$8:$O$501,4,0)</f>
        <v>سعودي</v>
      </c>
      <c r="E165" s="9" t="str">
        <f>VLOOKUP(B165,'[2]المقيمين النشطين'!$B$2:$Q$980,15,0)</f>
        <v>مؤسسة سلطان عبدالرحمن صالح الرزيحي للتجارة</v>
      </c>
      <c r="F165" s="9" t="str">
        <f>VLOOKUP(B165,'[1]اسماء الموظفين'!$B$8:$O$501,11,0)</f>
        <v>هاينس</v>
      </c>
      <c r="G165" s="11">
        <f>VLOOKUP(B165,'[3]رواتب الموظفين 2022'!$B$9:$J$1019,9,0)</f>
        <v>4500</v>
      </c>
      <c r="H165" s="11">
        <f>VLOOKUP(B165,'[3]رواتب الموظفين 2022'!$B$9:$E$438,4,0)*12.25%</f>
        <v>490</v>
      </c>
      <c r="I165" s="11">
        <f>384.43/12</f>
        <v>32.035833333333336</v>
      </c>
      <c r="J165" s="11">
        <v>0</v>
      </c>
      <c r="K165" s="11">
        <f t="shared" si="47"/>
        <v>262.5</v>
      </c>
      <c r="L165" s="11">
        <f t="shared" si="48"/>
        <v>187.5</v>
      </c>
      <c r="M165" s="11">
        <v>0</v>
      </c>
      <c r="N165" s="8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f t="shared" si="44"/>
        <v>5472.0358333333334</v>
      </c>
      <c r="T165" s="10">
        <f t="shared" si="45"/>
        <v>65664.429999999993</v>
      </c>
    </row>
    <row r="166" spans="1:20" s="8" customFormat="1" ht="20.100000000000001" customHeight="1" x14ac:dyDescent="0.2">
      <c r="A166" s="9">
        <f t="shared" si="46"/>
        <v>163</v>
      </c>
      <c r="B166" s="9">
        <v>1201</v>
      </c>
      <c r="C166" s="9" t="str">
        <f>VLOOKUP(B166,'[1]اسماء الموظفين'!$B$8:$O$501,2,0)</f>
        <v>جاسم عبدالكريم محمد قميش</v>
      </c>
      <c r="D166" s="9" t="str">
        <f>VLOOKUP(B166,'[1]اسماء الموظفين'!$B$8:$O$501,4,0)</f>
        <v>سعودي</v>
      </c>
      <c r="E166" s="9" t="str">
        <f>VLOOKUP(B166,'[2]المقيمين النشطين'!$B$2:$Q$980,15,0)</f>
        <v>مؤسسة سلطان عبدالرحمن صالح الرزيحي للتجارة</v>
      </c>
      <c r="F166" s="9" t="str">
        <f>VLOOKUP(B166,'[1]اسماء الموظفين'!$B$8:$O$501,11,0)</f>
        <v>هاينس</v>
      </c>
      <c r="G166" s="11">
        <f>VLOOKUP(B166,'[3]رواتب الموظفين 2022'!$B$9:$J$1019,9,0)</f>
        <v>4500</v>
      </c>
      <c r="H166" s="11">
        <f>VLOOKUP(B165,'[3]رواتب الموظفين 2022'!$B$9:$E$438,4,0)*12.25%</f>
        <v>490</v>
      </c>
      <c r="I166" s="11">
        <f>384.43/12</f>
        <v>32.035833333333336</v>
      </c>
      <c r="J166" s="11">
        <v>0</v>
      </c>
      <c r="K166" s="11">
        <f t="shared" si="47"/>
        <v>262.5</v>
      </c>
      <c r="L166" s="11">
        <f t="shared" si="48"/>
        <v>187.5</v>
      </c>
      <c r="M166" s="11">
        <v>0</v>
      </c>
      <c r="N166" s="8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f t="shared" si="44"/>
        <v>5472.0358333333334</v>
      </c>
      <c r="T166" s="10">
        <f t="shared" si="45"/>
        <v>65664.429999999993</v>
      </c>
    </row>
    <row r="167" spans="1:20" s="8" customFormat="1" ht="20.100000000000001" customHeight="1" x14ac:dyDescent="0.2">
      <c r="A167" s="9">
        <f t="shared" si="46"/>
        <v>164</v>
      </c>
      <c r="B167" s="9">
        <v>1204</v>
      </c>
      <c r="C167" s="9" t="str">
        <f>VLOOKUP(B167,'[1]اسماء الموظفين'!$B$8:$O$501,2,0)</f>
        <v>جهاد سعد محمد العشبي</v>
      </c>
      <c r="D167" s="9" t="str">
        <f>VLOOKUP(B167,'[1]اسماء الموظفين'!$B$8:$O$501,4,0)</f>
        <v>اليمن</v>
      </c>
      <c r="E167" s="9" t="str">
        <f>VLOOKUP(B167,'[2]المقيمين النشطين'!$B$2:$Q$980,15,0)</f>
        <v>تحت التجربة</v>
      </c>
      <c r="F167" s="9" t="str">
        <f>VLOOKUP(B167,'[1]اسماء الموظفين'!$B$8:$O$501,11,0)</f>
        <v>ورشة أثاث</v>
      </c>
      <c r="G167" s="11">
        <f>VLOOKUP(B167,'[3]رواتب الموظفين 2022'!$B$9:$J$1019,9,0)</f>
        <v>2500</v>
      </c>
      <c r="H167" s="11">
        <v>0</v>
      </c>
      <c r="I167" s="11"/>
      <c r="J167" s="11">
        <v>0</v>
      </c>
      <c r="K167" s="11">
        <f t="shared" si="47"/>
        <v>145.83333333333334</v>
      </c>
      <c r="L167" s="11">
        <f t="shared" si="48"/>
        <v>104.16666666666667</v>
      </c>
      <c r="M167" s="11">
        <f t="shared" ref="M167:M173" si="54">1500/24</f>
        <v>62.5</v>
      </c>
      <c r="O167" s="10">
        <f t="shared" ref="O167:O177" si="55">650/12</f>
        <v>54.166666666666664</v>
      </c>
      <c r="P167" s="10">
        <v>0</v>
      </c>
      <c r="Q167" s="10">
        <v>0</v>
      </c>
      <c r="R167" s="10">
        <v>0</v>
      </c>
      <c r="S167" s="10">
        <f t="shared" si="44"/>
        <v>2866.6666666666665</v>
      </c>
      <c r="T167" s="10">
        <f t="shared" si="45"/>
        <v>34400</v>
      </c>
    </row>
    <row r="168" spans="1:20" s="8" customFormat="1" ht="20.100000000000001" customHeight="1" x14ac:dyDescent="0.2">
      <c r="A168" s="9">
        <f t="shared" si="46"/>
        <v>165</v>
      </c>
      <c r="B168" s="9">
        <v>1205</v>
      </c>
      <c r="C168" s="9" t="str">
        <f>VLOOKUP(B168,'[1]اسماء الموظفين'!$B$8:$O$501,2,0)</f>
        <v>هاني ناجي علي محمد عثمان</v>
      </c>
      <c r="D168" s="9" t="str">
        <f>VLOOKUP(B168,'[1]اسماء الموظفين'!$B$8:$O$501,4,0)</f>
        <v>اليمن</v>
      </c>
      <c r="E168" s="9" t="str">
        <f>VLOOKUP(B168,'[2]المقيمين النشطين'!$B$2:$Q$980,15,0)</f>
        <v>تحت التجربة</v>
      </c>
      <c r="F168" s="9" t="str">
        <f>VLOOKUP(B168,'[1]اسماء الموظفين'!$B$8:$O$501,11,0)</f>
        <v>ورشة أثاث</v>
      </c>
      <c r="G168" s="11">
        <f>VLOOKUP(B168,'[3]رواتب الموظفين 2022'!$B$9:$J$1019,9,0)</f>
        <v>2000</v>
      </c>
      <c r="H168" s="11">
        <v>0</v>
      </c>
      <c r="I168" s="11"/>
      <c r="J168" s="11">
        <v>0</v>
      </c>
      <c r="K168" s="11">
        <f t="shared" si="47"/>
        <v>116.66666666666667</v>
      </c>
      <c r="L168" s="11">
        <f t="shared" si="48"/>
        <v>83.333333333333329</v>
      </c>
      <c r="M168" s="11">
        <f t="shared" si="54"/>
        <v>62.5</v>
      </c>
      <c r="O168" s="10">
        <f t="shared" si="55"/>
        <v>54.166666666666664</v>
      </c>
      <c r="P168" s="10">
        <v>0</v>
      </c>
      <c r="Q168" s="10">
        <v>0</v>
      </c>
      <c r="R168" s="10">
        <v>0</v>
      </c>
      <c r="S168" s="10">
        <f t="shared" si="44"/>
        <v>2316.6666666666665</v>
      </c>
      <c r="T168" s="10">
        <f t="shared" si="45"/>
        <v>27800</v>
      </c>
    </row>
    <row r="169" spans="1:20" s="8" customFormat="1" ht="20.100000000000001" customHeight="1" x14ac:dyDescent="0.2">
      <c r="A169" s="9">
        <f t="shared" si="46"/>
        <v>166</v>
      </c>
      <c r="B169" s="9">
        <v>1206</v>
      </c>
      <c r="C169" s="9" t="str">
        <f>VLOOKUP(B169,'[1]اسماء الموظفين'!$B$8:$O$501,2,0)</f>
        <v>حسين علي محمد علي</v>
      </c>
      <c r="D169" s="9" t="str">
        <f>VLOOKUP(B169,'[1]اسماء الموظفين'!$B$8:$O$501,4,0)</f>
        <v>اليمن</v>
      </c>
      <c r="E169" s="9" t="str">
        <f>VLOOKUP(B169,'[2]المقيمين النشطين'!$B$2:$Q$980,15,0)</f>
        <v>تحت التجربة</v>
      </c>
      <c r="F169" s="9" t="str">
        <f>VLOOKUP(B169,'[1]اسماء الموظفين'!$B$8:$O$501,11,0)</f>
        <v>ورشة أثاث</v>
      </c>
      <c r="G169" s="11">
        <f>VLOOKUP(B169,'[3]رواتب الموظفين 2022'!$B$9:$J$1019,9,0)</f>
        <v>2000</v>
      </c>
      <c r="H169" s="11">
        <v>0</v>
      </c>
      <c r="I169" s="11"/>
      <c r="J169" s="11">
        <v>0</v>
      </c>
      <c r="K169" s="11">
        <f t="shared" si="47"/>
        <v>116.66666666666667</v>
      </c>
      <c r="L169" s="11">
        <f t="shared" si="48"/>
        <v>83.333333333333329</v>
      </c>
      <c r="M169" s="11">
        <f t="shared" si="54"/>
        <v>62.5</v>
      </c>
      <c r="O169" s="10">
        <f t="shared" si="55"/>
        <v>54.166666666666664</v>
      </c>
      <c r="P169" s="10">
        <v>0</v>
      </c>
      <c r="Q169" s="10">
        <v>0</v>
      </c>
      <c r="R169" s="10">
        <v>0</v>
      </c>
      <c r="S169" s="10">
        <f t="shared" si="44"/>
        <v>2316.6666666666665</v>
      </c>
      <c r="T169" s="10">
        <f t="shared" si="45"/>
        <v>27800</v>
      </c>
    </row>
    <row r="170" spans="1:20" s="8" customFormat="1" ht="20.100000000000001" customHeight="1" x14ac:dyDescent="0.2">
      <c r="A170" s="9">
        <f t="shared" si="46"/>
        <v>167</v>
      </c>
      <c r="B170" s="9">
        <v>1207</v>
      </c>
      <c r="C170" s="9" t="str">
        <f>VLOOKUP(B170,'[1]اسماء الموظفين'!$B$8:$O$501,2,0)</f>
        <v>زياد شايف عبدالله عبده</v>
      </c>
      <c r="D170" s="9" t="str">
        <f>VLOOKUP(B170,'[1]اسماء الموظفين'!$B$8:$O$501,4,0)</f>
        <v>اليمن</v>
      </c>
      <c r="E170" s="9" t="str">
        <f>VLOOKUP(B170,'[2]المقيمين النشطين'!$B$2:$Q$980,15,0)</f>
        <v>تحت التجربة</v>
      </c>
      <c r="F170" s="9" t="str">
        <f>VLOOKUP(B170,'[1]اسماء الموظفين'!$B$8:$O$501,11,0)</f>
        <v>ورشة أثاث</v>
      </c>
      <c r="G170" s="11">
        <f>VLOOKUP(B170,'[3]رواتب الموظفين 2022'!$B$9:$J$1019,9,0)</f>
        <v>2300</v>
      </c>
      <c r="H170" s="11">
        <v>0</v>
      </c>
      <c r="I170" s="11"/>
      <c r="J170" s="11">
        <v>0</v>
      </c>
      <c r="K170" s="11">
        <f t="shared" si="47"/>
        <v>134.16666666666666</v>
      </c>
      <c r="L170" s="11">
        <f t="shared" si="48"/>
        <v>95.833333333333329</v>
      </c>
      <c r="M170" s="11">
        <f t="shared" si="54"/>
        <v>62.5</v>
      </c>
      <c r="O170" s="10">
        <f t="shared" si="55"/>
        <v>54.166666666666664</v>
      </c>
      <c r="P170" s="10">
        <v>0</v>
      </c>
      <c r="Q170" s="10">
        <v>0</v>
      </c>
      <c r="R170" s="10">
        <v>0</v>
      </c>
      <c r="S170" s="10">
        <f t="shared" si="44"/>
        <v>2646.6666666666665</v>
      </c>
      <c r="T170" s="10">
        <f t="shared" si="45"/>
        <v>31760</v>
      </c>
    </row>
    <row r="171" spans="1:20" s="8" customFormat="1" ht="20.100000000000001" customHeight="1" x14ac:dyDescent="0.2">
      <c r="A171" s="9">
        <f t="shared" si="46"/>
        <v>168</v>
      </c>
      <c r="B171" s="9">
        <v>1208</v>
      </c>
      <c r="C171" s="9" t="str">
        <f>VLOOKUP(B171,'[1]اسماء الموظفين'!$B$8:$O$501,2,0)</f>
        <v>عبد الاله محسن هزاع ناجي</v>
      </c>
      <c r="D171" s="9" t="str">
        <f>VLOOKUP(B171,'[1]اسماء الموظفين'!$B$8:$O$501,4,0)</f>
        <v>اليمن</v>
      </c>
      <c r="E171" s="9" t="str">
        <f>VLOOKUP(B171,'[2]المقيمين النشطين'!$B$2:$Q$980,15,0)</f>
        <v>شركة أدفان للصناعة ( شركة شخص واحد )</v>
      </c>
      <c r="F171" s="9" t="str">
        <f>VLOOKUP(B171,'[1]اسماء الموظفين'!$B$8:$O$501,11,0)</f>
        <v>ورشة أثاث</v>
      </c>
      <c r="G171" s="11">
        <f>VLOOKUP(B171,'[3]رواتب الموظفين 2022'!$B$9:$J$1019,9,0)</f>
        <v>2000</v>
      </c>
      <c r="H171" s="11">
        <v>0</v>
      </c>
      <c r="I171" s="11">
        <f>449.65/12</f>
        <v>37.470833333333331</v>
      </c>
      <c r="J171" s="11">
        <v>0</v>
      </c>
      <c r="K171" s="11">
        <f t="shared" si="47"/>
        <v>116.66666666666667</v>
      </c>
      <c r="L171" s="11">
        <f t="shared" si="48"/>
        <v>83.333333333333329</v>
      </c>
      <c r="M171" s="11">
        <f t="shared" si="54"/>
        <v>62.5</v>
      </c>
      <c r="N171" s="8">
        <f>2000/12</f>
        <v>166.66666666666666</v>
      </c>
      <c r="O171" s="10">
        <f t="shared" si="55"/>
        <v>54.166666666666664</v>
      </c>
      <c r="P171" s="10">
        <f>100/12</f>
        <v>8.3333333333333339</v>
      </c>
      <c r="Q171" s="10">
        <v>0</v>
      </c>
      <c r="R171" s="10">
        <f>J$335</f>
        <v>700</v>
      </c>
      <c r="S171" s="10">
        <f t="shared" si="44"/>
        <v>3229.1374999999998</v>
      </c>
      <c r="T171" s="10">
        <f t="shared" si="45"/>
        <v>38749.649999999994</v>
      </c>
    </row>
    <row r="172" spans="1:20" s="8" customFormat="1" ht="20.100000000000001" customHeight="1" x14ac:dyDescent="0.2">
      <c r="A172" s="9">
        <f t="shared" si="46"/>
        <v>169</v>
      </c>
      <c r="B172" s="9">
        <v>1209</v>
      </c>
      <c r="C172" s="9" t="str">
        <f>VLOOKUP(B172,'[1]اسماء الموظفين'!$B$8:$O$501,2,0)</f>
        <v>بكر عثمان صالح الرعدي</v>
      </c>
      <c r="D172" s="9" t="str">
        <f>VLOOKUP(B172,'[1]اسماء الموظفين'!$B$8:$O$501,4,0)</f>
        <v>اليمن</v>
      </c>
      <c r="E172" s="9" t="str">
        <f>VLOOKUP(B172,'[2]المقيمين النشطين'!$B$2:$Q$980,15,0)</f>
        <v>تحت التجربة</v>
      </c>
      <c r="F172" s="9" t="str">
        <f>VLOOKUP(B172,'[1]اسماء الموظفين'!$B$8:$O$501,11,0)</f>
        <v>ورشة أثاث</v>
      </c>
      <c r="G172" s="11">
        <f>VLOOKUP(B172,'[3]رواتب الموظفين 2022'!$B$9:$J$1019,9,0)</f>
        <v>2800</v>
      </c>
      <c r="H172" s="11">
        <v>0</v>
      </c>
      <c r="I172" s="11"/>
      <c r="J172" s="11">
        <v>0</v>
      </c>
      <c r="K172" s="11">
        <f t="shared" si="47"/>
        <v>163.33333333333334</v>
      </c>
      <c r="L172" s="11">
        <f t="shared" si="48"/>
        <v>116.66666666666667</v>
      </c>
      <c r="M172" s="11">
        <f t="shared" si="54"/>
        <v>62.5</v>
      </c>
      <c r="O172" s="10">
        <f t="shared" si="55"/>
        <v>54.166666666666664</v>
      </c>
      <c r="P172" s="10">
        <v>0</v>
      </c>
      <c r="Q172" s="10">
        <v>0</v>
      </c>
      <c r="R172" s="10">
        <v>0</v>
      </c>
      <c r="S172" s="10">
        <f t="shared" si="44"/>
        <v>3196.6666666666665</v>
      </c>
      <c r="T172" s="10">
        <f t="shared" si="45"/>
        <v>38360</v>
      </c>
    </row>
    <row r="173" spans="1:20" s="8" customFormat="1" ht="20.100000000000001" customHeight="1" x14ac:dyDescent="0.2">
      <c r="A173" s="9">
        <f t="shared" si="46"/>
        <v>170</v>
      </c>
      <c r="B173" s="9">
        <v>1210</v>
      </c>
      <c r="C173" s="9" t="str">
        <f>VLOOKUP(B173,'[1]اسماء الموظفين'!$B$8:$O$501,2,0)</f>
        <v>محمد نجيب علي اليافعي</v>
      </c>
      <c r="D173" s="9" t="str">
        <f>VLOOKUP(B173,'[1]اسماء الموظفين'!$B$8:$O$501,4,0)</f>
        <v>اليمن</v>
      </c>
      <c r="E173" s="9" t="str">
        <f>VLOOKUP(B173,'[2]المقيمين النشطين'!$B$2:$Q$980,15,0)</f>
        <v>تحت التجربة</v>
      </c>
      <c r="F173" s="9" t="str">
        <f>VLOOKUP(B173,'[1]اسماء الموظفين'!$B$8:$O$501,11,0)</f>
        <v>ورشة أثاث</v>
      </c>
      <c r="G173" s="11">
        <f>VLOOKUP(B173,'[3]رواتب الموظفين 2022'!$B$9:$J$1019,9,0)</f>
        <v>2300</v>
      </c>
      <c r="H173" s="11">
        <v>0</v>
      </c>
      <c r="I173" s="11"/>
      <c r="J173" s="11">
        <v>0</v>
      </c>
      <c r="K173" s="11">
        <f t="shared" si="47"/>
        <v>134.16666666666666</v>
      </c>
      <c r="L173" s="11">
        <f t="shared" si="48"/>
        <v>95.833333333333329</v>
      </c>
      <c r="M173" s="11">
        <f t="shared" si="54"/>
        <v>62.5</v>
      </c>
      <c r="O173" s="10">
        <f t="shared" si="55"/>
        <v>54.166666666666664</v>
      </c>
      <c r="P173" s="10">
        <v>0</v>
      </c>
      <c r="Q173" s="10">
        <v>0</v>
      </c>
      <c r="R173" s="10">
        <v>0</v>
      </c>
      <c r="S173" s="10">
        <f t="shared" si="44"/>
        <v>2646.6666666666665</v>
      </c>
      <c r="T173" s="10">
        <f t="shared" si="45"/>
        <v>31760</v>
      </c>
    </row>
    <row r="174" spans="1:20" s="8" customFormat="1" ht="20.100000000000001" customHeight="1" x14ac:dyDescent="0.2">
      <c r="A174" s="9">
        <f t="shared" si="46"/>
        <v>171</v>
      </c>
      <c r="B174" s="9">
        <v>1211</v>
      </c>
      <c r="C174" s="9" t="str">
        <f>VLOOKUP(B174,'[1]اسماء الموظفين'!$B$8:$O$501,2,0)</f>
        <v>عبدالغفار الزمان</v>
      </c>
      <c r="D174" s="9" t="str">
        <f>VLOOKUP(B174,'[1]اسماء الموظفين'!$B$8:$O$501,4,0)</f>
        <v>بنجلاديش</v>
      </c>
      <c r="E174" s="9" t="str">
        <f>VLOOKUP(B174,'[2]المقيمين النشطين'!$B$2:$Q$980,15,0)</f>
        <v>تحت التجربة</v>
      </c>
      <c r="F174" s="9" t="str">
        <f>VLOOKUP(B174,'[1]اسماء الموظفين'!$B$8:$O$501,11,0)</f>
        <v>ورشة أثاث</v>
      </c>
      <c r="G174" s="11">
        <f>VLOOKUP(B174,'[3]رواتب الموظفين 2022'!$B$9:$J$1019,9,0)</f>
        <v>4200</v>
      </c>
      <c r="H174" s="11">
        <v>0</v>
      </c>
      <c r="I174" s="11"/>
      <c r="J174" s="11">
        <v>0</v>
      </c>
      <c r="K174" s="11">
        <f t="shared" si="47"/>
        <v>245</v>
      </c>
      <c r="L174" s="11">
        <f t="shared" si="48"/>
        <v>175</v>
      </c>
      <c r="M174" s="11">
        <f>1800/24</f>
        <v>75</v>
      </c>
      <c r="O174" s="10">
        <f t="shared" si="55"/>
        <v>54.166666666666664</v>
      </c>
      <c r="P174" s="10">
        <v>0</v>
      </c>
      <c r="Q174" s="10">
        <v>0</v>
      </c>
      <c r="R174" s="10">
        <v>0</v>
      </c>
      <c r="S174" s="10">
        <f t="shared" si="44"/>
        <v>4749.166666666667</v>
      </c>
      <c r="T174" s="10">
        <f t="shared" si="45"/>
        <v>56990</v>
      </c>
    </row>
    <row r="175" spans="1:20" s="8" customFormat="1" ht="20.100000000000001" customHeight="1" x14ac:dyDescent="0.2">
      <c r="A175" s="9">
        <f t="shared" si="46"/>
        <v>172</v>
      </c>
      <c r="B175" s="9">
        <v>1212</v>
      </c>
      <c r="C175" s="9" t="str">
        <f>VLOOKUP(B175,'[1]اسماء الموظفين'!$B$8:$O$501,2,0)</f>
        <v>خالد علي احمد الخطيب</v>
      </c>
      <c r="D175" s="9" t="str">
        <f>VLOOKUP(B175,'[1]اسماء الموظفين'!$B$8:$O$501,4,0)</f>
        <v>اليمن</v>
      </c>
      <c r="E175" s="9" t="str">
        <f>VLOOKUP(B175,'[2]المقيمين النشطين'!$B$2:$Q$980,15,0)</f>
        <v>تحت التجربة</v>
      </c>
      <c r="F175" s="9" t="str">
        <f>VLOOKUP(B175,'[1]اسماء الموظفين'!$B$8:$O$501,11,0)</f>
        <v>ورشة أثاث</v>
      </c>
      <c r="G175" s="11">
        <f>VLOOKUP(B175,'[3]رواتب الموظفين 2022'!$B$9:$J$1019,9,0)</f>
        <v>3300</v>
      </c>
      <c r="H175" s="11">
        <v>0</v>
      </c>
      <c r="I175" s="11"/>
      <c r="J175" s="11">
        <v>0</v>
      </c>
      <c r="K175" s="11">
        <f t="shared" si="47"/>
        <v>192.5</v>
      </c>
      <c r="L175" s="11">
        <f t="shared" si="48"/>
        <v>137.5</v>
      </c>
      <c r="M175" s="11">
        <f>1500/24</f>
        <v>62.5</v>
      </c>
      <c r="O175" s="10">
        <f t="shared" si="55"/>
        <v>54.166666666666664</v>
      </c>
      <c r="P175" s="10">
        <v>0</v>
      </c>
      <c r="Q175" s="10">
        <v>0</v>
      </c>
      <c r="R175" s="10">
        <v>0</v>
      </c>
      <c r="S175" s="10">
        <f t="shared" si="44"/>
        <v>3746.6666666666665</v>
      </c>
      <c r="T175" s="10">
        <f t="shared" si="45"/>
        <v>44960</v>
      </c>
    </row>
    <row r="176" spans="1:20" s="8" customFormat="1" ht="20.100000000000001" customHeight="1" x14ac:dyDescent="0.2">
      <c r="A176" s="9">
        <f t="shared" si="46"/>
        <v>173</v>
      </c>
      <c r="B176" s="9">
        <v>1213</v>
      </c>
      <c r="C176" s="9" t="str">
        <f>VLOOKUP(B176,'[1]اسماء الموظفين'!$B$8:$O$501,2,0)</f>
        <v>جميل يحي محسن عميسان</v>
      </c>
      <c r="D176" s="9" t="str">
        <f>VLOOKUP(B176,'[1]اسماء الموظفين'!$B$8:$O$501,4,0)</f>
        <v>اليمن</v>
      </c>
      <c r="E176" s="9" t="str">
        <f>VLOOKUP(B176,'[2]المقيمين النشطين'!$B$2:$Q$980,15,0)</f>
        <v>عقد أجير</v>
      </c>
      <c r="F176" s="9" t="str">
        <f>VLOOKUP(B176,'[1]اسماء الموظفين'!$B$8:$O$501,11,0)</f>
        <v>ورشة أثاث</v>
      </c>
      <c r="G176" s="11">
        <f>VLOOKUP(B176,'[3]رواتب الموظفين 2022'!$B$9:$J$1019,9,0)</f>
        <v>6000</v>
      </c>
      <c r="H176" s="11">
        <v>0</v>
      </c>
      <c r="I176" s="11"/>
      <c r="J176" s="11">
        <v>0</v>
      </c>
      <c r="K176" s="11">
        <f t="shared" si="47"/>
        <v>350</v>
      </c>
      <c r="L176" s="11">
        <f t="shared" si="48"/>
        <v>250</v>
      </c>
      <c r="M176" s="11">
        <f>1500/24</f>
        <v>62.5</v>
      </c>
      <c r="O176" s="10">
        <f t="shared" si="55"/>
        <v>54.166666666666664</v>
      </c>
      <c r="P176" s="10">
        <v>0</v>
      </c>
      <c r="Q176" s="10">
        <v>0</v>
      </c>
      <c r="R176" s="10"/>
      <c r="S176" s="10">
        <f t="shared" si="44"/>
        <v>6716.666666666667</v>
      </c>
      <c r="T176" s="10">
        <f t="shared" si="45"/>
        <v>80600</v>
      </c>
    </row>
    <row r="177" spans="1:20" s="8" customFormat="1" ht="20.100000000000001" customHeight="1" x14ac:dyDescent="0.2">
      <c r="A177" s="9">
        <f t="shared" si="46"/>
        <v>174</v>
      </c>
      <c r="B177" s="9">
        <v>1214</v>
      </c>
      <c r="C177" s="9" t="str">
        <f>VLOOKUP(B177,'[1]اسماء الموظفين'!$B$8:$O$501,2,0)</f>
        <v>علاء أبو السعود محمد عبدالجواد</v>
      </c>
      <c r="D177" s="9" t="str">
        <f>VLOOKUP(B177,'[1]اسماء الموظفين'!$B$8:$O$501,4,0)</f>
        <v>اليمن</v>
      </c>
      <c r="E177" s="9" t="str">
        <f>VLOOKUP(B177,'[2]المقيمين النشطين'!$B$2:$Q$980,15,0)</f>
        <v>تحت التجربة</v>
      </c>
      <c r="F177" s="9" t="str">
        <f>VLOOKUP(B177,'[1]اسماء الموظفين'!$B$8:$O$501,11,0)</f>
        <v>ورشة أثاث</v>
      </c>
      <c r="G177" s="11">
        <f>VLOOKUP(B177,'[3]رواتب الموظفين 2022'!$B$9:$J$1019,9,0)</f>
        <v>2500</v>
      </c>
      <c r="H177" s="11">
        <v>0</v>
      </c>
      <c r="I177" s="11"/>
      <c r="J177" s="11">
        <v>0</v>
      </c>
      <c r="K177" s="11">
        <f t="shared" si="47"/>
        <v>145.83333333333334</v>
      </c>
      <c r="L177" s="11">
        <f t="shared" si="48"/>
        <v>104.16666666666667</v>
      </c>
      <c r="M177" s="11">
        <f>1500/24</f>
        <v>62.5</v>
      </c>
      <c r="O177" s="10">
        <f t="shared" si="55"/>
        <v>54.166666666666664</v>
      </c>
      <c r="P177" s="10">
        <v>0</v>
      </c>
      <c r="Q177" s="10">
        <v>0</v>
      </c>
      <c r="R177" s="10">
        <v>0</v>
      </c>
      <c r="S177" s="10">
        <f t="shared" si="44"/>
        <v>2866.6666666666665</v>
      </c>
      <c r="T177" s="10">
        <f t="shared" si="45"/>
        <v>34400</v>
      </c>
    </row>
    <row r="178" spans="1:20" s="8" customFormat="1" ht="20.100000000000001" customHeight="1" x14ac:dyDescent="0.2">
      <c r="A178" s="9">
        <f t="shared" si="46"/>
        <v>175</v>
      </c>
      <c r="B178" s="9">
        <v>1215</v>
      </c>
      <c r="C178" s="9" t="str">
        <f>VLOOKUP(B178,'[1]اسماء الموظفين'!$B$8:$O$501,2,0)</f>
        <v>سكينة ناجي منصور الحرز</v>
      </c>
      <c r="D178" s="9" t="str">
        <f>VLOOKUP(B178,'[1]اسماء الموظفين'!$B$8:$O$501,4,0)</f>
        <v>سعودي</v>
      </c>
      <c r="E178" s="9" t="str">
        <f>VLOOKUP(B178,'[2]المقيمين النشطين'!$B$2:$Q$980,15,0)</f>
        <v>شركة ريال البركة للتجارة</v>
      </c>
      <c r="F178" s="9" t="str">
        <f>VLOOKUP(B178,'[1]اسماء الموظفين'!$B$8:$O$501,11,0)</f>
        <v>العنود</v>
      </c>
      <c r="G178" s="11">
        <f>VLOOKUP(B178,'[3]رواتب الموظفين 2022'!$B$9:$J$1019,9,0)</f>
        <v>4300</v>
      </c>
      <c r="H178" s="11">
        <f>VLOOKUP(B178,'[3]رواتب الموظفين 2022'!$B$9:$E$438,4,0)*12.25%</f>
        <v>490</v>
      </c>
      <c r="I178" s="11"/>
      <c r="J178" s="11">
        <v>0</v>
      </c>
      <c r="K178" s="11">
        <f t="shared" si="47"/>
        <v>250.83333333333334</v>
      </c>
      <c r="L178" s="11">
        <f t="shared" si="48"/>
        <v>179.16666666666666</v>
      </c>
      <c r="M178" s="11">
        <v>0</v>
      </c>
      <c r="N178" s="8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f t="shared" si="44"/>
        <v>5220</v>
      </c>
      <c r="T178" s="10">
        <f t="shared" si="45"/>
        <v>62640</v>
      </c>
    </row>
    <row r="179" spans="1:20" s="8" customFormat="1" ht="20.100000000000001" customHeight="1" x14ac:dyDescent="0.2">
      <c r="A179" s="9">
        <f t="shared" si="46"/>
        <v>176</v>
      </c>
      <c r="B179" s="9">
        <v>1216</v>
      </c>
      <c r="C179" s="9" t="str">
        <f>VLOOKUP(B179,'[1]اسماء الموظفين'!$B$8:$O$501,2,0)</f>
        <v>بسمه محمد يحيى هارون</v>
      </c>
      <c r="D179" s="9" t="str">
        <f>VLOOKUP(B179,'[1]اسماء الموظفين'!$B$8:$O$501,4,0)</f>
        <v>سعودي</v>
      </c>
      <c r="E179" s="9" t="str">
        <f>VLOOKUP(B179,'[2]المقيمين النشطين'!$B$2:$Q$980,15,0)</f>
        <v>مؤسسة عبدالرحمن سلطان عبدالرحمن الرزيحي للتجارة</v>
      </c>
      <c r="F179" s="9" t="str">
        <f>VLOOKUP(B179,'[1]اسماء الموظفين'!$B$8:$O$501,11,0)</f>
        <v>الشفا</v>
      </c>
      <c r="G179" s="11">
        <f>VLOOKUP(B179,'[3]رواتب الموظفين 2022'!$B$9:$J$1019,9,0)</f>
        <v>4000</v>
      </c>
      <c r="H179" s="11">
        <f>VLOOKUP(B179,'[3]رواتب الموظفين 2022'!$B$9:$E$438,4,0)*12.25%</f>
        <v>490</v>
      </c>
      <c r="I179" s="11"/>
      <c r="J179" s="11">
        <f>964/12</f>
        <v>80.333333333333329</v>
      </c>
      <c r="K179" s="11">
        <f t="shared" si="47"/>
        <v>233.33333333333334</v>
      </c>
      <c r="L179" s="11">
        <f t="shared" si="48"/>
        <v>166.66666666666666</v>
      </c>
      <c r="M179" s="11">
        <v>0</v>
      </c>
      <c r="N179" s="8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f t="shared" si="44"/>
        <v>4970.333333333333</v>
      </c>
      <c r="T179" s="10">
        <f t="shared" si="45"/>
        <v>59644</v>
      </c>
    </row>
    <row r="180" spans="1:20" s="8" customFormat="1" ht="20.100000000000001" customHeight="1" x14ac:dyDescent="0.2">
      <c r="A180" s="9">
        <f t="shared" si="46"/>
        <v>177</v>
      </c>
      <c r="B180" s="9">
        <v>1217</v>
      </c>
      <c r="C180" s="9" t="str">
        <f>VLOOKUP(B180,'[1]اسماء الموظفين'!$B$8:$O$501,2,0)</f>
        <v>وعد محمد سعد الدليل الدوسري</v>
      </c>
      <c r="D180" s="9" t="str">
        <f>VLOOKUP(B180,'[1]اسماء الموظفين'!$B$8:$O$501,4,0)</f>
        <v>سعودي</v>
      </c>
      <c r="E180" s="9" t="str">
        <f>VLOOKUP(B180,'[2]المقيمين النشطين'!$B$2:$Q$980,15,0)</f>
        <v>مؤسسة عبدالرحمن سلطان عبدالرحمن الرزيحي للتجارة</v>
      </c>
      <c r="F180" s="9" t="str">
        <f>VLOOKUP(B180,'[1]اسماء الموظفين'!$B$8:$O$501,11,0)</f>
        <v>الشفا</v>
      </c>
      <c r="G180" s="11">
        <f>VLOOKUP(B180,'[3]رواتب الموظفين 2022'!$B$9:$J$1019,9,0)</f>
        <v>4000</v>
      </c>
      <c r="H180" s="11">
        <f>VLOOKUP(B180,'[3]رواتب الموظفين 2022'!$B$9:$E$438,4,0)*12.25%</f>
        <v>490</v>
      </c>
      <c r="I180" s="11"/>
      <c r="J180" s="11">
        <v>0</v>
      </c>
      <c r="K180" s="11">
        <f t="shared" si="47"/>
        <v>233.33333333333334</v>
      </c>
      <c r="L180" s="11">
        <f t="shared" si="48"/>
        <v>166.66666666666666</v>
      </c>
      <c r="M180" s="11">
        <v>0</v>
      </c>
      <c r="N180" s="8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f t="shared" si="44"/>
        <v>4890</v>
      </c>
      <c r="T180" s="10">
        <f t="shared" si="45"/>
        <v>58680</v>
      </c>
    </row>
    <row r="181" spans="1:20" s="8" customFormat="1" ht="20.100000000000001" customHeight="1" x14ac:dyDescent="0.2">
      <c r="A181" s="9">
        <f t="shared" si="46"/>
        <v>178</v>
      </c>
      <c r="B181" s="9">
        <v>1218</v>
      </c>
      <c r="C181" s="9" t="str">
        <f>VLOOKUP(B181,'[1]اسماء الموظفين'!$B$8:$O$501,2,0)</f>
        <v>كليم حسين أي بي رشيد</v>
      </c>
      <c r="D181" s="9" t="str">
        <f>VLOOKUP(B181,'[1]اسماء الموظفين'!$B$8:$O$501,4,0)</f>
        <v>بنجلاديش</v>
      </c>
      <c r="E181" s="9" t="str">
        <f>VLOOKUP(B181,'[2]المقيمين النشطين'!$B$2:$Q$980,15,0)</f>
        <v>مؤسسة سلطان عبدالرحمن صالح الرزيحي للتجارة</v>
      </c>
      <c r="F181" s="9" t="str">
        <f>VLOOKUP(B181,'[1]اسماء الموظفين'!$B$8:$O$501,11,0)</f>
        <v>هاينس</v>
      </c>
      <c r="G181" s="11">
        <f>VLOOKUP(B181,'[3]رواتب الموظفين 2022'!$B$9:$J$1019,9,0)</f>
        <v>1600</v>
      </c>
      <c r="H181" s="11">
        <f>VLOOKUP(B181,'[3]رواتب الموظفين 2022'!$B$9:$E$438,4,0)*2%</f>
        <v>24</v>
      </c>
      <c r="I181" s="11">
        <f t="shared" ref="I181:I186" si="56">384.43/12</f>
        <v>32.035833333333336</v>
      </c>
      <c r="J181" s="11">
        <f>1251.55/12</f>
        <v>104.29583333333333</v>
      </c>
      <c r="K181" s="11">
        <f t="shared" si="47"/>
        <v>93.333333333333329</v>
      </c>
      <c r="L181" s="11">
        <f t="shared" si="48"/>
        <v>66.666666666666671</v>
      </c>
      <c r="M181" s="11">
        <f>1800/24</f>
        <v>75</v>
      </c>
      <c r="N181" s="8">
        <f>2000/12</f>
        <v>166.66666666666666</v>
      </c>
      <c r="O181" s="10">
        <f>650/12</f>
        <v>54.166666666666664</v>
      </c>
      <c r="P181" s="10">
        <f>9700/12</f>
        <v>808.33333333333337</v>
      </c>
      <c r="Q181" s="10">
        <f>VLOOKUP(B181,[4]بيان!$B$6:$G$112,4,0)</f>
        <v>92.594444444444449</v>
      </c>
      <c r="R181" s="10">
        <f>$K$329</f>
        <v>739.31702574525752</v>
      </c>
      <c r="S181" s="10">
        <f t="shared" si="44"/>
        <v>3856.4098035230354</v>
      </c>
      <c r="T181" s="10">
        <f t="shared" si="45"/>
        <v>46276.917642276429</v>
      </c>
    </row>
    <row r="182" spans="1:20" s="8" customFormat="1" ht="20.100000000000001" customHeight="1" x14ac:dyDescent="0.2">
      <c r="A182" s="9">
        <f t="shared" si="46"/>
        <v>179</v>
      </c>
      <c r="B182" s="9">
        <v>1219</v>
      </c>
      <c r="C182" s="9" t="str">
        <f>VLOOKUP(B182,'[1]اسماء الموظفين'!$B$8:$O$501,2,0)</f>
        <v>جايد حسن</v>
      </c>
      <c r="D182" s="9" t="str">
        <f>VLOOKUP(B182,'[1]اسماء الموظفين'!$B$8:$O$501,4,0)</f>
        <v>بنجلاديش</v>
      </c>
      <c r="E182" s="9" t="str">
        <f>VLOOKUP(B182,'[2]المقيمين النشطين'!$B$2:$Q$980,15,0)</f>
        <v>مؤسسة سلطان عبدالرحمن صالح الرزيحي للتجارة</v>
      </c>
      <c r="F182" s="9" t="str">
        <f>VLOOKUP(B182,'[1]اسماء الموظفين'!$B$8:$O$501,11,0)</f>
        <v>هاينس</v>
      </c>
      <c r="G182" s="11">
        <f>VLOOKUP(B182,'[3]رواتب الموظفين 2022'!$B$9:$J$1019,9,0)</f>
        <v>1600</v>
      </c>
      <c r="H182" s="11">
        <f>VLOOKUP(B182,'[3]رواتب الموظفين 2022'!$B$9:$E$438,4,0)*2%</f>
        <v>24</v>
      </c>
      <c r="I182" s="11">
        <f t="shared" si="56"/>
        <v>32.035833333333336</v>
      </c>
      <c r="J182" s="11">
        <f>1251.55/12</f>
        <v>104.29583333333333</v>
      </c>
      <c r="K182" s="11">
        <f t="shared" si="47"/>
        <v>93.333333333333329</v>
      </c>
      <c r="L182" s="11">
        <f t="shared" si="48"/>
        <v>66.666666666666671</v>
      </c>
      <c r="M182" s="11">
        <f>1800/24</f>
        <v>75</v>
      </c>
      <c r="N182" s="8">
        <f>2000/12</f>
        <v>166.66666666666666</v>
      </c>
      <c r="O182" s="10">
        <f>650/12</f>
        <v>54.166666666666664</v>
      </c>
      <c r="P182" s="10">
        <f>9700/12</f>
        <v>808.33333333333337</v>
      </c>
      <c r="Q182" s="10">
        <f>VLOOKUP(B182,[4]بيان!$B$6:$G$112,4,0)</f>
        <v>92.594444444444449</v>
      </c>
      <c r="R182" s="10">
        <f>$K$329</f>
        <v>739.31702574525752</v>
      </c>
      <c r="S182" s="10">
        <f t="shared" si="44"/>
        <v>3856.4098035230354</v>
      </c>
      <c r="T182" s="10">
        <f t="shared" si="45"/>
        <v>46276.917642276429</v>
      </c>
    </row>
    <row r="183" spans="1:20" s="8" customFormat="1" ht="20.100000000000001" customHeight="1" x14ac:dyDescent="0.2">
      <c r="A183" s="9">
        <f t="shared" si="46"/>
        <v>180</v>
      </c>
      <c r="B183" s="9">
        <v>1220</v>
      </c>
      <c r="C183" s="9" t="str">
        <f>VLOOKUP(B183,'[1]اسماء الموظفين'!$B$8:$O$501,2,0)</f>
        <v>مد جمال أوسين</v>
      </c>
      <c r="D183" s="9" t="str">
        <f>VLOOKUP(B183,'[1]اسماء الموظفين'!$B$8:$O$501,4,0)</f>
        <v>بنجلاديش</v>
      </c>
      <c r="E183" s="9" t="str">
        <f>VLOOKUP(B183,'[2]المقيمين النشطين'!$B$2:$Q$980,15,0)</f>
        <v>مؤسسة سلطان عبدالرحمن صالح الرزيحي للتجارة</v>
      </c>
      <c r="F183" s="9" t="str">
        <f>VLOOKUP(B183,'[1]اسماء الموظفين'!$B$8:$O$501,11,0)</f>
        <v>هاينس</v>
      </c>
      <c r="G183" s="11">
        <f>VLOOKUP(B183,'[3]رواتب الموظفين 2022'!$B$9:$J$1019,9,0)</f>
        <v>1600</v>
      </c>
      <c r="H183" s="11">
        <f>VLOOKUP(B183,'[3]رواتب الموظفين 2022'!$B$9:$E$438,4,0)*2%</f>
        <v>24</v>
      </c>
      <c r="I183" s="11">
        <f t="shared" si="56"/>
        <v>32.035833333333336</v>
      </c>
      <c r="J183" s="11">
        <f>1251.55/12</f>
        <v>104.29583333333333</v>
      </c>
      <c r="K183" s="11">
        <f t="shared" si="47"/>
        <v>93.333333333333329</v>
      </c>
      <c r="L183" s="11">
        <f t="shared" si="48"/>
        <v>66.666666666666671</v>
      </c>
      <c r="M183" s="11">
        <f>1800/24</f>
        <v>75</v>
      </c>
      <c r="N183" s="8">
        <f>2000/12</f>
        <v>166.66666666666666</v>
      </c>
      <c r="O183" s="10">
        <f>650/12</f>
        <v>54.166666666666664</v>
      </c>
      <c r="P183" s="10">
        <f>9700/12</f>
        <v>808.33333333333337</v>
      </c>
      <c r="Q183" s="10">
        <f>VLOOKUP(B183,[4]بيان!$B$6:$G$112,4,0)</f>
        <v>92.594444444444449</v>
      </c>
      <c r="R183" s="10">
        <f>$K$329</f>
        <v>739.31702574525752</v>
      </c>
      <c r="S183" s="10">
        <f t="shared" si="44"/>
        <v>3856.4098035230354</v>
      </c>
      <c r="T183" s="10">
        <f t="shared" si="45"/>
        <v>46276.917642276429</v>
      </c>
    </row>
    <row r="184" spans="1:20" s="8" customFormat="1" ht="20.100000000000001" customHeight="1" x14ac:dyDescent="0.2">
      <c r="A184" s="9">
        <f t="shared" si="46"/>
        <v>181</v>
      </c>
      <c r="B184" s="9">
        <v>1221</v>
      </c>
      <c r="C184" s="9" t="str">
        <f>VLOOKUP(B184,'[1]اسماء الموظفين'!$B$8:$O$501,2,0)</f>
        <v>محمد طارق مد مياه</v>
      </c>
      <c r="D184" s="9" t="str">
        <f>VLOOKUP(B184,'[1]اسماء الموظفين'!$B$8:$O$501,4,0)</f>
        <v>بنجلاديش</v>
      </c>
      <c r="E184" s="9" t="str">
        <f>VLOOKUP(B184,'[2]المقيمين النشطين'!$B$2:$Q$980,15,0)</f>
        <v>مؤسسة سلطان عبدالرحمن صالح الرزيحي للتجارة</v>
      </c>
      <c r="F184" s="9" t="str">
        <f>VLOOKUP(B184,'[1]اسماء الموظفين'!$B$8:$O$501,11,0)</f>
        <v>هاينس</v>
      </c>
      <c r="G184" s="11">
        <f>VLOOKUP(B184,'[3]رواتب الموظفين 2022'!$B$9:$J$1019,9,0)</f>
        <v>1600</v>
      </c>
      <c r="H184" s="11">
        <f>VLOOKUP(B184,'[3]رواتب الموظفين 2022'!$B$9:$E$438,4,0)*2%</f>
        <v>24</v>
      </c>
      <c r="I184" s="11">
        <f t="shared" si="56"/>
        <v>32.035833333333336</v>
      </c>
      <c r="J184" s="11">
        <f>1251.55/12</f>
        <v>104.29583333333333</v>
      </c>
      <c r="K184" s="11">
        <f t="shared" si="47"/>
        <v>93.333333333333329</v>
      </c>
      <c r="L184" s="11">
        <f t="shared" si="48"/>
        <v>66.666666666666671</v>
      </c>
      <c r="M184" s="11">
        <f>1800/24</f>
        <v>75</v>
      </c>
      <c r="N184" s="8">
        <f>2000/12</f>
        <v>166.66666666666666</v>
      </c>
      <c r="O184" s="10">
        <f>650/12</f>
        <v>54.166666666666664</v>
      </c>
      <c r="P184" s="10">
        <f>9700/12</f>
        <v>808.33333333333337</v>
      </c>
      <c r="Q184" s="10">
        <f>VLOOKUP(B184,[4]بيان!$B$6:$G$112,4,0)</f>
        <v>92.594444444444449</v>
      </c>
      <c r="R184" s="10">
        <f>$K$329</f>
        <v>739.31702574525752</v>
      </c>
      <c r="S184" s="10">
        <f t="shared" si="44"/>
        <v>3856.4098035230354</v>
      </c>
      <c r="T184" s="10">
        <f t="shared" si="45"/>
        <v>46276.917642276429</v>
      </c>
    </row>
    <row r="185" spans="1:20" s="8" customFormat="1" ht="20.100000000000001" customHeight="1" x14ac:dyDescent="0.2">
      <c r="A185" s="9">
        <f t="shared" si="46"/>
        <v>182</v>
      </c>
      <c r="B185" s="9">
        <v>1222</v>
      </c>
      <c r="C185" s="9" t="str">
        <f>VLOOKUP(B185,'[1]اسماء الموظفين'!$B$8:$O$501,2,0)</f>
        <v>رافت رافت حسين حسين</v>
      </c>
      <c r="D185" s="9" t="str">
        <f>VLOOKUP(B185,'[1]اسماء الموظفين'!$B$8:$O$501,4,0)</f>
        <v>بنجلاديش</v>
      </c>
      <c r="E185" s="9" t="str">
        <f>VLOOKUP(B185,'[2]المقيمين النشطين'!$B$2:$Q$980,15,0)</f>
        <v>مؤسسة سلطان عبدالرحمن صالح الرزيحي للتجارة</v>
      </c>
      <c r="F185" s="9" t="str">
        <f>VLOOKUP(B185,'[1]اسماء الموظفين'!$B$8:$O$501,11,0)</f>
        <v>هاينس</v>
      </c>
      <c r="G185" s="11">
        <f>VLOOKUP(B185,'[3]رواتب الموظفين 2022'!$B$9:$J$1019,9,0)</f>
        <v>1600</v>
      </c>
      <c r="H185" s="11">
        <f>VLOOKUP(B185,'[3]رواتب الموظفين 2022'!$B$9:$E$438,4,0)*2%</f>
        <v>24</v>
      </c>
      <c r="I185" s="11">
        <f t="shared" si="56"/>
        <v>32.035833333333336</v>
      </c>
      <c r="J185" s="11">
        <f>1251.55/12</f>
        <v>104.29583333333333</v>
      </c>
      <c r="K185" s="11">
        <f t="shared" si="47"/>
        <v>93.333333333333329</v>
      </c>
      <c r="L185" s="11">
        <f t="shared" si="48"/>
        <v>66.666666666666671</v>
      </c>
      <c r="M185" s="11">
        <f>1800/24</f>
        <v>75</v>
      </c>
      <c r="N185" s="8">
        <f>2000/12</f>
        <v>166.66666666666666</v>
      </c>
      <c r="O185" s="10">
        <f>650/12</f>
        <v>54.166666666666664</v>
      </c>
      <c r="P185" s="10">
        <f>9700/12</f>
        <v>808.33333333333337</v>
      </c>
      <c r="Q185" s="10">
        <f>VLOOKUP(B185,[4]بيان!$B$6:$G$112,4,0)</f>
        <v>92.594444444444449</v>
      </c>
      <c r="R185" s="10">
        <f>$K$329</f>
        <v>739.31702574525752</v>
      </c>
      <c r="S185" s="10">
        <f t="shared" si="44"/>
        <v>3856.4098035230354</v>
      </c>
      <c r="T185" s="10">
        <f t="shared" si="45"/>
        <v>46276.917642276429</v>
      </c>
    </row>
    <row r="186" spans="1:20" s="8" customFormat="1" ht="20.100000000000001" customHeight="1" x14ac:dyDescent="0.2">
      <c r="A186" s="9">
        <f t="shared" si="46"/>
        <v>183</v>
      </c>
      <c r="B186" s="9">
        <v>1223</v>
      </c>
      <c r="C186" s="9" t="str">
        <f>VLOOKUP(B186,'[1]اسماء الموظفين'!$B$8:$O$501,2,0)</f>
        <v>عبدالعزيز عبدالواحد لطف الشلفي</v>
      </c>
      <c r="D186" s="9" t="str">
        <f>VLOOKUP(B186,'[1]اسماء الموظفين'!$B$8:$O$501,4,0)</f>
        <v>اليمن</v>
      </c>
      <c r="E186" s="9" t="str">
        <f>VLOOKUP(B186,'[2]المقيمين النشطين'!$B$2:$Q$980,15,0)</f>
        <v>نوف سلطان عبدالرحمن الرزيحي</v>
      </c>
      <c r="F186" s="9" t="str">
        <f>VLOOKUP(B186,'[1]اسماء الموظفين'!$B$8:$O$501,11,0)</f>
        <v>هاينس</v>
      </c>
      <c r="G186" s="11">
        <f>VLOOKUP(B186,'[3]رواتب الموظفين 2022'!$B$9:$J$1019,9,0)</f>
        <v>2300</v>
      </c>
      <c r="H186" s="11">
        <v>0</v>
      </c>
      <c r="I186" s="11">
        <f t="shared" si="56"/>
        <v>32.035833333333336</v>
      </c>
      <c r="J186" s="11">
        <v>0</v>
      </c>
      <c r="K186" s="11">
        <f t="shared" si="47"/>
        <v>134.16666666666666</v>
      </c>
      <c r="L186" s="11">
        <f t="shared" si="48"/>
        <v>95.833333333333329</v>
      </c>
      <c r="M186" s="11">
        <f>1500/24</f>
        <v>62.5</v>
      </c>
      <c r="N186" s="8">
        <v>0</v>
      </c>
      <c r="O186" s="10">
        <f>600/12</f>
        <v>50</v>
      </c>
      <c r="P186" s="10">
        <v>0</v>
      </c>
      <c r="Q186" s="10">
        <f>VLOOKUP(B186,[4]بيان!$B$6:$G$112,4,0)</f>
        <v>92.594444444444449</v>
      </c>
      <c r="R186" s="10">
        <v>0</v>
      </c>
      <c r="S186" s="10">
        <f t="shared" si="44"/>
        <v>2767.1302777777778</v>
      </c>
      <c r="T186" s="10">
        <f t="shared" si="45"/>
        <v>33205.563333333332</v>
      </c>
    </row>
    <row r="187" spans="1:20" s="8" customFormat="1" ht="20.100000000000001" customHeight="1" x14ac:dyDescent="0.2">
      <c r="A187" s="9">
        <f t="shared" si="46"/>
        <v>184</v>
      </c>
      <c r="B187" s="9">
        <v>1225</v>
      </c>
      <c r="C187" s="9" t="str">
        <f>VLOOKUP(B187,'[1]اسماء الموظفين'!$B$8:$O$501,2,0)</f>
        <v>غيداء سليمان صالح المريشد</v>
      </c>
      <c r="D187" s="9" t="str">
        <f>VLOOKUP(B187,'[1]اسماء الموظفين'!$B$8:$O$501,4,0)</f>
        <v>سعودي</v>
      </c>
      <c r="E187" s="9" t="str">
        <f>VLOOKUP(B187,'[2]المقيمين النشطين'!$B$2:$Q$980,15,0)</f>
        <v>تحت التجربة</v>
      </c>
      <c r="F187" s="9" t="str">
        <f>VLOOKUP(B187,'[1]اسماء الموظفين'!$B$8:$O$501,11,0)</f>
        <v>وكالة ممكن</v>
      </c>
      <c r="G187" s="11">
        <f>VLOOKUP(B187,'[3]رواتب الموظفين 2022'!$B$9:$J$1019,9,0)</f>
        <v>2000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8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f t="shared" si="44"/>
        <v>2000</v>
      </c>
      <c r="T187" s="10">
        <f t="shared" si="45"/>
        <v>24000</v>
      </c>
    </row>
    <row r="188" spans="1:20" s="8" customFormat="1" ht="20.100000000000001" customHeight="1" x14ac:dyDescent="0.2">
      <c r="A188" s="9">
        <f t="shared" si="46"/>
        <v>185</v>
      </c>
      <c r="B188" s="9">
        <v>1226</v>
      </c>
      <c r="C188" s="9" t="str">
        <f>VLOOKUP(B188,'[1]اسماء الموظفين'!$B$8:$O$501,2,0)</f>
        <v xml:space="preserve">محمد المبارك ( أبو سامي) </v>
      </c>
      <c r="D188" s="9" t="str">
        <f>VLOOKUP(B188,'[1]اسماء الموظفين'!$B$8:$O$501,4,0)</f>
        <v>سعودي</v>
      </c>
      <c r="E188" s="9" t="str">
        <f>VLOOKUP(B188,'[2]المقيمين النشطين'!$B$2:$Q$980,15,0)</f>
        <v>شريك</v>
      </c>
      <c r="F188" s="9" t="str">
        <f>VLOOKUP(B188,'[1]اسماء الموظفين'!$B$8:$O$501,11,0)</f>
        <v>الشفا</v>
      </c>
      <c r="G188" s="11">
        <f>VLOOKUP(B188,'[3]رواتب الموظفين 2022'!$B$9:$J$1019,9,0)</f>
        <v>5000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8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f t="shared" si="44"/>
        <v>5000</v>
      </c>
      <c r="T188" s="10">
        <f t="shared" si="45"/>
        <v>60000</v>
      </c>
    </row>
    <row r="189" spans="1:20" s="8" customFormat="1" ht="20.100000000000001" customHeight="1" x14ac:dyDescent="0.2">
      <c r="A189" s="9">
        <f t="shared" si="46"/>
        <v>186</v>
      </c>
      <c r="B189" s="9">
        <v>1227</v>
      </c>
      <c r="C189" s="9" t="str">
        <f>VLOOKUP(B189,'[1]اسماء الموظفين'!$B$8:$O$501,2,0)</f>
        <v>محمد ريدوري</v>
      </c>
      <c r="D189" s="9" t="str">
        <f>VLOOKUP(B189,'[1]اسماء الموظفين'!$B$8:$O$501,4,0)</f>
        <v>بنجلاديش</v>
      </c>
      <c r="E189" s="9" t="str">
        <f>VLOOKUP(B189,'[2]المقيمين النشطين'!$B$2:$Q$980,15,0)</f>
        <v>مؤسسة سلطان عبدالرحمن صالح الرزيحي للتجارة</v>
      </c>
      <c r="F189" s="9" t="str">
        <f>VLOOKUP(B189,'[1]اسماء الموظفين'!$B$8:$O$501,11,0)</f>
        <v>النسيم 2</v>
      </c>
      <c r="G189" s="11">
        <f>VLOOKUP(B189,'[3]رواتب الموظفين 2022'!$B$9:$J$1019,9,0)</f>
        <v>1600</v>
      </c>
      <c r="H189" s="11">
        <f>VLOOKUP(B189,'[3]رواتب الموظفين 2022'!$B$9:$E$438,4,0)*2%</f>
        <v>24</v>
      </c>
      <c r="I189" s="11">
        <f t="shared" ref="I189:I195" si="57">384.43/12</f>
        <v>32.035833333333336</v>
      </c>
      <c r="J189" s="11">
        <f t="shared" ref="J189:J195" si="58">1251.55/12</f>
        <v>104.29583333333333</v>
      </c>
      <c r="K189" s="11">
        <f t="shared" ref="K189:K203" si="59">G189/30*21/12</f>
        <v>93.333333333333329</v>
      </c>
      <c r="L189" s="11">
        <f t="shared" ref="L189:L203" si="60">G189/2/12</f>
        <v>66.666666666666671</v>
      </c>
      <c r="M189" s="11">
        <f t="shared" ref="M189:M195" si="61">1800/24</f>
        <v>75</v>
      </c>
      <c r="N189" s="8">
        <f t="shared" ref="N189:N195" si="62">2000/12</f>
        <v>166.66666666666666</v>
      </c>
      <c r="O189" s="10">
        <f t="shared" ref="O189:O195" si="63">650/12</f>
        <v>54.166666666666664</v>
      </c>
      <c r="P189" s="10">
        <f t="shared" ref="P189:P195" si="64">9700/12</f>
        <v>808.33333333333337</v>
      </c>
      <c r="Q189" s="10">
        <f>VLOOKUP(B189,[4]بيان!$B$6:$G$112,4,0)</f>
        <v>92.594444444444449</v>
      </c>
      <c r="R189" s="10">
        <f t="shared" ref="R189:R195" si="65">$K$329</f>
        <v>739.31702574525752</v>
      </c>
      <c r="S189" s="10">
        <f t="shared" si="44"/>
        <v>3856.4098035230354</v>
      </c>
      <c r="T189" s="10">
        <f t="shared" si="45"/>
        <v>46276.917642276429</v>
      </c>
    </row>
    <row r="190" spans="1:20" s="8" customFormat="1" ht="20.100000000000001" customHeight="1" x14ac:dyDescent="0.2">
      <c r="A190" s="9">
        <f t="shared" si="46"/>
        <v>187</v>
      </c>
      <c r="B190" s="9">
        <v>1228</v>
      </c>
      <c r="C190" s="9" t="str">
        <f>VLOOKUP(B190,'[1]اسماء الموظفين'!$B$8:$O$501,2,0)</f>
        <v>مد تان</v>
      </c>
      <c r="D190" s="9" t="str">
        <f>VLOOKUP(B190,'[1]اسماء الموظفين'!$B$8:$O$501,4,0)</f>
        <v>بنجلاديش</v>
      </c>
      <c r="E190" s="9" t="str">
        <f>VLOOKUP(B190,'[2]المقيمين النشطين'!$B$2:$Q$980,15,0)</f>
        <v>مؤسسة سلطان عبدالرحمن صالح الرزيحي للتجارة</v>
      </c>
      <c r="F190" s="9" t="str">
        <f>VLOOKUP(B190,'[1]اسماء الموظفين'!$B$8:$O$501,11,0)</f>
        <v>هاينس</v>
      </c>
      <c r="G190" s="11">
        <f>VLOOKUP(B190,'[3]رواتب الموظفين 2022'!$B$9:$J$1019,9,0)</f>
        <v>1600</v>
      </c>
      <c r="H190" s="11">
        <f>VLOOKUP(B190,'[3]رواتب الموظفين 2022'!$B$9:$E$438,4,0)*2%</f>
        <v>24</v>
      </c>
      <c r="I190" s="11">
        <f t="shared" si="57"/>
        <v>32.035833333333336</v>
      </c>
      <c r="J190" s="11">
        <f t="shared" si="58"/>
        <v>104.29583333333333</v>
      </c>
      <c r="K190" s="11">
        <f t="shared" si="59"/>
        <v>93.333333333333329</v>
      </c>
      <c r="L190" s="11">
        <f t="shared" si="60"/>
        <v>66.666666666666671</v>
      </c>
      <c r="M190" s="11">
        <f t="shared" si="61"/>
        <v>75</v>
      </c>
      <c r="N190" s="8">
        <f t="shared" si="62"/>
        <v>166.66666666666666</v>
      </c>
      <c r="O190" s="10">
        <f t="shared" si="63"/>
        <v>54.166666666666664</v>
      </c>
      <c r="P190" s="10">
        <f t="shared" si="64"/>
        <v>808.33333333333337</v>
      </c>
      <c r="Q190" s="10">
        <f>VLOOKUP(B190,[4]بيان!$B$6:$G$112,4,0)</f>
        <v>92.594444444444449</v>
      </c>
      <c r="R190" s="10">
        <f t="shared" si="65"/>
        <v>739.31702574525752</v>
      </c>
      <c r="S190" s="10">
        <f t="shared" si="44"/>
        <v>3856.4098035230354</v>
      </c>
      <c r="T190" s="10">
        <f t="shared" si="45"/>
        <v>46276.917642276429</v>
      </c>
    </row>
    <row r="191" spans="1:20" s="8" customFormat="1" ht="20.100000000000001" customHeight="1" x14ac:dyDescent="0.2">
      <c r="A191" s="9">
        <f t="shared" si="46"/>
        <v>188</v>
      </c>
      <c r="B191" s="9">
        <v>1229</v>
      </c>
      <c r="C191" s="9" t="str">
        <f>VLOOKUP(B191,'[1]اسماء الموظفين'!$B$8:$O$501,2,0)</f>
        <v>عريف الرحمن</v>
      </c>
      <c r="D191" s="9" t="str">
        <f>VLOOKUP(B191,'[1]اسماء الموظفين'!$B$8:$O$501,4,0)</f>
        <v>بنجلاديش</v>
      </c>
      <c r="E191" s="9" t="str">
        <f>VLOOKUP(B191,'[2]المقيمين النشطين'!$B$2:$Q$980,15,0)</f>
        <v>مؤسسة سلطان عبدالرحمن صالح الرزيحي للتجارة</v>
      </c>
      <c r="F191" s="9" t="str">
        <f>VLOOKUP(B191,'[1]اسماء الموظفين'!$B$8:$O$501,11,0)</f>
        <v>هاينس</v>
      </c>
      <c r="G191" s="11">
        <f>VLOOKUP(B191,'[3]رواتب الموظفين 2022'!$B$9:$J$1019,9,0)</f>
        <v>1600</v>
      </c>
      <c r="H191" s="11">
        <f>VLOOKUP(B191,'[3]رواتب الموظفين 2022'!$B$9:$E$438,4,0)*2%</f>
        <v>24</v>
      </c>
      <c r="I191" s="11">
        <f t="shared" si="57"/>
        <v>32.035833333333336</v>
      </c>
      <c r="J191" s="11">
        <f t="shared" si="58"/>
        <v>104.29583333333333</v>
      </c>
      <c r="K191" s="11">
        <f t="shared" si="59"/>
        <v>93.333333333333329</v>
      </c>
      <c r="L191" s="11">
        <f t="shared" si="60"/>
        <v>66.666666666666671</v>
      </c>
      <c r="M191" s="11">
        <f t="shared" si="61"/>
        <v>75</v>
      </c>
      <c r="N191" s="8">
        <f t="shared" si="62"/>
        <v>166.66666666666666</v>
      </c>
      <c r="O191" s="10">
        <f t="shared" si="63"/>
        <v>54.166666666666664</v>
      </c>
      <c r="P191" s="10">
        <f t="shared" si="64"/>
        <v>808.33333333333337</v>
      </c>
      <c r="Q191" s="10">
        <f>VLOOKUP(B191,[4]بيان!$B$6:$G$112,4,0)</f>
        <v>92.594444444444449</v>
      </c>
      <c r="R191" s="10">
        <f t="shared" si="65"/>
        <v>739.31702574525752</v>
      </c>
      <c r="S191" s="10">
        <f t="shared" si="44"/>
        <v>3856.4098035230354</v>
      </c>
      <c r="T191" s="10">
        <f t="shared" si="45"/>
        <v>46276.917642276429</v>
      </c>
    </row>
    <row r="192" spans="1:20" s="8" customFormat="1" ht="20.100000000000001" customHeight="1" x14ac:dyDescent="0.2">
      <c r="A192" s="9">
        <f t="shared" si="46"/>
        <v>189</v>
      </c>
      <c r="B192" s="9">
        <v>1230</v>
      </c>
      <c r="C192" s="9" t="str">
        <f>VLOOKUP(B192,'[1]اسماء الموظفين'!$B$8:$O$501,2,0)</f>
        <v>رياض أوسين</v>
      </c>
      <c r="D192" s="9" t="str">
        <f>VLOOKUP(B192,'[1]اسماء الموظفين'!$B$8:$O$501,4,0)</f>
        <v>بنجلاديش</v>
      </c>
      <c r="E192" s="9" t="str">
        <f>VLOOKUP(B192,'[2]المقيمين النشطين'!$B$2:$Q$980,15,0)</f>
        <v>مؤسسة سلطان عبدالرحمن صالح الرزيحي للتجارة</v>
      </c>
      <c r="F192" s="9" t="str">
        <f>VLOOKUP(B192,'[1]اسماء الموظفين'!$B$8:$O$501,11,0)</f>
        <v>هاينس</v>
      </c>
      <c r="G192" s="11">
        <f>VLOOKUP(B192,'[3]رواتب الموظفين 2022'!$B$9:$J$1019,9,0)</f>
        <v>1600</v>
      </c>
      <c r="H192" s="11">
        <f>VLOOKUP(B192,'[3]رواتب الموظفين 2022'!$B$9:$E$438,4,0)*2%</f>
        <v>24</v>
      </c>
      <c r="I192" s="11">
        <f t="shared" si="57"/>
        <v>32.035833333333336</v>
      </c>
      <c r="J192" s="11">
        <f t="shared" si="58"/>
        <v>104.29583333333333</v>
      </c>
      <c r="K192" s="11">
        <f t="shared" si="59"/>
        <v>93.333333333333329</v>
      </c>
      <c r="L192" s="11">
        <f t="shared" si="60"/>
        <v>66.666666666666671</v>
      </c>
      <c r="M192" s="11">
        <f t="shared" si="61"/>
        <v>75</v>
      </c>
      <c r="N192" s="8">
        <f t="shared" si="62"/>
        <v>166.66666666666666</v>
      </c>
      <c r="O192" s="10">
        <f t="shared" si="63"/>
        <v>54.166666666666664</v>
      </c>
      <c r="P192" s="10">
        <f t="shared" si="64"/>
        <v>808.33333333333337</v>
      </c>
      <c r="Q192" s="10">
        <f>VLOOKUP(B192,[4]بيان!$B$6:$G$112,4,0)</f>
        <v>92.594444444444449</v>
      </c>
      <c r="R192" s="10">
        <f t="shared" si="65"/>
        <v>739.31702574525752</v>
      </c>
      <c r="S192" s="10">
        <f t="shared" si="44"/>
        <v>3856.4098035230354</v>
      </c>
      <c r="T192" s="10">
        <f t="shared" si="45"/>
        <v>46276.917642276429</v>
      </c>
    </row>
    <row r="193" spans="1:20" s="8" customFormat="1" ht="20.100000000000001" customHeight="1" x14ac:dyDescent="0.2">
      <c r="A193" s="9">
        <f t="shared" si="46"/>
        <v>190</v>
      </c>
      <c r="B193" s="9">
        <v>1231</v>
      </c>
      <c r="C193" s="9" t="str">
        <f>VLOOKUP(B193,'[1]اسماء الموظفين'!$B$8:$O$501,2,0)</f>
        <v>يعقوب نبي</v>
      </c>
      <c r="D193" s="9" t="str">
        <f>VLOOKUP(B193,'[1]اسماء الموظفين'!$B$8:$O$501,4,0)</f>
        <v>بنجلاديش</v>
      </c>
      <c r="E193" s="9" t="str">
        <f>VLOOKUP(B193,'[2]المقيمين النشطين'!$B$2:$Q$980,15,0)</f>
        <v>مؤسسة سلطان عبدالرحمن صالح الرزيحي للتجارة</v>
      </c>
      <c r="F193" s="9" t="str">
        <f>VLOOKUP(B193,'[1]اسماء الموظفين'!$B$8:$O$501,11,0)</f>
        <v>هاينس</v>
      </c>
      <c r="G193" s="11">
        <f>VLOOKUP(B193,'[3]رواتب الموظفين 2022'!$B$9:$J$1019,9,0)</f>
        <v>1600</v>
      </c>
      <c r="H193" s="11">
        <f>VLOOKUP(B193,'[3]رواتب الموظفين 2022'!$B$9:$E$438,4,0)*2%</f>
        <v>24</v>
      </c>
      <c r="I193" s="11">
        <f t="shared" si="57"/>
        <v>32.035833333333336</v>
      </c>
      <c r="J193" s="11">
        <f t="shared" si="58"/>
        <v>104.29583333333333</v>
      </c>
      <c r="K193" s="11">
        <f t="shared" si="59"/>
        <v>93.333333333333329</v>
      </c>
      <c r="L193" s="11">
        <f t="shared" si="60"/>
        <v>66.666666666666671</v>
      </c>
      <c r="M193" s="11">
        <f t="shared" si="61"/>
        <v>75</v>
      </c>
      <c r="N193" s="8">
        <f t="shared" si="62"/>
        <v>166.66666666666666</v>
      </c>
      <c r="O193" s="10">
        <f t="shared" si="63"/>
        <v>54.166666666666664</v>
      </c>
      <c r="P193" s="10">
        <f t="shared" si="64"/>
        <v>808.33333333333337</v>
      </c>
      <c r="Q193" s="10">
        <f>VLOOKUP(B193,[4]بيان!$B$6:$G$112,4,0)</f>
        <v>92.594444444444449</v>
      </c>
      <c r="R193" s="10">
        <f t="shared" si="65"/>
        <v>739.31702574525752</v>
      </c>
      <c r="S193" s="10">
        <f t="shared" si="44"/>
        <v>3856.4098035230354</v>
      </c>
      <c r="T193" s="10">
        <f t="shared" si="45"/>
        <v>46276.917642276429</v>
      </c>
    </row>
    <row r="194" spans="1:20" s="8" customFormat="1" ht="20.100000000000001" customHeight="1" x14ac:dyDescent="0.2">
      <c r="A194" s="9">
        <f t="shared" si="46"/>
        <v>191</v>
      </c>
      <c r="B194" s="9">
        <v>1232</v>
      </c>
      <c r="C194" s="9" t="str">
        <f>VLOOKUP(B194,'[1]اسماء الموظفين'!$B$8:$O$501,2,0)</f>
        <v>مسعود علام</v>
      </c>
      <c r="D194" s="9" t="str">
        <f>VLOOKUP(B194,'[1]اسماء الموظفين'!$B$8:$O$501,4,0)</f>
        <v>بنجلاديش</v>
      </c>
      <c r="E194" s="9" t="str">
        <f>VLOOKUP(B194,'[2]المقيمين النشطين'!$B$2:$Q$980,15,0)</f>
        <v>مؤسسة سلطان عبدالرحمن صالح الرزيحي للتجارة</v>
      </c>
      <c r="F194" s="9" t="str">
        <f>VLOOKUP(B194,'[1]اسماء الموظفين'!$B$8:$O$501,11,0)</f>
        <v>هاينس</v>
      </c>
      <c r="G194" s="11">
        <f>VLOOKUP(B194,'[3]رواتب الموظفين 2022'!$B$9:$J$1019,9,0)</f>
        <v>1600</v>
      </c>
      <c r="H194" s="11">
        <f>VLOOKUP(B194,'[3]رواتب الموظفين 2022'!$B$9:$E$438,4,0)*2%</f>
        <v>24</v>
      </c>
      <c r="I194" s="11">
        <f t="shared" si="57"/>
        <v>32.035833333333336</v>
      </c>
      <c r="J194" s="11">
        <f t="shared" si="58"/>
        <v>104.29583333333333</v>
      </c>
      <c r="K194" s="11">
        <f t="shared" si="59"/>
        <v>93.333333333333329</v>
      </c>
      <c r="L194" s="11">
        <f t="shared" si="60"/>
        <v>66.666666666666671</v>
      </c>
      <c r="M194" s="11">
        <f t="shared" si="61"/>
        <v>75</v>
      </c>
      <c r="N194" s="8">
        <f t="shared" si="62"/>
        <v>166.66666666666666</v>
      </c>
      <c r="O194" s="10">
        <f t="shared" si="63"/>
        <v>54.166666666666664</v>
      </c>
      <c r="P194" s="10">
        <f t="shared" si="64"/>
        <v>808.33333333333337</v>
      </c>
      <c r="Q194" s="10">
        <f>VLOOKUP(B194,[4]بيان!$B$6:$G$112,4,0)</f>
        <v>92.594444444444449</v>
      </c>
      <c r="R194" s="10">
        <f t="shared" si="65"/>
        <v>739.31702574525752</v>
      </c>
      <c r="S194" s="10">
        <f t="shared" si="44"/>
        <v>3856.4098035230354</v>
      </c>
      <c r="T194" s="10">
        <f t="shared" si="45"/>
        <v>46276.917642276429</v>
      </c>
    </row>
    <row r="195" spans="1:20" s="8" customFormat="1" ht="20.100000000000001" customHeight="1" x14ac:dyDescent="0.2">
      <c r="A195" s="9">
        <f t="shared" si="46"/>
        <v>192</v>
      </c>
      <c r="B195" s="9">
        <v>1233</v>
      </c>
      <c r="C195" s="9" t="str">
        <f>VLOOKUP(B195,'[1]اسماء الموظفين'!$B$8:$O$501,2,0)</f>
        <v>حبيب آل ارحمن</v>
      </c>
      <c r="D195" s="9" t="str">
        <f>VLOOKUP(B195,'[1]اسماء الموظفين'!$B$8:$O$501,4,0)</f>
        <v>بنجلاديش</v>
      </c>
      <c r="E195" s="9" t="str">
        <f>VLOOKUP(B195,'[2]المقيمين النشطين'!$B$2:$Q$980,15,0)</f>
        <v>مؤسسة سلطان عبدالرحمن صالح الرزيحي للتجارة</v>
      </c>
      <c r="F195" s="9" t="str">
        <f>VLOOKUP(B195,'[1]اسماء الموظفين'!$B$8:$O$501,11,0)</f>
        <v>هاينس</v>
      </c>
      <c r="G195" s="11">
        <f>VLOOKUP(B195,'[3]رواتب الموظفين 2022'!$B$9:$J$1019,9,0)</f>
        <v>1600</v>
      </c>
      <c r="H195" s="11">
        <f>VLOOKUP(B195,'[3]رواتب الموظفين 2022'!$B$9:$E$438,4,0)*2%</f>
        <v>24</v>
      </c>
      <c r="I195" s="11">
        <f t="shared" si="57"/>
        <v>32.035833333333336</v>
      </c>
      <c r="J195" s="11">
        <f t="shared" si="58"/>
        <v>104.29583333333333</v>
      </c>
      <c r="K195" s="11">
        <f t="shared" si="59"/>
        <v>93.333333333333329</v>
      </c>
      <c r="L195" s="11">
        <f t="shared" si="60"/>
        <v>66.666666666666671</v>
      </c>
      <c r="M195" s="11">
        <f t="shared" si="61"/>
        <v>75</v>
      </c>
      <c r="N195" s="8">
        <f t="shared" si="62"/>
        <v>166.66666666666666</v>
      </c>
      <c r="O195" s="10">
        <f t="shared" si="63"/>
        <v>54.166666666666664</v>
      </c>
      <c r="P195" s="10">
        <f t="shared" si="64"/>
        <v>808.33333333333337</v>
      </c>
      <c r="Q195" s="10">
        <f>VLOOKUP(B195,[4]بيان!$B$6:$G$112,4,0)</f>
        <v>92.594444444444449</v>
      </c>
      <c r="R195" s="10">
        <f t="shared" si="65"/>
        <v>739.31702574525752</v>
      </c>
      <c r="S195" s="10">
        <f t="shared" si="44"/>
        <v>3856.4098035230354</v>
      </c>
      <c r="T195" s="10">
        <f t="shared" si="45"/>
        <v>46276.917642276429</v>
      </c>
    </row>
    <row r="196" spans="1:20" s="8" customFormat="1" ht="20.100000000000001" customHeight="1" x14ac:dyDescent="0.2">
      <c r="A196" s="9">
        <f t="shared" si="46"/>
        <v>193</v>
      </c>
      <c r="B196" s="9">
        <v>1234</v>
      </c>
      <c r="C196" s="9" t="str">
        <f>VLOOKUP(B196,'[1]اسماء الموظفين'!$B$8:$O$501,2,0)</f>
        <v>فيصل عيضه عوض الوهبي المالكي</v>
      </c>
      <c r="D196" s="9" t="str">
        <f>VLOOKUP(B196,'[1]اسماء الموظفين'!$B$8:$O$501,4,0)</f>
        <v>سعودي</v>
      </c>
      <c r="E196" s="9" t="str">
        <f>VLOOKUP(B196,'[2]المقيمين النشطين'!$B$2:$Q$980,15,0)</f>
        <v>مؤسسة زاوية ريال بركة للكماليات</v>
      </c>
      <c r="F196" s="9" t="str">
        <f>VLOOKUP(B196,'[1]اسماء الموظفين'!$B$8:$O$501,11,0)</f>
        <v>النسيم</v>
      </c>
      <c r="G196" s="11">
        <f>VLOOKUP(B196,'[3]رواتب الموظفين 2022'!$B$9:$J$1019,9,0)</f>
        <v>4000</v>
      </c>
      <c r="H196" s="11">
        <f>VLOOKUP(B196,'[3]رواتب الموظفين 2022'!$B$9:$E$438,4,0)*12.25%</f>
        <v>490</v>
      </c>
      <c r="I196" s="11"/>
      <c r="J196" s="11">
        <v>0</v>
      </c>
      <c r="K196" s="11">
        <f t="shared" si="59"/>
        <v>233.33333333333334</v>
      </c>
      <c r="L196" s="11">
        <f t="shared" si="60"/>
        <v>166.66666666666666</v>
      </c>
      <c r="M196" s="11">
        <v>0</v>
      </c>
      <c r="N196" s="8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f t="shared" ref="S196:S259" si="66">SUM(G196:R196)</f>
        <v>4890</v>
      </c>
      <c r="T196" s="10">
        <f t="shared" si="45"/>
        <v>58680</v>
      </c>
    </row>
    <row r="197" spans="1:20" s="8" customFormat="1" ht="20.100000000000001" customHeight="1" x14ac:dyDescent="0.2">
      <c r="A197" s="9">
        <f t="shared" si="46"/>
        <v>194</v>
      </c>
      <c r="B197" s="9">
        <v>1235</v>
      </c>
      <c r="C197" s="9" t="str">
        <f>VLOOKUP(B197,'[1]اسماء الموظفين'!$B$8:$O$501,2,0)</f>
        <v>محمد علي محمد الشطنان الرشيدي</v>
      </c>
      <c r="D197" s="9" t="str">
        <f>VLOOKUP(B197,'[1]اسماء الموظفين'!$B$8:$O$501,4,0)</f>
        <v>سعودي</v>
      </c>
      <c r="E197" s="9" t="str">
        <f>VLOOKUP(B197,'[2]المقيمين النشطين'!$B$2:$Q$980,15,0)</f>
        <v>مؤسسة زاوية ريال بركة للكماليات</v>
      </c>
      <c r="F197" s="9" t="str">
        <f>VLOOKUP(B197,'[1]اسماء الموظفين'!$B$8:$O$501,11,0)</f>
        <v>المصيف</v>
      </c>
      <c r="G197" s="11">
        <f>VLOOKUP(B197,'[3]رواتب الموظفين 2022'!$B$9:$J$1019,9,0)</f>
        <v>4000</v>
      </c>
      <c r="H197" s="11">
        <f>VLOOKUP(B197,'[3]رواتب الموظفين 2022'!$B$9:$E$438,4,0)*12.25%</f>
        <v>490</v>
      </c>
      <c r="I197" s="11"/>
      <c r="J197" s="11">
        <v>0</v>
      </c>
      <c r="K197" s="11">
        <f t="shared" si="59"/>
        <v>233.33333333333334</v>
      </c>
      <c r="L197" s="11">
        <f t="shared" si="60"/>
        <v>166.66666666666666</v>
      </c>
      <c r="M197" s="11">
        <v>0</v>
      </c>
      <c r="N197" s="8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f t="shared" si="66"/>
        <v>4890</v>
      </c>
      <c r="T197" s="10">
        <f t="shared" ref="T197:T260" si="67">S197*12</f>
        <v>58680</v>
      </c>
    </row>
    <row r="198" spans="1:20" s="8" customFormat="1" ht="20.100000000000001" customHeight="1" x14ac:dyDescent="0.2">
      <c r="A198" s="9">
        <f t="shared" ref="A198:A261" si="68">ROW()-3</f>
        <v>195</v>
      </c>
      <c r="B198" s="9">
        <v>1236</v>
      </c>
      <c r="C198" s="9" t="str">
        <f>VLOOKUP(B198,'[1]اسماء الموظفين'!$B$8:$O$501,2,0)</f>
        <v>بندر فيحان حمدي الشيباني العتيبي</v>
      </c>
      <c r="D198" s="9" t="str">
        <f>VLOOKUP(B198,'[1]اسماء الموظفين'!$B$8:$O$501,4,0)</f>
        <v>سعودي</v>
      </c>
      <c r="E198" s="9" t="str">
        <f>VLOOKUP(B198,'[2]المقيمين النشطين'!$B$2:$Q$980,15,0)</f>
        <v>مؤسسة زاوية ريال بركة للكماليات</v>
      </c>
      <c r="F198" s="9" t="str">
        <f>VLOOKUP(B198,'[1]اسماء الموظفين'!$B$8:$O$501,11,0)</f>
        <v>اليرموك</v>
      </c>
      <c r="G198" s="11">
        <f>VLOOKUP(B198,'[3]رواتب الموظفين 2022'!$B$9:$J$1019,9,0)</f>
        <v>4000</v>
      </c>
      <c r="H198" s="11">
        <f>VLOOKUP(B198,'[3]رواتب الموظفين 2022'!$B$9:$E$438,4,0)*12.25%</f>
        <v>490</v>
      </c>
      <c r="I198" s="11"/>
      <c r="J198" s="11">
        <v>0</v>
      </c>
      <c r="K198" s="11">
        <f t="shared" si="59"/>
        <v>233.33333333333334</v>
      </c>
      <c r="L198" s="11">
        <f t="shared" si="60"/>
        <v>166.66666666666666</v>
      </c>
      <c r="M198" s="11">
        <v>0</v>
      </c>
      <c r="N198" s="8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f t="shared" si="66"/>
        <v>4890</v>
      </c>
      <c r="T198" s="10">
        <f t="shared" si="67"/>
        <v>58680</v>
      </c>
    </row>
    <row r="199" spans="1:20" s="8" customFormat="1" ht="20.100000000000001" customHeight="1" x14ac:dyDescent="0.2">
      <c r="A199" s="9">
        <f t="shared" si="68"/>
        <v>196</v>
      </c>
      <c r="B199" s="9">
        <v>1237</v>
      </c>
      <c r="C199" s="9" t="str">
        <f>VLOOKUP(B199,'[1]اسماء الموظفين'!$B$8:$O$501,2,0)</f>
        <v>فاطمة إبراهيم حدور آل عيسى</v>
      </c>
      <c r="D199" s="9" t="str">
        <f>VLOOKUP(B199,'[1]اسماء الموظفين'!$B$8:$O$501,4,0)</f>
        <v>سعودي</v>
      </c>
      <c r="E199" s="9" t="str">
        <f>VLOOKUP(B199,'[2]المقيمين النشطين'!$B$2:$Q$980,15,0)</f>
        <v>شركة ريال البركة للتجارة</v>
      </c>
      <c r="F199" s="9" t="str">
        <f>VLOOKUP(B199,'[1]اسماء الموظفين'!$B$8:$O$501,11,0)</f>
        <v>الدائري الغربي</v>
      </c>
      <c r="G199" s="11">
        <f>VLOOKUP(B199,'[3]رواتب الموظفين 2022'!$B$9:$J$1019,9,0)</f>
        <v>4000</v>
      </c>
      <c r="H199" s="11">
        <f>VLOOKUP(B199,'[3]رواتب الموظفين 2022'!$B$9:$E$438,4,0)*12.25%</f>
        <v>490</v>
      </c>
      <c r="I199" s="11"/>
      <c r="J199" s="11">
        <v>0</v>
      </c>
      <c r="K199" s="11">
        <f t="shared" si="59"/>
        <v>233.33333333333334</v>
      </c>
      <c r="L199" s="11">
        <f t="shared" si="60"/>
        <v>166.66666666666666</v>
      </c>
      <c r="M199" s="11">
        <v>0</v>
      </c>
      <c r="N199" s="8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f t="shared" si="66"/>
        <v>4890</v>
      </c>
      <c r="T199" s="10">
        <f t="shared" si="67"/>
        <v>58680</v>
      </c>
    </row>
    <row r="200" spans="1:20" s="8" customFormat="1" ht="20.100000000000001" customHeight="1" x14ac:dyDescent="0.2">
      <c r="A200" s="9">
        <f t="shared" si="68"/>
        <v>197</v>
      </c>
      <c r="B200" s="9">
        <v>1239</v>
      </c>
      <c r="C200" s="9" t="str">
        <f>VLOOKUP(B200,'[1]اسماء الموظفين'!$B$8:$O$501,2,0)</f>
        <v>جابر محمد ناجي علي مراد</v>
      </c>
      <c r="D200" s="9" t="str">
        <f>VLOOKUP(B200,'[1]اسماء الموظفين'!$B$8:$O$501,4,0)</f>
        <v>اليمن</v>
      </c>
      <c r="E200" s="9" t="str">
        <f>VLOOKUP(B200,'[2]المقيمين النشطين'!$B$2:$Q$980,15,0)</f>
        <v>مؤسسة عبدالرحمن سلطان عبدالرحمن الرزيحي للتجارة</v>
      </c>
      <c r="F200" s="9" t="str">
        <f>VLOOKUP(B200,'[1]اسماء الموظفين'!$B$8:$O$501,11,0)</f>
        <v>الشفا</v>
      </c>
      <c r="G200" s="11">
        <f>VLOOKUP(B200,'[3]رواتب الموظفين 2022'!$B$9:$J$1019,9,0)</f>
        <v>1900</v>
      </c>
      <c r="H200" s="11"/>
      <c r="I200" s="11"/>
      <c r="J200" s="11">
        <v>0</v>
      </c>
      <c r="K200" s="11">
        <f t="shared" si="59"/>
        <v>110.83333333333333</v>
      </c>
      <c r="L200" s="11">
        <f t="shared" si="60"/>
        <v>79.166666666666671</v>
      </c>
      <c r="M200" s="11">
        <f>1500/24</f>
        <v>62.5</v>
      </c>
      <c r="N200" s="8">
        <v>0</v>
      </c>
      <c r="O200" s="10">
        <f>650/12</f>
        <v>54.166666666666664</v>
      </c>
      <c r="P200" s="10">
        <f>9700/12</f>
        <v>808.33333333333337</v>
      </c>
      <c r="Q200" s="10">
        <f>VLOOKUP(B200,[4]بيان!$B$6:$G$112,4,0)</f>
        <v>312.5</v>
      </c>
      <c r="R200" s="10">
        <f>$J$334</f>
        <v>581.33333333333337</v>
      </c>
      <c r="S200" s="10">
        <f t="shared" si="66"/>
        <v>3908.8333333333335</v>
      </c>
      <c r="T200" s="10">
        <f t="shared" si="67"/>
        <v>46906</v>
      </c>
    </row>
    <row r="201" spans="1:20" s="8" customFormat="1" ht="20.100000000000001" customHeight="1" x14ac:dyDescent="0.2">
      <c r="A201" s="9">
        <f t="shared" si="68"/>
        <v>198</v>
      </c>
      <c r="B201" s="9">
        <v>1240</v>
      </c>
      <c r="C201" s="9" t="str">
        <f>VLOOKUP(B201,'[1]اسماء الموظفين'!$B$8:$O$501,2,0)</f>
        <v>كريم مجد علي عباس</v>
      </c>
      <c r="D201" s="9" t="str">
        <f>VLOOKUP(B201,'[1]اسماء الموظفين'!$B$8:$O$501,4,0)</f>
        <v>اليمن</v>
      </c>
      <c r="E201" s="9" t="str">
        <f>VLOOKUP(B201,'[2]المقيمين النشطين'!$B$2:$Q$980,15,0)</f>
        <v>تحت التجربة</v>
      </c>
      <c r="F201" s="9" t="str">
        <f>VLOOKUP(B201,'[1]اسماء الموظفين'!$B$8:$O$501,11,0)</f>
        <v>ورشة أثاث</v>
      </c>
      <c r="G201" s="11">
        <f>VLOOKUP(B201,'[3]رواتب الموظفين 2022'!$B$9:$J$1019,9,0)</f>
        <v>2800</v>
      </c>
      <c r="H201" s="11"/>
      <c r="I201" s="11"/>
      <c r="J201" s="11">
        <v>0</v>
      </c>
      <c r="K201" s="11">
        <f t="shared" si="59"/>
        <v>163.33333333333334</v>
      </c>
      <c r="L201" s="11">
        <f t="shared" si="60"/>
        <v>116.66666666666667</v>
      </c>
      <c r="M201" s="11">
        <f>1500/24</f>
        <v>62.5</v>
      </c>
      <c r="N201" s="8">
        <v>0</v>
      </c>
      <c r="O201" s="10">
        <f>650/12</f>
        <v>54.166666666666664</v>
      </c>
      <c r="P201" s="10">
        <v>0</v>
      </c>
      <c r="Q201" s="10">
        <v>0</v>
      </c>
      <c r="R201" s="10">
        <v>0</v>
      </c>
      <c r="S201" s="10">
        <f t="shared" si="66"/>
        <v>3196.6666666666665</v>
      </c>
      <c r="T201" s="10">
        <f t="shared" si="67"/>
        <v>38360</v>
      </c>
    </row>
    <row r="202" spans="1:20" s="8" customFormat="1" ht="20.100000000000001" customHeight="1" x14ac:dyDescent="0.2">
      <c r="A202" s="9">
        <f t="shared" si="68"/>
        <v>199</v>
      </c>
      <c r="B202" s="9">
        <v>1241</v>
      </c>
      <c r="C202" s="9" t="str">
        <f>VLOOKUP(B202,'[1]اسماء الموظفين'!$B$8:$O$501,2,0)</f>
        <v>خليل نجيب اليافعي</v>
      </c>
      <c r="D202" s="9" t="str">
        <f>VLOOKUP(B202,'[1]اسماء الموظفين'!$B$8:$O$501,4,0)</f>
        <v>اليمن</v>
      </c>
      <c r="E202" s="9" t="str">
        <f>VLOOKUP(B202,'[2]المقيمين النشطين'!$B$2:$Q$980,15,0)</f>
        <v>تحت التجربة</v>
      </c>
      <c r="F202" s="9" t="str">
        <f>VLOOKUP(B202,'[1]اسماء الموظفين'!$B$8:$O$501,11,0)</f>
        <v>ورشة أثاث</v>
      </c>
      <c r="G202" s="11">
        <f>VLOOKUP(B202,'[3]رواتب الموظفين 2022'!$B$9:$J$1019,9,0)</f>
        <v>1700</v>
      </c>
      <c r="H202" s="11"/>
      <c r="I202" s="11"/>
      <c r="J202" s="11">
        <v>0</v>
      </c>
      <c r="K202" s="11">
        <f t="shared" si="59"/>
        <v>99.166666666666671</v>
      </c>
      <c r="L202" s="11">
        <f t="shared" si="60"/>
        <v>70.833333333333329</v>
      </c>
      <c r="M202" s="11">
        <f>1500/24</f>
        <v>62.5</v>
      </c>
      <c r="N202" s="8">
        <v>0</v>
      </c>
      <c r="O202" s="10">
        <f>650/12</f>
        <v>54.166666666666664</v>
      </c>
      <c r="P202" s="10">
        <v>0</v>
      </c>
      <c r="Q202" s="10">
        <v>0</v>
      </c>
      <c r="R202" s="10">
        <v>0</v>
      </c>
      <c r="S202" s="10">
        <f t="shared" si="66"/>
        <v>1986.6666666666667</v>
      </c>
      <c r="T202" s="10">
        <f t="shared" si="67"/>
        <v>23840</v>
      </c>
    </row>
    <row r="203" spans="1:20" s="8" customFormat="1" ht="20.100000000000001" customHeight="1" x14ac:dyDescent="0.2">
      <c r="A203" s="9">
        <f t="shared" si="68"/>
        <v>200</v>
      </c>
      <c r="B203" s="9">
        <v>1243</v>
      </c>
      <c r="C203" s="9" t="str">
        <f>VLOOKUP(B203,'[1]اسماء الموظفين'!$B$8:$O$501,2,0)</f>
        <v>مبارك عبدالله مبارك دليم</v>
      </c>
      <c r="D203" s="9" t="str">
        <f>VLOOKUP(B203,'[1]اسماء الموظفين'!$B$8:$O$501,4,0)</f>
        <v>سعودي</v>
      </c>
      <c r="E203" s="9" t="str">
        <f>VLOOKUP(B203,'[2]المقيمين النشطين'!$B$2:$Q$980,15,0)</f>
        <v>مؤسسة سلطان عبدالرحمن صالح الرزيحي للتجارة</v>
      </c>
      <c r="F203" s="9" t="str">
        <f>VLOOKUP(B203,'[1]اسماء الموظفين'!$B$8:$O$501,11,0)</f>
        <v>هاينس</v>
      </c>
      <c r="G203" s="11">
        <f>VLOOKUP(B203,'[3]رواتب الموظفين 2022'!$B$9:$J$1019,9,0)</f>
        <v>4500</v>
      </c>
      <c r="H203" s="11">
        <f>VLOOKUP(B203,'[3]رواتب الموظفين 2022'!$B$9:$E$438,4,0)*12.25%</f>
        <v>490</v>
      </c>
      <c r="I203" s="11">
        <f>384.43/12</f>
        <v>32.035833333333336</v>
      </c>
      <c r="J203" s="11">
        <v>0</v>
      </c>
      <c r="K203" s="11">
        <f t="shared" si="59"/>
        <v>262.5</v>
      </c>
      <c r="L203" s="11">
        <f t="shared" si="60"/>
        <v>187.5</v>
      </c>
      <c r="M203" s="11">
        <v>0</v>
      </c>
      <c r="N203" s="8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f t="shared" si="66"/>
        <v>5472.0358333333334</v>
      </c>
      <c r="T203" s="10">
        <f t="shared" si="67"/>
        <v>65664.429999999993</v>
      </c>
    </row>
    <row r="204" spans="1:20" s="8" customFormat="1" ht="20.100000000000001" customHeight="1" x14ac:dyDescent="0.2">
      <c r="A204" s="9">
        <f t="shared" si="68"/>
        <v>201</v>
      </c>
      <c r="B204" s="9">
        <v>1244</v>
      </c>
      <c r="C204" s="9" t="str">
        <f>VLOOKUP(B204,'[1]اسماء الموظفين'!$B$8:$O$501,2,0)</f>
        <v>عمر عبد القادر حسن</v>
      </c>
      <c r="D204" s="9" t="str">
        <f>VLOOKUP(B204,'[1]اسماء الموظفين'!$B$8:$O$501,4,0)</f>
        <v>مصر</v>
      </c>
      <c r="E204" s="9" t="str">
        <f>VLOOKUP(B204,'[2]المقيمين النشطين'!$B$2:$Q$980,15,0)</f>
        <v>عن بعد</v>
      </c>
      <c r="F204" s="9" t="str">
        <f>VLOOKUP(B204,'[1]اسماء الموظفين'!$B$8:$O$501,11,0)</f>
        <v>وكالة ممكن</v>
      </c>
      <c r="G204" s="11">
        <f>VLOOKUP(B204,'[3]رواتب الموظفين 2022'!$B$9:$J$1019,9,0)</f>
        <v>1800</v>
      </c>
      <c r="H204" s="11"/>
      <c r="I204" s="11"/>
      <c r="J204" s="11"/>
      <c r="K204" s="11">
        <v>0</v>
      </c>
      <c r="L204" s="11">
        <v>0</v>
      </c>
      <c r="M204" s="11">
        <v>0</v>
      </c>
      <c r="N204" s="8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f t="shared" si="66"/>
        <v>1800</v>
      </c>
      <c r="T204" s="10">
        <f t="shared" si="67"/>
        <v>21600</v>
      </c>
    </row>
    <row r="205" spans="1:20" s="8" customFormat="1" ht="20.100000000000001" customHeight="1" x14ac:dyDescent="0.2">
      <c r="A205" s="9">
        <f t="shared" si="68"/>
        <v>202</v>
      </c>
      <c r="B205" s="9">
        <v>1247</v>
      </c>
      <c r="C205" s="9" t="str">
        <f>VLOOKUP(B205,'[1]اسماء الموظفين'!$B$8:$O$501,2,0)</f>
        <v>منيره دحيم مبارك آل صارم الدوسري</v>
      </c>
      <c r="D205" s="9" t="str">
        <f>VLOOKUP(B205,'[1]اسماء الموظفين'!$B$8:$O$501,4,0)</f>
        <v>سعودي</v>
      </c>
      <c r="E205" s="9" t="str">
        <f>VLOOKUP(B205,'[2]المقيمين النشطين'!$B$2:$Q$980,15,0)</f>
        <v>مؤسسة سلطان عبدالرحمن صالح الرزيحي للتجارة</v>
      </c>
      <c r="F205" s="9" t="str">
        <f>VLOOKUP(B205,'[1]اسماء الموظفين'!$B$8:$O$501,11,0)</f>
        <v>هاينس</v>
      </c>
      <c r="G205" s="11">
        <f>VLOOKUP(B205,'[3]رواتب الموظفين 2022'!$B$9:$J$1019,9,0)</f>
        <v>4000</v>
      </c>
      <c r="H205" s="11">
        <f>VLOOKUP(B205,'[3]رواتب الموظفين 2022'!$B$9:$E$438,4,0)*12.25%</f>
        <v>490</v>
      </c>
      <c r="I205" s="11">
        <f>384.43/12</f>
        <v>32.035833333333336</v>
      </c>
      <c r="J205" s="11">
        <f>1251.55/12</f>
        <v>104.29583333333333</v>
      </c>
      <c r="K205" s="11">
        <f>G205/30*21/12</f>
        <v>233.33333333333334</v>
      </c>
      <c r="L205" s="11">
        <f>G205/2/12</f>
        <v>166.66666666666666</v>
      </c>
      <c r="M205" s="11">
        <v>0</v>
      </c>
      <c r="N205" s="8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f t="shared" si="66"/>
        <v>5026.3316666666669</v>
      </c>
      <c r="T205" s="10">
        <f t="shared" si="67"/>
        <v>60315.98</v>
      </c>
    </row>
    <row r="206" spans="1:20" s="8" customFormat="1" ht="20.100000000000001" customHeight="1" x14ac:dyDescent="0.2">
      <c r="A206" s="9">
        <f t="shared" si="68"/>
        <v>203</v>
      </c>
      <c r="B206" s="9">
        <v>1250</v>
      </c>
      <c r="C206" s="9" t="str">
        <f>VLOOKUP(B206,'[1]اسماء الموظفين'!$B$8:$O$501,2,0)</f>
        <v>ريناد العمري</v>
      </c>
      <c r="D206" s="9" t="str">
        <f>VLOOKUP(B206,'[1]اسماء الموظفين'!$B$8:$O$501,4,0)</f>
        <v>سعودي</v>
      </c>
      <c r="E206" s="9" t="str">
        <f>VLOOKUP(B206,'[2]المقيمين النشطين'!$B$2:$Q$980,15,0)</f>
        <v>عن بعد</v>
      </c>
      <c r="F206" s="9" t="str">
        <f>VLOOKUP(B206,'[1]اسماء الموظفين'!$B$8:$O$501,11,0)</f>
        <v>وكالة ممكن</v>
      </c>
      <c r="G206" s="11">
        <f>VLOOKUP(B206,'[3]رواتب الموظفين 2022'!$B$9:$J$1019,9,0)</f>
        <v>3000</v>
      </c>
      <c r="H206" s="11"/>
      <c r="I206" s="11"/>
      <c r="J206" s="11"/>
      <c r="K206" s="11">
        <v>0</v>
      </c>
      <c r="L206" s="11">
        <v>0</v>
      </c>
      <c r="M206" s="11">
        <v>0</v>
      </c>
      <c r="N206" s="8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f t="shared" si="66"/>
        <v>3000</v>
      </c>
      <c r="T206" s="10">
        <f t="shared" si="67"/>
        <v>36000</v>
      </c>
    </row>
    <row r="207" spans="1:20" s="8" customFormat="1" ht="20.100000000000001" customHeight="1" x14ac:dyDescent="0.2">
      <c r="A207" s="9">
        <f t="shared" si="68"/>
        <v>204</v>
      </c>
      <c r="B207" s="9">
        <v>1251</v>
      </c>
      <c r="C207" s="9" t="str">
        <f>VLOOKUP(B207,'[1]اسماء الموظفين'!$B$8:$O$501,2,0)</f>
        <v>أحمد السيد</v>
      </c>
      <c r="D207" s="9" t="str">
        <f>VLOOKUP(B207,'[1]اسماء الموظفين'!$B$8:$O$501,4,0)</f>
        <v>مصر</v>
      </c>
      <c r="E207" s="9" t="str">
        <f>VLOOKUP(B207,'[2]المقيمين النشطين'!$B$2:$Q$980,15,0)</f>
        <v>عن بعد</v>
      </c>
      <c r="F207" s="9" t="str">
        <f>VLOOKUP(B207,'[1]اسماء الموظفين'!$B$8:$O$501,11,0)</f>
        <v>وكالة ممكن</v>
      </c>
      <c r="G207" s="11">
        <f>VLOOKUP(B207,'[3]رواتب الموظفين 2022'!$B$9:$J$1019,9,0)</f>
        <v>1500</v>
      </c>
      <c r="H207" s="11"/>
      <c r="I207" s="11"/>
      <c r="J207" s="11"/>
      <c r="K207" s="11">
        <v>0</v>
      </c>
      <c r="L207" s="11">
        <v>0</v>
      </c>
      <c r="M207" s="11">
        <v>0</v>
      </c>
      <c r="N207" s="8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f t="shared" si="66"/>
        <v>1500</v>
      </c>
      <c r="T207" s="10">
        <f t="shared" si="67"/>
        <v>18000</v>
      </c>
    </row>
    <row r="208" spans="1:20" s="8" customFormat="1" ht="20.100000000000001" customHeight="1" x14ac:dyDescent="0.2">
      <c r="A208" s="9">
        <f t="shared" si="68"/>
        <v>205</v>
      </c>
      <c r="B208" s="9">
        <v>1252</v>
      </c>
      <c r="C208" s="9" t="str">
        <f>VLOOKUP(B208,'[1]اسماء الموظفين'!$B$8:$O$501,2,0)</f>
        <v>مد لامين</v>
      </c>
      <c r="D208" s="9" t="str">
        <f>VLOOKUP(B208,'[1]اسماء الموظفين'!$B$8:$O$501,4,0)</f>
        <v>بنجلاديش</v>
      </c>
      <c r="E208" s="9" t="str">
        <f>VLOOKUP(B208,'[2]المقيمين النشطين'!$B$2:$Q$980,15,0)</f>
        <v>مؤسسة عبدالرحمن سلطان عبدالرحمن الرزيحي للتجارة</v>
      </c>
      <c r="F208" s="9" t="str">
        <f>VLOOKUP(B208,'[1]اسماء الموظفين'!$B$8:$O$501,11,0)</f>
        <v>هاينس</v>
      </c>
      <c r="G208" s="11">
        <f>VLOOKUP(B208,'[3]رواتب الموظفين 2022'!$B$9:$J$1019,9,0)</f>
        <v>1600</v>
      </c>
      <c r="H208" s="11"/>
      <c r="I208" s="11"/>
      <c r="J208" s="11"/>
      <c r="K208" s="11">
        <f t="shared" ref="K208:K222" si="69">G208/30*21/12</f>
        <v>93.333333333333329</v>
      </c>
      <c r="L208" s="11">
        <f t="shared" ref="L208:L222" si="70">G208/2/12</f>
        <v>66.666666666666671</v>
      </c>
      <c r="M208" s="11">
        <v>0</v>
      </c>
      <c r="N208" s="8">
        <f>2000/12</f>
        <v>166.66666666666666</v>
      </c>
      <c r="O208" s="10">
        <v>0</v>
      </c>
      <c r="P208" s="10">
        <v>0</v>
      </c>
      <c r="Q208" s="10">
        <f>VLOOKUP(B208,[4]بيان!$B$6:$G$112,4,0)</f>
        <v>183.33333333333334</v>
      </c>
      <c r="R208" s="10">
        <f>$J$334</f>
        <v>581.33333333333337</v>
      </c>
      <c r="S208" s="10">
        <f t="shared" si="66"/>
        <v>2691.3333333333335</v>
      </c>
      <c r="T208" s="10">
        <f t="shared" si="67"/>
        <v>32296</v>
      </c>
    </row>
    <row r="209" spans="1:20" s="8" customFormat="1" ht="20.100000000000001" customHeight="1" x14ac:dyDescent="0.2">
      <c r="A209" s="9">
        <f t="shared" si="68"/>
        <v>206</v>
      </c>
      <c r="B209" s="9">
        <v>1258</v>
      </c>
      <c r="C209" s="9" t="str">
        <f>VLOOKUP(B209,'[1]اسماء الموظفين'!$B$8:$O$501,2,0)</f>
        <v>نظم أل حسن</v>
      </c>
      <c r="D209" s="9" t="str">
        <f>VLOOKUP(B209,'[1]اسماء الموظفين'!$B$8:$O$501,4,0)</f>
        <v>بنجلاديش</v>
      </c>
      <c r="E209" s="9" t="str">
        <f>VLOOKUP(B209,'[2]المقيمين النشطين'!$B$2:$Q$980,15,0)</f>
        <v>مؤسسة سلطان عبدالرحمن صالح الرزيحي للتجارة</v>
      </c>
      <c r="F209" s="9" t="str">
        <f>VLOOKUP(B209,'[1]اسماء الموظفين'!$B$8:$O$501,11,0)</f>
        <v>هاينس</v>
      </c>
      <c r="G209" s="11">
        <f>VLOOKUP(B209,'[3]رواتب الموظفين 2022'!$B$9:$J$1019,9,0)</f>
        <v>1600</v>
      </c>
      <c r="H209" s="11">
        <f>VLOOKUP(B214,'[3]رواتب الموظفين 2022'!$B$9:$E$438,4,0)*2%</f>
        <v>24</v>
      </c>
      <c r="I209" s="11">
        <f t="shared" ref="I209:I214" si="71">384.43/12</f>
        <v>32.035833333333336</v>
      </c>
      <c r="J209" s="11">
        <f>1251.55/12</f>
        <v>104.29583333333333</v>
      </c>
      <c r="K209" s="11">
        <f t="shared" si="69"/>
        <v>93.333333333333329</v>
      </c>
      <c r="L209" s="11">
        <f t="shared" si="70"/>
        <v>66.666666666666671</v>
      </c>
      <c r="M209" s="11">
        <f>1800/24</f>
        <v>75</v>
      </c>
      <c r="N209" s="8">
        <f>2000/12</f>
        <v>166.66666666666666</v>
      </c>
      <c r="O209" s="10">
        <f>650/12</f>
        <v>54.166666666666664</v>
      </c>
      <c r="P209" s="10">
        <f>9700/12</f>
        <v>808.33333333333337</v>
      </c>
      <c r="Q209" s="10">
        <f>VLOOKUP(B209,[4]بيان!$B$6:$G$112,4,0)</f>
        <v>92.594444444444449</v>
      </c>
      <c r="R209" s="10">
        <f>$K$329</f>
        <v>739.31702574525752</v>
      </c>
      <c r="S209" s="10">
        <f t="shared" si="66"/>
        <v>3856.4098035230354</v>
      </c>
      <c r="T209" s="10">
        <f t="shared" si="67"/>
        <v>46276.917642276429</v>
      </c>
    </row>
    <row r="210" spans="1:20" s="8" customFormat="1" ht="20.100000000000001" customHeight="1" x14ac:dyDescent="0.2">
      <c r="A210" s="9">
        <f t="shared" si="68"/>
        <v>207</v>
      </c>
      <c r="B210" s="9">
        <v>1259</v>
      </c>
      <c r="C210" s="9" t="str">
        <f>VLOOKUP(B210,'[1]اسماء الموظفين'!$B$8:$O$501,2,0)</f>
        <v xml:space="preserve">محمد كوثر </v>
      </c>
      <c r="D210" s="9" t="str">
        <f>VLOOKUP(B210,'[1]اسماء الموظفين'!$B$8:$O$501,4,0)</f>
        <v>بنجلاديش</v>
      </c>
      <c r="E210" s="9" t="str">
        <f>VLOOKUP(B210,'[2]المقيمين النشطين'!$B$2:$Q$980,15,0)</f>
        <v>مؤسسة سلطان عبدالرحمن صالح الرزيحي للتجارة</v>
      </c>
      <c r="F210" s="9" t="str">
        <f>VLOOKUP(B210,'[1]اسماء الموظفين'!$B$8:$O$501,11,0)</f>
        <v>هاينس</v>
      </c>
      <c r="G210" s="11">
        <f>VLOOKUP(B210,'[3]رواتب الموظفين 2022'!$B$9:$J$1019,9,0)</f>
        <v>1600</v>
      </c>
      <c r="H210" s="11">
        <f>VLOOKUP(B210,'[3]رواتب الموظفين 2022'!$B$9:$E$438,4,0)*2%</f>
        <v>24</v>
      </c>
      <c r="I210" s="11">
        <f t="shared" si="71"/>
        <v>32.035833333333336</v>
      </c>
      <c r="J210" s="11">
        <f>1251.55/12</f>
        <v>104.29583333333333</v>
      </c>
      <c r="K210" s="11">
        <f t="shared" si="69"/>
        <v>93.333333333333329</v>
      </c>
      <c r="L210" s="11">
        <f t="shared" si="70"/>
        <v>66.666666666666671</v>
      </c>
      <c r="M210" s="11">
        <f>1800/24</f>
        <v>75</v>
      </c>
      <c r="N210" s="8">
        <f>2000/12</f>
        <v>166.66666666666666</v>
      </c>
      <c r="O210" s="10">
        <f>650/12</f>
        <v>54.166666666666664</v>
      </c>
      <c r="P210" s="10">
        <f>9700/12</f>
        <v>808.33333333333337</v>
      </c>
      <c r="Q210" s="10">
        <f>VLOOKUP(B210,[4]بيان!$B$6:$G$112,4,0)</f>
        <v>92.594444444444449</v>
      </c>
      <c r="R210" s="10">
        <f>$K$329</f>
        <v>739.31702574525752</v>
      </c>
      <c r="S210" s="10">
        <f t="shared" si="66"/>
        <v>3856.4098035230354</v>
      </c>
      <c r="T210" s="10">
        <f t="shared" si="67"/>
        <v>46276.917642276429</v>
      </c>
    </row>
    <row r="211" spans="1:20" s="8" customFormat="1" ht="20.100000000000001" customHeight="1" x14ac:dyDescent="0.2">
      <c r="A211" s="9">
        <f t="shared" si="68"/>
        <v>208</v>
      </c>
      <c r="B211" s="9">
        <v>1260</v>
      </c>
      <c r="C211" s="9" t="str">
        <f>VLOOKUP(B211,'[1]اسماء الموظفين'!$B$8:$O$501,2,0)</f>
        <v>محمود حسن</v>
      </c>
      <c r="D211" s="9" t="str">
        <f>VLOOKUP(B211,'[1]اسماء الموظفين'!$B$8:$O$501,4,0)</f>
        <v>بنجلاديش</v>
      </c>
      <c r="E211" s="9" t="str">
        <f>VLOOKUP(B211,'[2]المقيمين النشطين'!$B$2:$Q$980,15,0)</f>
        <v>مؤسسة سلطان عبدالرحمن صالح الرزيحي للتجارة</v>
      </c>
      <c r="F211" s="9" t="str">
        <f>VLOOKUP(B211,'[1]اسماء الموظفين'!$B$8:$O$501,11,0)</f>
        <v>هاينس</v>
      </c>
      <c r="G211" s="11">
        <f>VLOOKUP(B211,'[3]رواتب الموظفين 2022'!$B$9:$J$1019,9,0)</f>
        <v>1600</v>
      </c>
      <c r="H211" s="11"/>
      <c r="I211" s="11">
        <f t="shared" si="71"/>
        <v>32.035833333333336</v>
      </c>
      <c r="J211" s="11">
        <f>1251.55/12</f>
        <v>104.29583333333333</v>
      </c>
      <c r="K211" s="11">
        <f t="shared" si="69"/>
        <v>93.333333333333329</v>
      </c>
      <c r="L211" s="11">
        <f t="shared" si="70"/>
        <v>66.666666666666671</v>
      </c>
      <c r="M211" s="11">
        <v>0</v>
      </c>
      <c r="N211" s="8">
        <v>0</v>
      </c>
      <c r="O211" s="10">
        <v>0</v>
      </c>
      <c r="P211" s="10">
        <v>0</v>
      </c>
      <c r="Q211" s="10">
        <f>VLOOKUP(B211,[4]بيان!$B$6:$G$112,4,0)</f>
        <v>92.594444444444449</v>
      </c>
      <c r="R211" s="10">
        <f>$K$329</f>
        <v>739.31702574525752</v>
      </c>
      <c r="S211" s="10">
        <f t="shared" si="66"/>
        <v>2728.2431368563684</v>
      </c>
      <c r="T211" s="10">
        <f t="shared" si="67"/>
        <v>32738.917642276421</v>
      </c>
    </row>
    <row r="212" spans="1:20" s="8" customFormat="1" ht="20.100000000000001" customHeight="1" x14ac:dyDescent="0.2">
      <c r="A212" s="9">
        <f t="shared" si="68"/>
        <v>209</v>
      </c>
      <c r="B212" s="9">
        <v>1261</v>
      </c>
      <c r="C212" s="9" t="str">
        <f>VLOOKUP(B212,'[1]اسماء الموظفين'!$B$8:$O$501,2,0)</f>
        <v>مد طارق</v>
      </c>
      <c r="D212" s="9" t="str">
        <f>VLOOKUP(B212,'[1]اسماء الموظفين'!$B$8:$O$501,4,0)</f>
        <v>بنجلاديش</v>
      </c>
      <c r="E212" s="9" t="str">
        <f>VLOOKUP(B212,'[2]المقيمين النشطين'!$B$2:$Q$980,15,0)</f>
        <v>مؤسسة سلطان عبدالرحمن صالح الرزيحي للتجارة</v>
      </c>
      <c r="F212" s="9" t="str">
        <f>VLOOKUP(B212,'[1]اسماء الموظفين'!$B$8:$O$501,11,0)</f>
        <v>هاينس</v>
      </c>
      <c r="G212" s="11">
        <f>VLOOKUP(B212,'[3]رواتب الموظفين 2022'!$B$9:$J$1019,9,0)</f>
        <v>1600</v>
      </c>
      <c r="H212" s="11">
        <f>VLOOKUP(B214,'[3]رواتب الموظفين 2022'!$B$9:$E$438,4,0)*2%</f>
        <v>24</v>
      </c>
      <c r="I212" s="11">
        <f t="shared" si="71"/>
        <v>32.035833333333336</v>
      </c>
      <c r="J212" s="11">
        <f>1251.55/12</f>
        <v>104.29583333333333</v>
      </c>
      <c r="K212" s="11">
        <f t="shared" si="69"/>
        <v>93.333333333333329</v>
      </c>
      <c r="L212" s="11">
        <f t="shared" si="70"/>
        <v>66.666666666666671</v>
      </c>
      <c r="M212" s="11">
        <f>1800/24</f>
        <v>75</v>
      </c>
      <c r="N212" s="8">
        <f>2000/12</f>
        <v>166.66666666666666</v>
      </c>
      <c r="O212" s="10">
        <f>650/12</f>
        <v>54.166666666666664</v>
      </c>
      <c r="P212" s="10">
        <f>9700/12</f>
        <v>808.33333333333337</v>
      </c>
      <c r="Q212" s="10">
        <f>VLOOKUP(B212,[4]بيان!$B$6:$G$112,4,0)</f>
        <v>92.594444444444449</v>
      </c>
      <c r="R212" s="10">
        <f>$K$329</f>
        <v>739.31702574525752</v>
      </c>
      <c r="S212" s="10">
        <f t="shared" si="66"/>
        <v>3856.4098035230354</v>
      </c>
      <c r="T212" s="10">
        <f t="shared" si="67"/>
        <v>46276.917642276429</v>
      </c>
    </row>
    <row r="213" spans="1:20" s="8" customFormat="1" ht="20.100000000000001" customHeight="1" x14ac:dyDescent="0.2">
      <c r="A213" s="9">
        <f t="shared" si="68"/>
        <v>210</v>
      </c>
      <c r="B213" s="9">
        <v>1262</v>
      </c>
      <c r="C213" s="9" t="str">
        <f>VLOOKUP(B213,'[1]اسماء الموظفين'!$B$8:$O$501,2,0)</f>
        <v>غرام عبدالله ناصر الحداني العنزي</v>
      </c>
      <c r="D213" s="9" t="str">
        <f>VLOOKUP(B213,'[1]اسماء الموظفين'!$B$8:$O$501,4,0)</f>
        <v>سعودي</v>
      </c>
      <c r="E213" s="9" t="str">
        <f>VLOOKUP(B213,'[2]المقيمين النشطين'!$B$2:$Q$980,15,0)</f>
        <v>مؤسسة سلطان عبدالرحمن صالح الرزيحي للتجارة</v>
      </c>
      <c r="F213" s="9" t="str">
        <f>VLOOKUP(B213,'[1]اسماء الموظفين'!$B$8:$O$501,11,0)</f>
        <v>هاينس</v>
      </c>
      <c r="G213" s="11">
        <f>VLOOKUP(B213,'[3]رواتب الموظفين 2022'!$B$9:$J$1019,9,0)</f>
        <v>4500</v>
      </c>
      <c r="H213" s="11">
        <f>VLOOKUP(B213,'[3]رواتب الموظفين 2022'!$B$9:$E$438,4,0)*12.25%</f>
        <v>490</v>
      </c>
      <c r="I213" s="11">
        <f t="shared" si="71"/>
        <v>32.035833333333336</v>
      </c>
      <c r="J213" s="11"/>
      <c r="K213" s="11">
        <f t="shared" si="69"/>
        <v>262.5</v>
      </c>
      <c r="L213" s="11">
        <f t="shared" si="70"/>
        <v>187.5</v>
      </c>
      <c r="M213" s="11">
        <v>0</v>
      </c>
      <c r="N213" s="8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f t="shared" si="66"/>
        <v>5472.0358333333334</v>
      </c>
      <c r="T213" s="10">
        <f t="shared" si="67"/>
        <v>65664.429999999993</v>
      </c>
    </row>
    <row r="214" spans="1:20" s="8" customFormat="1" ht="20.100000000000001" customHeight="1" x14ac:dyDescent="0.2">
      <c r="A214" s="9">
        <f t="shared" si="68"/>
        <v>211</v>
      </c>
      <c r="B214" s="9">
        <v>1263</v>
      </c>
      <c r="C214" s="9" t="str">
        <f>VLOOKUP(B214,'[1]اسماء الموظفين'!$B$8:$O$501,2,0)</f>
        <v>شكيل كازي</v>
      </c>
      <c r="D214" s="9" t="str">
        <f>VLOOKUP(B214,'[1]اسماء الموظفين'!$B$8:$O$501,4,0)</f>
        <v>بنجلاديش</v>
      </c>
      <c r="E214" s="9" t="str">
        <f>VLOOKUP(B214,'[2]المقيمين النشطين'!$B$2:$Q$980,15,0)</f>
        <v>مؤسسة سلطان عبدالرحمن صالح الرزيحي للتجارة</v>
      </c>
      <c r="F214" s="9" t="str">
        <f>VLOOKUP(B214,'[1]اسماء الموظفين'!$B$8:$O$501,11,0)</f>
        <v>هاينس</v>
      </c>
      <c r="G214" s="11">
        <f>VLOOKUP(B214,'[3]رواتب الموظفين 2022'!$B$9:$J$1019,9,0)</f>
        <v>1600</v>
      </c>
      <c r="H214" s="11">
        <f>VLOOKUP(B214,'[3]رواتب الموظفين 2022'!$B$9:$E$438,4,0)*2%</f>
        <v>24</v>
      </c>
      <c r="I214" s="11">
        <f t="shared" si="71"/>
        <v>32.035833333333336</v>
      </c>
      <c r="J214" s="11">
        <f>1251.55/12</f>
        <v>104.29583333333333</v>
      </c>
      <c r="K214" s="11">
        <f t="shared" si="69"/>
        <v>93.333333333333329</v>
      </c>
      <c r="L214" s="11">
        <f t="shared" si="70"/>
        <v>66.666666666666671</v>
      </c>
      <c r="M214" s="11">
        <f>1800/24</f>
        <v>75</v>
      </c>
      <c r="N214" s="8">
        <f>2000/12</f>
        <v>166.66666666666666</v>
      </c>
      <c r="O214" s="10">
        <f>650/12</f>
        <v>54.166666666666664</v>
      </c>
      <c r="P214" s="10">
        <f>9700/12</f>
        <v>808.33333333333337</v>
      </c>
      <c r="Q214" s="10">
        <f>VLOOKUP(B214,[4]بيان!$B$6:$G$112,4,0)</f>
        <v>92.594444444444449</v>
      </c>
      <c r="R214" s="10">
        <f>$K$329</f>
        <v>739.31702574525752</v>
      </c>
      <c r="S214" s="10">
        <f t="shared" si="66"/>
        <v>3856.4098035230354</v>
      </c>
      <c r="T214" s="10">
        <f t="shared" si="67"/>
        <v>46276.917642276429</v>
      </c>
    </row>
    <row r="215" spans="1:20" s="8" customFormat="1" ht="20.100000000000001" customHeight="1" x14ac:dyDescent="0.2">
      <c r="A215" s="9">
        <f t="shared" si="68"/>
        <v>212</v>
      </c>
      <c r="B215" s="9">
        <v>1265</v>
      </c>
      <c r="C215" s="9" t="str">
        <f>VLOOKUP(B215,'[1]اسماء الموظفين'!$B$8:$O$501,2,0)</f>
        <v>نادر محمد عبدالله احمد السامعي</v>
      </c>
      <c r="D215" s="9" t="str">
        <f>VLOOKUP(B215,'[1]اسماء الموظفين'!$B$8:$O$501,4,0)</f>
        <v>اليمن</v>
      </c>
      <c r="E215" s="9" t="str">
        <f>VLOOKUP(B215,'[2]المقيمين النشطين'!$B$2:$Q$980,15,0)</f>
        <v>شركة أدفان للصناعة ( شركة شخص واحد )</v>
      </c>
      <c r="F215" s="9" t="str">
        <f>VLOOKUP(B215,'[1]اسماء الموظفين'!$B$8:$O$501,11,0)</f>
        <v>ورشة أثاث</v>
      </c>
      <c r="G215" s="11">
        <f>VLOOKUP(B215,'[3]رواتب الموظفين 2022'!$B$9:$J$1019,9,0)</f>
        <v>2200</v>
      </c>
      <c r="H215" s="11"/>
      <c r="I215" s="11"/>
      <c r="J215" s="11"/>
      <c r="K215" s="11">
        <f t="shared" si="69"/>
        <v>128.33333333333334</v>
      </c>
      <c r="L215" s="11">
        <f t="shared" si="70"/>
        <v>91.666666666666671</v>
      </c>
      <c r="M215" s="11">
        <f>1500/24</f>
        <v>62.5</v>
      </c>
      <c r="N215" s="8">
        <v>0</v>
      </c>
      <c r="O215" s="10">
        <v>0</v>
      </c>
      <c r="P215" s="10">
        <v>0</v>
      </c>
      <c r="Q215" s="10">
        <v>0</v>
      </c>
      <c r="R215" s="10">
        <f>J$335</f>
        <v>700</v>
      </c>
      <c r="S215" s="10">
        <f t="shared" si="66"/>
        <v>3182.5</v>
      </c>
      <c r="T215" s="10">
        <f t="shared" si="67"/>
        <v>38190</v>
      </c>
    </row>
    <row r="216" spans="1:20" s="8" customFormat="1" ht="20.100000000000001" customHeight="1" x14ac:dyDescent="0.2">
      <c r="A216" s="9">
        <f t="shared" si="68"/>
        <v>213</v>
      </c>
      <c r="B216" s="9">
        <v>1267</v>
      </c>
      <c r="C216" s="9" t="str">
        <f>VLOOKUP(B216,'[1]اسماء الموظفين'!$B$8:$O$501,2,0)</f>
        <v>محمد سيد عبدالعظيم سليمان</v>
      </c>
      <c r="D216" s="9" t="str">
        <f>VLOOKUP(B216,'[1]اسماء الموظفين'!$B$8:$O$501,4,0)</f>
        <v>مصر</v>
      </c>
      <c r="E216" s="9" t="str">
        <f>VLOOKUP(B216,'[2]المقيمين النشطين'!$B$2:$Q$980,15,0)</f>
        <v>مصنع سلطان عبدالرحمن صالح الرزيحي للمنتجات الورقية</v>
      </c>
      <c r="F216" s="9" t="str">
        <f>VLOOKUP(B216,'[1]اسماء الموظفين'!$B$8:$O$501,11,0)</f>
        <v>وكالة ممكن</v>
      </c>
      <c r="G216" s="11">
        <f>VLOOKUP(B216,'[3]رواتب الموظفين 2022'!$B$9:$J$1019,9,0)</f>
        <v>5500</v>
      </c>
      <c r="H216" s="11">
        <f>VLOOKUP(B216,'[3]رواتب الموظفين 2022'!$B$9:$E$438,4,0)*2%</f>
        <v>80</v>
      </c>
      <c r="I216" s="11"/>
      <c r="J216" s="11"/>
      <c r="K216" s="11">
        <f t="shared" si="69"/>
        <v>320.83333333333331</v>
      </c>
      <c r="L216" s="11">
        <f t="shared" si="70"/>
        <v>229.16666666666666</v>
      </c>
      <c r="M216" s="11">
        <f>1500/12</f>
        <v>125</v>
      </c>
      <c r="N216" s="8">
        <f>2000/12</f>
        <v>166.66666666666666</v>
      </c>
      <c r="O216" s="10">
        <f>650/12</f>
        <v>54.166666666666664</v>
      </c>
      <c r="P216" s="10">
        <v>0</v>
      </c>
      <c r="Q216" s="10">
        <f>VLOOKUP(B216,[4]بيان!$B$6:$G$112,4,0)</f>
        <v>347.29166666666669</v>
      </c>
      <c r="R216" s="10">
        <f>$K$329</f>
        <v>739.31702574525752</v>
      </c>
      <c r="S216" s="10">
        <f t="shared" si="66"/>
        <v>7562.4420257452584</v>
      </c>
      <c r="T216" s="10">
        <f t="shared" si="67"/>
        <v>90749.304308943101</v>
      </c>
    </row>
    <row r="217" spans="1:20" s="8" customFormat="1" ht="20.100000000000001" customHeight="1" x14ac:dyDescent="0.2">
      <c r="A217" s="9">
        <f t="shared" si="68"/>
        <v>214</v>
      </c>
      <c r="B217" s="9">
        <v>1268</v>
      </c>
      <c r="C217" s="9" t="str">
        <f>VLOOKUP(B217,'[1]اسماء الموظفين'!$B$8:$O$501,2,0)</f>
        <v>أحمد صبري محمد جعلوص</v>
      </c>
      <c r="D217" s="9" t="str">
        <f>VLOOKUP(B217,'[1]اسماء الموظفين'!$B$8:$O$501,4,0)</f>
        <v>مصر</v>
      </c>
      <c r="E217" s="9" t="str">
        <f>VLOOKUP(B217,'[2]المقيمين النشطين'!$B$2:$Q$980,15,0)</f>
        <v>مصنع سلطان عبدالرحمن صالح الرزيحي للمنتجات الورقية</v>
      </c>
      <c r="F217" s="9" t="str">
        <f>VLOOKUP(B217,'[1]اسماء الموظفين'!$B$8:$O$501,11,0)</f>
        <v>وكالة ممكن</v>
      </c>
      <c r="G217" s="11">
        <f>VLOOKUP(B217,'[3]رواتب الموظفين 2022'!$B$9:$J$1019,9,0)</f>
        <v>8000</v>
      </c>
      <c r="H217" s="11">
        <f>VLOOKUP(B217,'[3]رواتب الموظفين 2022'!$B$9:$E$438,4,0)*2%</f>
        <v>120</v>
      </c>
      <c r="I217" s="11">
        <f>494.5/12</f>
        <v>41.208333333333336</v>
      </c>
      <c r="J217" s="11"/>
      <c r="K217" s="11">
        <f t="shared" si="69"/>
        <v>466.66666666666669</v>
      </c>
      <c r="L217" s="11">
        <f t="shared" si="70"/>
        <v>333.33333333333331</v>
      </c>
      <c r="M217" s="11">
        <v>125</v>
      </c>
      <c r="N217" s="8">
        <f>2000/12</f>
        <v>166.66666666666666</v>
      </c>
      <c r="O217" s="10">
        <f>650/12</f>
        <v>54.166666666666664</v>
      </c>
      <c r="P217" s="10">
        <v>0</v>
      </c>
      <c r="Q217" s="10">
        <v>0</v>
      </c>
      <c r="R217" s="10">
        <f>$K$329</f>
        <v>739.31702574525752</v>
      </c>
      <c r="S217" s="10">
        <f t="shared" si="66"/>
        <v>10046.358692411923</v>
      </c>
      <c r="T217" s="10">
        <f t="shared" si="67"/>
        <v>120556.30430894307</v>
      </c>
    </row>
    <row r="218" spans="1:20" s="8" customFormat="1" ht="20.100000000000001" customHeight="1" x14ac:dyDescent="0.2">
      <c r="A218" s="9">
        <f t="shared" si="68"/>
        <v>215</v>
      </c>
      <c r="B218" s="9">
        <v>1269</v>
      </c>
      <c r="C218" s="9" t="str">
        <f>VLOOKUP(B218,'[1]اسماء الموظفين'!$B$8:$O$501,2,0)</f>
        <v>فارس ترحيب عبدالله المزيني الحربي</v>
      </c>
      <c r="D218" s="9" t="str">
        <f>VLOOKUP(B218,'[1]اسماء الموظفين'!$B$8:$O$501,4,0)</f>
        <v>سعودي</v>
      </c>
      <c r="E218" s="9" t="str">
        <f>VLOOKUP(B218,'[2]المقيمين النشطين'!$B$2:$Q$980,15,0)</f>
        <v>مؤسسة سلطان عبدالرحمن صالح الرزيحي للتجارة</v>
      </c>
      <c r="F218" s="9" t="str">
        <f>VLOOKUP(B218,'[1]اسماء الموظفين'!$B$8:$O$501,11,0)</f>
        <v>هاينس</v>
      </c>
      <c r="G218" s="11">
        <f>VLOOKUP(B218,'[3]رواتب الموظفين 2022'!$B$9:$J$1019,9,0)</f>
        <v>4000</v>
      </c>
      <c r="H218" s="11">
        <f>VLOOKUP(B218,'[3]رواتب الموظفين 2022'!$B$9:$E$438,4,0)*12.25%</f>
        <v>490</v>
      </c>
      <c r="I218" s="11">
        <f>384.43/12</f>
        <v>32.035833333333336</v>
      </c>
      <c r="J218" s="11"/>
      <c r="K218" s="11">
        <f t="shared" si="69"/>
        <v>233.33333333333334</v>
      </c>
      <c r="L218" s="11">
        <f t="shared" si="70"/>
        <v>166.66666666666666</v>
      </c>
      <c r="M218" s="11">
        <v>0</v>
      </c>
      <c r="N218" s="8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f t="shared" si="66"/>
        <v>4922.0358333333334</v>
      </c>
      <c r="T218" s="10">
        <f t="shared" si="67"/>
        <v>59064.43</v>
      </c>
    </row>
    <row r="219" spans="1:20" s="8" customFormat="1" ht="20.100000000000001" customHeight="1" x14ac:dyDescent="0.2">
      <c r="A219" s="9">
        <f t="shared" si="68"/>
        <v>216</v>
      </c>
      <c r="B219" s="9">
        <v>1272</v>
      </c>
      <c r="C219" s="9" t="str">
        <f>VLOOKUP(B219,'[1]اسماء الموظفين'!$B$8:$O$501,2,0)</f>
        <v>سعد محمد القرني</v>
      </c>
      <c r="D219" s="9" t="str">
        <f>VLOOKUP(B219,'[1]اسماء الموظفين'!$B$8:$O$501,4,0)</f>
        <v>سعودي</v>
      </c>
      <c r="E219" s="9" t="str">
        <f>VLOOKUP(B219,'[2]المقيمين النشطين'!$B$2:$Q$980,15,0)</f>
        <v>مؤسسة ممكن حلول لخدمات الأعمال</v>
      </c>
      <c r="F219" s="9" t="str">
        <f>VLOOKUP(B219,'[1]اسماء الموظفين'!$B$8:$O$501,11,0)</f>
        <v>وكالة ممكن</v>
      </c>
      <c r="G219" s="11">
        <f>VLOOKUP(B219,'[3]رواتب الموظفين 2022'!$B$9:$J$1019,9,0)</f>
        <v>8000</v>
      </c>
      <c r="H219" s="11"/>
      <c r="I219" s="11"/>
      <c r="J219" s="11"/>
      <c r="K219" s="11">
        <f t="shared" si="69"/>
        <v>466.66666666666669</v>
      </c>
      <c r="L219" s="11">
        <f t="shared" si="70"/>
        <v>333.33333333333331</v>
      </c>
      <c r="M219" s="11">
        <v>0</v>
      </c>
      <c r="N219" s="8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f t="shared" si="66"/>
        <v>8800</v>
      </c>
      <c r="T219" s="10">
        <f t="shared" si="67"/>
        <v>105600</v>
      </c>
    </row>
    <row r="220" spans="1:20" s="8" customFormat="1" ht="20.100000000000001" customHeight="1" x14ac:dyDescent="0.2">
      <c r="A220" s="9">
        <f t="shared" si="68"/>
        <v>217</v>
      </c>
      <c r="B220" s="9">
        <v>1275</v>
      </c>
      <c r="C220" s="9" t="str">
        <f>VLOOKUP(B220,'[1]اسماء الموظفين'!$B$8:$O$501,2,0)</f>
        <v>صالح علي</v>
      </c>
      <c r="D220" s="9" t="str">
        <f>VLOOKUP(B220,'[1]اسماء الموظفين'!$B$8:$O$501,4,0)</f>
        <v>تشاد</v>
      </c>
      <c r="E220" s="9" t="str">
        <f>VLOOKUP(B220,'[2]المقيمين النشطين'!$B$2:$Q$980,15,0)</f>
        <v>تحت التجربة</v>
      </c>
      <c r="F220" s="9" t="str">
        <f>VLOOKUP(B220,'[1]اسماء الموظفين'!$B$8:$O$501,11,0)</f>
        <v>هاينس</v>
      </c>
      <c r="G220" s="11">
        <f>VLOOKUP(B220,'[3]رواتب الموظفين 2022'!$B$9:$J$1019,9,0)</f>
        <v>3000</v>
      </c>
      <c r="H220" s="11"/>
      <c r="I220" s="11"/>
      <c r="J220" s="11"/>
      <c r="K220" s="11">
        <f t="shared" si="69"/>
        <v>175</v>
      </c>
      <c r="L220" s="11">
        <f t="shared" si="70"/>
        <v>125</v>
      </c>
      <c r="M220" s="11">
        <v>150</v>
      </c>
      <c r="N220" s="8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f t="shared" si="66"/>
        <v>3450</v>
      </c>
      <c r="T220" s="10">
        <f t="shared" si="67"/>
        <v>41400</v>
      </c>
    </row>
    <row r="221" spans="1:20" s="8" customFormat="1" ht="20.100000000000001" customHeight="1" x14ac:dyDescent="0.2">
      <c r="A221" s="9">
        <f t="shared" si="68"/>
        <v>218</v>
      </c>
      <c r="B221" s="9">
        <v>1276</v>
      </c>
      <c r="C221" s="9" t="str">
        <f>VLOOKUP(B221,'[1]اسماء الموظفين'!$B$8:$O$501,2,0)</f>
        <v>احمد محمد علي احمد العبدلي</v>
      </c>
      <c r="D221" s="9" t="str">
        <f>VLOOKUP(B221,'[1]اسماء الموظفين'!$B$8:$O$501,4,0)</f>
        <v>اليمن</v>
      </c>
      <c r="E221" s="9" t="str">
        <f>VLOOKUP(B221,'[2]المقيمين النشطين'!$B$2:$Q$980,15,0)</f>
        <v>مؤسسة سلطان عبدالرحمن صالح الرزيحي للتجارة</v>
      </c>
      <c r="F221" s="9" t="str">
        <f>VLOOKUP(B221,'[1]اسماء الموظفين'!$B$8:$O$501,11,0)</f>
        <v>هاينس</v>
      </c>
      <c r="G221" s="11">
        <f>VLOOKUP(B221,'[3]رواتب الموظفين 2022'!$B$9:$J$1019,9,0)</f>
        <v>5500</v>
      </c>
      <c r="H221" s="11"/>
      <c r="I221" s="11"/>
      <c r="J221" s="11"/>
      <c r="K221" s="11">
        <f t="shared" si="69"/>
        <v>320.83333333333331</v>
      </c>
      <c r="L221" s="11">
        <f t="shared" si="70"/>
        <v>229.16666666666666</v>
      </c>
      <c r="M221" s="11">
        <v>0</v>
      </c>
      <c r="N221" s="8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f t="shared" si="66"/>
        <v>6050</v>
      </c>
      <c r="T221" s="10">
        <f t="shared" si="67"/>
        <v>72600</v>
      </c>
    </row>
    <row r="222" spans="1:20" s="8" customFormat="1" ht="20.100000000000001" customHeight="1" x14ac:dyDescent="0.2">
      <c r="A222" s="9">
        <f t="shared" si="68"/>
        <v>219</v>
      </c>
      <c r="B222" s="9">
        <v>1279</v>
      </c>
      <c r="C222" s="9" t="str">
        <f>VLOOKUP(B222,'[1]اسماء الموظفين'!$B$8:$O$501,2,0)</f>
        <v>نواف ابراهيم سعود العبودي</v>
      </c>
      <c r="D222" s="9" t="str">
        <f>VLOOKUP(B222,'[1]اسماء الموظفين'!$B$8:$O$501,4,0)</f>
        <v>سعودي</v>
      </c>
      <c r="E222" s="9" t="str">
        <f>VLOOKUP(B222,'[2]المقيمين النشطين'!$B$2:$Q$980,15,0)</f>
        <v>مؤسسة سلطان عبدالرحمن صالح الرزيحي للتجارة</v>
      </c>
      <c r="F222" s="9" t="str">
        <f>VLOOKUP(B222,'[1]اسماء الموظفين'!$B$8:$O$501,11,0)</f>
        <v>هاينس</v>
      </c>
      <c r="G222" s="11">
        <f>VLOOKUP(B222,'[3]رواتب الموظفين 2022'!$B$9:$J$1019,9,0)</f>
        <v>4500</v>
      </c>
      <c r="H222" s="11">
        <f>VLOOKUP(B222,'[3]رواتب الموظفين 2022'!$B$9:$E$438,4,0)*12.25%</f>
        <v>490</v>
      </c>
      <c r="I222" s="11">
        <f>384.43/12</f>
        <v>32.035833333333336</v>
      </c>
      <c r="J222" s="11"/>
      <c r="K222" s="11">
        <f t="shared" si="69"/>
        <v>262.5</v>
      </c>
      <c r="L222" s="11">
        <f t="shared" si="70"/>
        <v>187.5</v>
      </c>
      <c r="M222" s="11">
        <v>0</v>
      </c>
      <c r="N222" s="8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f t="shared" si="66"/>
        <v>5472.0358333333334</v>
      </c>
      <c r="T222" s="10">
        <f t="shared" si="67"/>
        <v>65664.429999999993</v>
      </c>
    </row>
    <row r="223" spans="1:20" s="8" customFormat="1" ht="20.100000000000001" customHeight="1" x14ac:dyDescent="0.2">
      <c r="A223" s="9">
        <f t="shared" si="68"/>
        <v>220</v>
      </c>
      <c r="B223" s="9">
        <v>1280</v>
      </c>
      <c r="C223" s="9" t="str">
        <f>VLOOKUP(B223,'[1]اسماء الموظفين'!$B$8:$O$501,2,0)</f>
        <v>بياترس دينا منيازي</v>
      </c>
      <c r="D223" s="9" t="str">
        <f>VLOOKUP(B223,'[1]اسماء الموظفين'!$B$8:$O$501,4,0)</f>
        <v>كينيا</v>
      </c>
      <c r="E223" s="9" t="str">
        <f>VLOOKUP(B223,'[2]المقيمين النشطين'!$B$2:$Q$980,15,0)</f>
        <v xml:space="preserve">سلطان عبدالرحمن صالح الرزيحي </v>
      </c>
      <c r="F223" s="9" t="str">
        <f>VLOOKUP(B223,'[1]اسماء الموظفين'!$B$8:$O$501,11,0)</f>
        <v>المالك</v>
      </c>
      <c r="G223" s="11">
        <f>VLOOKUP(B223,'[3]رواتب الموظفين 2022'!$B$9:$J$1019,9,0)</f>
        <v>0</v>
      </c>
      <c r="H223" s="11"/>
      <c r="I223" s="11"/>
      <c r="J223" s="11"/>
      <c r="K223" s="11"/>
      <c r="L223" s="11"/>
      <c r="M223" s="11"/>
      <c r="O223" s="10"/>
      <c r="P223" s="10"/>
      <c r="Q223" s="10">
        <v>0</v>
      </c>
      <c r="R223" s="10">
        <v>0</v>
      </c>
      <c r="S223" s="10">
        <f t="shared" si="66"/>
        <v>0</v>
      </c>
      <c r="T223" s="10">
        <f t="shared" si="67"/>
        <v>0</v>
      </c>
    </row>
    <row r="224" spans="1:20" s="8" customFormat="1" ht="20.100000000000001" customHeight="1" x14ac:dyDescent="0.2">
      <c r="A224" s="9">
        <f t="shared" si="68"/>
        <v>221</v>
      </c>
      <c r="B224" s="9">
        <v>1281</v>
      </c>
      <c r="C224" s="9" t="str">
        <f>VLOOKUP(B224,'[1]اسماء الموظفين'!$B$8:$O$501,2,0)</f>
        <v>اصيل عبدالله علي احمد</v>
      </c>
      <c r="D224" s="9" t="str">
        <f>VLOOKUP(B224,'[1]اسماء الموظفين'!$B$8:$O$501,4,0)</f>
        <v>اليمن</v>
      </c>
      <c r="E224" s="9" t="str">
        <f>VLOOKUP(B224,'[2]المقيمين النشطين'!$B$2:$Q$980,15,0)</f>
        <v>شركة أدفان للصناعة ( شركة شخص واحد )</v>
      </c>
      <c r="F224" s="9" t="str">
        <f>VLOOKUP(B224,'[1]اسماء الموظفين'!$B$8:$O$501,11,0)</f>
        <v>ورشة أثاث</v>
      </c>
      <c r="G224" s="11">
        <f>VLOOKUP(B224,'[3]رواتب الموظفين 2022'!$B$9:$J$1019,9,0)</f>
        <v>2300</v>
      </c>
      <c r="H224" s="11"/>
      <c r="I224" s="11"/>
      <c r="J224" s="11"/>
      <c r="K224" s="11">
        <f t="shared" ref="K224:K287" si="72">G224/30*21/12</f>
        <v>134.16666666666666</v>
      </c>
      <c r="L224" s="11">
        <f t="shared" ref="L224:L287" si="73">G224/2/12</f>
        <v>95.833333333333329</v>
      </c>
      <c r="M224" s="11">
        <f>1500/24</f>
        <v>62.5</v>
      </c>
      <c r="O224" s="10"/>
      <c r="P224" s="10"/>
      <c r="Q224" s="10">
        <v>0</v>
      </c>
      <c r="R224" s="10">
        <f>J$335</f>
        <v>700</v>
      </c>
      <c r="S224" s="10">
        <f t="shared" si="66"/>
        <v>3292.5</v>
      </c>
      <c r="T224" s="10">
        <f t="shared" si="67"/>
        <v>39510</v>
      </c>
    </row>
    <row r="225" spans="1:20" s="8" customFormat="1" ht="20.100000000000001" customHeight="1" x14ac:dyDescent="0.2">
      <c r="A225" s="9">
        <f t="shared" si="68"/>
        <v>222</v>
      </c>
      <c r="B225" s="9">
        <v>1282</v>
      </c>
      <c r="C225" s="9" t="str">
        <f>VLOOKUP(B225,'[1]اسماء الموظفين'!$B$8:$O$501,2,0)</f>
        <v>إبراهيم إبراهيم محمد أبو شنب</v>
      </c>
      <c r="D225" s="9" t="str">
        <f>VLOOKUP(B225,'[1]اسماء الموظفين'!$B$8:$O$501,4,0)</f>
        <v>مصر</v>
      </c>
      <c r="E225" s="9" t="str">
        <f>VLOOKUP(B225,'[2]المقيمين النشطين'!$B$2:$Q$980,15,0)</f>
        <v>مصنع سلطان عبدالرحمن صالح الرزيحي للمنتجات الورقية</v>
      </c>
      <c r="F225" s="9" t="str">
        <f>VLOOKUP(B225,'[1]اسماء الموظفين'!$B$8:$O$501,11,0)</f>
        <v>المصنع</v>
      </c>
      <c r="G225" s="11">
        <f>VLOOKUP(B225,'[3]رواتب الموظفين 2022'!$B$9:$J$1019,9,0)</f>
        <v>5000</v>
      </c>
      <c r="H225" s="11">
        <f>VLOOKUP(B225,'[3]رواتب الموظفين 2022'!$B$9:$E$438,4,0)*2%</f>
        <v>70</v>
      </c>
      <c r="I225" s="11">
        <f>664.7/12</f>
        <v>55.391666666666673</v>
      </c>
      <c r="J225" s="11"/>
      <c r="K225" s="11">
        <f t="shared" si="72"/>
        <v>291.66666666666669</v>
      </c>
      <c r="L225" s="11">
        <f t="shared" si="73"/>
        <v>208.33333333333334</v>
      </c>
      <c r="M225" s="11">
        <f>1500/12</f>
        <v>125</v>
      </c>
      <c r="N225" s="8">
        <f>2000/12</f>
        <v>166.66666666666666</v>
      </c>
      <c r="O225" s="10">
        <f>650/12</f>
        <v>54.166666666666664</v>
      </c>
      <c r="P225" s="10">
        <f>100/12</f>
        <v>8.3333333333333339</v>
      </c>
      <c r="Q225" s="10">
        <v>0</v>
      </c>
      <c r="R225" s="10">
        <f>$K$329</f>
        <v>739.31702574525752</v>
      </c>
      <c r="S225" s="10">
        <f t="shared" si="66"/>
        <v>6718.8753590785909</v>
      </c>
      <c r="T225" s="10">
        <f t="shared" si="67"/>
        <v>80626.504308943084</v>
      </c>
    </row>
    <row r="226" spans="1:20" s="8" customFormat="1" ht="20.100000000000001" customHeight="1" x14ac:dyDescent="0.2">
      <c r="A226" s="9">
        <f t="shared" si="68"/>
        <v>223</v>
      </c>
      <c r="B226" s="9">
        <v>1283</v>
      </c>
      <c r="C226" s="9" t="str">
        <f>VLOOKUP(B226,'[1]اسماء الموظفين'!$B$8:$O$501,2,0)</f>
        <v>ساميه جابر احمد هزازي</v>
      </c>
      <c r="D226" s="9" t="str">
        <f>VLOOKUP(B226,'[1]اسماء الموظفين'!$B$8:$O$501,4,0)</f>
        <v>سعودي</v>
      </c>
      <c r="E226" s="9" t="str">
        <f>VLOOKUP(B226,'[2]المقيمين النشطين'!$B$2:$Q$980,15,0)</f>
        <v>شركة ريال البركة للتجارة</v>
      </c>
      <c r="F226" s="9" t="str">
        <f>VLOOKUP(B226,'[1]اسماء الموظفين'!$B$8:$O$501,11,0)</f>
        <v>الدائري الغربي</v>
      </c>
      <c r="G226" s="11">
        <f>VLOOKUP(B226,'[3]رواتب الموظفين 2022'!$B$9:$J$1019,9,0)</f>
        <v>4000</v>
      </c>
      <c r="H226" s="11">
        <f>VLOOKUP(B226,'[3]رواتب الموظفين 2022'!$B$9:$E$438,4,0)*12.25%</f>
        <v>490</v>
      </c>
      <c r="I226" s="11"/>
      <c r="J226" s="11"/>
      <c r="K226" s="11">
        <f t="shared" si="72"/>
        <v>233.33333333333334</v>
      </c>
      <c r="L226" s="11">
        <f t="shared" si="73"/>
        <v>166.66666666666666</v>
      </c>
      <c r="M226" s="11">
        <v>0</v>
      </c>
      <c r="N226" s="8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f t="shared" si="66"/>
        <v>4890</v>
      </c>
      <c r="T226" s="10">
        <f t="shared" si="67"/>
        <v>58680</v>
      </c>
    </row>
    <row r="227" spans="1:20" s="8" customFormat="1" ht="20.100000000000001" customHeight="1" x14ac:dyDescent="0.2">
      <c r="A227" s="9">
        <f t="shared" si="68"/>
        <v>224</v>
      </c>
      <c r="B227" s="9">
        <v>1285</v>
      </c>
      <c r="C227" s="9" t="str">
        <f>VLOOKUP(B227,'[1]اسماء الموظفين'!$B$8:$O$501,2,0)</f>
        <v>بندر محمد احمد ازيبي</v>
      </c>
      <c r="D227" s="9" t="str">
        <f>VLOOKUP(B227,'[1]اسماء الموظفين'!$B$8:$O$501,4,0)</f>
        <v>سعودي</v>
      </c>
      <c r="E227" s="9" t="str">
        <f>VLOOKUP(B227,'[2]المقيمين النشطين'!$B$2:$Q$980,15,0)</f>
        <v>مؤسسة زاوية ريال بركة للكماليات</v>
      </c>
      <c r="F227" s="9" t="str">
        <f>VLOOKUP(B227,'[1]اسماء الموظفين'!$B$8:$O$501,11,0)</f>
        <v>المصيف</v>
      </c>
      <c r="G227" s="11">
        <f>VLOOKUP(B227,'[3]رواتب الموظفين 2022'!$B$9:$J$1019,9,0)</f>
        <v>4000</v>
      </c>
      <c r="H227" s="11">
        <f>VLOOKUP(B227,'[3]رواتب الموظفين 2022'!$B$9:$E$438,4,0)*12.25%</f>
        <v>490</v>
      </c>
      <c r="I227" s="11"/>
      <c r="J227" s="11"/>
      <c r="K227" s="11">
        <f t="shared" si="72"/>
        <v>233.33333333333334</v>
      </c>
      <c r="L227" s="11">
        <f t="shared" si="73"/>
        <v>166.66666666666666</v>
      </c>
      <c r="M227" s="11">
        <v>0</v>
      </c>
      <c r="N227" s="8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f t="shared" si="66"/>
        <v>4890</v>
      </c>
      <c r="T227" s="10">
        <f t="shared" si="67"/>
        <v>58680</v>
      </c>
    </row>
    <row r="228" spans="1:20" s="8" customFormat="1" ht="20.100000000000001" customHeight="1" x14ac:dyDescent="0.2">
      <c r="A228" s="9">
        <f t="shared" si="68"/>
        <v>225</v>
      </c>
      <c r="B228" s="9">
        <v>1287</v>
      </c>
      <c r="C228" s="9" t="str">
        <f>VLOOKUP(B228,'[1]اسماء الموظفين'!$B$8:$O$501,2,0)</f>
        <v>صالح سعيد عوظه الشهري</v>
      </c>
      <c r="D228" s="9" t="str">
        <f>VLOOKUP(B228,'[1]اسماء الموظفين'!$B$8:$O$501,4,0)</f>
        <v>سعودي</v>
      </c>
      <c r="E228" s="9" t="str">
        <f>VLOOKUP(B228,'[2]المقيمين النشطين'!$B$2:$Q$980,15,0)</f>
        <v>مؤسسة زاوية ريال بركة للكماليات</v>
      </c>
      <c r="F228" s="9" t="str">
        <f>VLOOKUP(B228,'[1]اسماء الموظفين'!$B$8:$O$501,11,0)</f>
        <v>اليرموك</v>
      </c>
      <c r="G228" s="11">
        <f>VLOOKUP(B228,'[3]رواتب الموظفين 2022'!$B$9:$J$1019,9,0)</f>
        <v>4000</v>
      </c>
      <c r="H228" s="11">
        <f>VLOOKUP(B228,'[3]رواتب الموظفين 2022'!$B$9:$E$438,4,0)*12.25%</f>
        <v>490</v>
      </c>
      <c r="I228" s="11"/>
      <c r="J228" s="11"/>
      <c r="K228" s="11">
        <f t="shared" si="72"/>
        <v>233.33333333333334</v>
      </c>
      <c r="L228" s="11">
        <f t="shared" si="73"/>
        <v>166.66666666666666</v>
      </c>
      <c r="M228" s="11">
        <v>0</v>
      </c>
      <c r="N228" s="8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f t="shared" si="66"/>
        <v>4890</v>
      </c>
      <c r="T228" s="10">
        <f t="shared" si="67"/>
        <v>58680</v>
      </c>
    </row>
    <row r="229" spans="1:20" s="8" customFormat="1" ht="20.100000000000001" customHeight="1" x14ac:dyDescent="0.2">
      <c r="A229" s="9">
        <f t="shared" si="68"/>
        <v>226</v>
      </c>
      <c r="B229" s="9">
        <v>1289</v>
      </c>
      <c r="C229" s="9" t="str">
        <f>VLOOKUP(B229,'[1]اسماء الموظفين'!$B$8:$O$501,2,0)</f>
        <v>محمود صالح حسن عبدالله</v>
      </c>
      <c r="D229" s="9" t="str">
        <f>VLOOKUP(B229,'[1]اسماء الموظفين'!$B$8:$O$501,4,0)</f>
        <v>مصر</v>
      </c>
      <c r="E229" s="9" t="str">
        <f>VLOOKUP(B229,'[2]المقيمين النشطين'!$B$2:$Q$980,15,0)</f>
        <v>مؤسسة سلطان عبدالرحمن صالح الرزيحي للتجارة</v>
      </c>
      <c r="F229" s="9" t="str">
        <f>VLOOKUP(B229,'[1]اسماء الموظفين'!$B$8:$O$501,11,0)</f>
        <v>هاينس</v>
      </c>
      <c r="G229" s="11">
        <f>VLOOKUP(B229,'[3]رواتب الموظفين 2022'!$B$9:$J$1019,9,0)</f>
        <v>5500</v>
      </c>
      <c r="H229" s="11">
        <f>VLOOKUP(B229,'[3]رواتب الموظفين 2022'!$B$9:$E$438,4,0)*2%</f>
        <v>100</v>
      </c>
      <c r="I229" s="11">
        <f>372.82/12</f>
        <v>31.068333333333332</v>
      </c>
      <c r="J229" s="11"/>
      <c r="K229" s="11">
        <f t="shared" si="72"/>
        <v>320.83333333333331</v>
      </c>
      <c r="L229" s="11">
        <f t="shared" si="73"/>
        <v>229.16666666666666</v>
      </c>
      <c r="M229" s="11">
        <f>1500/12</f>
        <v>125</v>
      </c>
      <c r="N229" s="8">
        <f>2000/12</f>
        <v>166.66666666666666</v>
      </c>
      <c r="O229" s="10">
        <f>650/12</f>
        <v>54.166666666666664</v>
      </c>
      <c r="P229" s="10">
        <f>9700/12</f>
        <v>808.33333333333337</v>
      </c>
      <c r="Q229" s="10">
        <f>VLOOKUP(B229,[4]بيان!$B$6:$G$112,4,0)</f>
        <v>329.16666666666669</v>
      </c>
      <c r="R229" s="10">
        <f>$K$329</f>
        <v>739.31702574525752</v>
      </c>
      <c r="S229" s="10">
        <f t="shared" si="66"/>
        <v>8403.7186924119251</v>
      </c>
      <c r="T229" s="10">
        <f t="shared" si="67"/>
        <v>100844.62430894311</v>
      </c>
    </row>
    <row r="230" spans="1:20" s="8" customFormat="1" ht="20.100000000000001" customHeight="1" x14ac:dyDescent="0.2">
      <c r="A230" s="9">
        <f t="shared" si="68"/>
        <v>227</v>
      </c>
      <c r="B230" s="9">
        <v>1290</v>
      </c>
      <c r="C230" s="9" t="str">
        <f>VLOOKUP(B230,'[1]اسماء الموظفين'!$B$8:$O$501,2,0)</f>
        <v>شهيد خان سودير خان</v>
      </c>
      <c r="D230" s="9" t="str">
        <f>VLOOKUP(B230,'[1]اسماء الموظفين'!$B$8:$O$501,4,0)</f>
        <v>باكستان</v>
      </c>
      <c r="E230" s="9" t="str">
        <f>VLOOKUP(B230,'[2]المقيمين النشطين'!$B$2:$Q$980,15,0)</f>
        <v>مصنع سلطان عبدالرحمن صالح الرزيحي للمنتجات الورقية</v>
      </c>
      <c r="F230" s="9" t="str">
        <f>VLOOKUP(B230,'[1]اسماء الموظفين'!$B$8:$O$501,11,0)</f>
        <v>المصنع</v>
      </c>
      <c r="G230" s="11">
        <f>VLOOKUP(B230,'[3]رواتب الموظفين 2022'!$B$9:$J$1019,9,0)</f>
        <v>2800</v>
      </c>
      <c r="H230" s="11">
        <f>VLOOKUP(B230,'[3]رواتب الموظفين 2022'!$B$9:$E$438,4,0)*2%</f>
        <v>24</v>
      </c>
      <c r="I230" s="11">
        <f>376.05/12</f>
        <v>31.337500000000002</v>
      </c>
      <c r="J230" s="11"/>
      <c r="K230" s="11">
        <f t="shared" si="72"/>
        <v>163.33333333333334</v>
      </c>
      <c r="L230" s="11">
        <f t="shared" si="73"/>
        <v>116.66666666666667</v>
      </c>
      <c r="M230" s="11">
        <f>1800/24</f>
        <v>75</v>
      </c>
      <c r="N230" s="8">
        <f>2000/12</f>
        <v>166.66666666666666</v>
      </c>
      <c r="O230" s="10">
        <f>650/12</f>
        <v>54.166666666666664</v>
      </c>
      <c r="P230" s="10">
        <f>100/12</f>
        <v>8.3333333333333339</v>
      </c>
      <c r="Q230" s="10">
        <v>0</v>
      </c>
      <c r="R230" s="10">
        <f>$K$329</f>
        <v>739.31702574525752</v>
      </c>
      <c r="S230" s="10">
        <f t="shared" si="66"/>
        <v>4178.8211924119241</v>
      </c>
      <c r="T230" s="10">
        <f t="shared" si="67"/>
        <v>50145.85430894309</v>
      </c>
    </row>
    <row r="231" spans="1:20" s="8" customFormat="1" ht="20.100000000000001" customHeight="1" x14ac:dyDescent="0.2">
      <c r="A231" s="9">
        <f t="shared" si="68"/>
        <v>228</v>
      </c>
      <c r="B231" s="9">
        <v>1291</v>
      </c>
      <c r="C231" s="9" t="str">
        <f>VLOOKUP(B231,'[1]اسماء الموظفين'!$B$8:$O$501,2,0)</f>
        <v>وائل معوض حفناوي الحفناوي</v>
      </c>
      <c r="D231" s="9" t="str">
        <f>VLOOKUP(B231,'[1]اسماء الموظفين'!$B$8:$O$501,4,0)</f>
        <v>مصر</v>
      </c>
      <c r="E231" s="9" t="str">
        <f>VLOOKUP(B231,'[2]المقيمين النشطين'!$B$2:$Q$980,15,0)</f>
        <v>مؤسسة سلطان عبدالرحمن صالح الرزيحي للتجارة</v>
      </c>
      <c r="F231" s="9" t="str">
        <f>VLOOKUP(B231,'[1]اسماء الموظفين'!$B$8:$O$501,11,0)</f>
        <v>وكالة ممكن</v>
      </c>
      <c r="G231" s="11">
        <f>VLOOKUP(B231,'[3]رواتب الموظفين 2022'!$B$9:$J$1019,9,0)</f>
        <v>4500</v>
      </c>
      <c r="H231" s="11"/>
      <c r="I231" s="11"/>
      <c r="J231" s="11"/>
      <c r="K231" s="11">
        <f t="shared" si="72"/>
        <v>262.5</v>
      </c>
      <c r="L231" s="11">
        <f t="shared" si="73"/>
        <v>187.5</v>
      </c>
      <c r="M231" s="11">
        <f>1500/12</f>
        <v>125</v>
      </c>
      <c r="N231" s="8">
        <v>0</v>
      </c>
      <c r="O231" s="10">
        <v>0</v>
      </c>
      <c r="P231" s="10">
        <v>0</v>
      </c>
      <c r="Q231" s="10">
        <f>VLOOKUP(B231,[4]بيان!$B$6:$G$112,4,0)</f>
        <v>329.16666666666669</v>
      </c>
      <c r="R231" s="10">
        <v>0</v>
      </c>
      <c r="S231" s="10">
        <f t="shared" si="66"/>
        <v>5404.166666666667</v>
      </c>
      <c r="T231" s="10">
        <f t="shared" si="67"/>
        <v>64850</v>
      </c>
    </row>
    <row r="232" spans="1:20" s="8" customFormat="1" ht="20.100000000000001" customHeight="1" x14ac:dyDescent="0.2">
      <c r="A232" s="9">
        <f t="shared" si="68"/>
        <v>229</v>
      </c>
      <c r="B232" s="9">
        <v>1293</v>
      </c>
      <c r="C232" s="9" t="str">
        <f>VLOOKUP(B232,'[1]اسماء الموظفين'!$B$8:$O$501,2,0)</f>
        <v>محمد ضيف الله محمد يحيى</v>
      </c>
      <c r="D232" s="9" t="str">
        <f>VLOOKUP(B232,'[1]اسماء الموظفين'!$B$8:$O$501,4,0)</f>
        <v>اليمن</v>
      </c>
      <c r="E232" s="9" t="str">
        <f>VLOOKUP(B232,'[2]المقيمين النشطين'!$B$2:$Q$980,15,0)</f>
        <v>مؤسسة عبدالرحمن سلطان عبدالرحمن الرزيحي للتجارة</v>
      </c>
      <c r="F232" s="9" t="str">
        <f>VLOOKUP(B232,'[1]اسماء الموظفين'!$B$8:$O$501,11,0)</f>
        <v>النسيم 2</v>
      </c>
      <c r="G232" s="11">
        <f>VLOOKUP(B232,'[3]رواتب الموظفين 2022'!$B$9:$J$1019,9,0)</f>
        <v>1900</v>
      </c>
      <c r="H232" s="11"/>
      <c r="I232" s="11"/>
      <c r="J232" s="11"/>
      <c r="K232" s="11">
        <f t="shared" si="72"/>
        <v>110.83333333333333</v>
      </c>
      <c r="L232" s="11">
        <f t="shared" si="73"/>
        <v>79.166666666666671</v>
      </c>
      <c r="M232" s="11">
        <f>1500/12</f>
        <v>125</v>
      </c>
      <c r="N232" s="8">
        <v>0</v>
      </c>
      <c r="O232" s="10">
        <v>0</v>
      </c>
      <c r="P232" s="10">
        <v>0</v>
      </c>
      <c r="Q232" s="10">
        <f>VLOOKUP(B232,[4]بيان!$B$6:$G$112,4,0)</f>
        <v>183.33333333333334</v>
      </c>
      <c r="R232" s="10">
        <f>$J$334</f>
        <v>581.33333333333337</v>
      </c>
      <c r="S232" s="10">
        <f t="shared" si="66"/>
        <v>2979.666666666667</v>
      </c>
      <c r="T232" s="10">
        <f t="shared" si="67"/>
        <v>35756</v>
      </c>
    </row>
    <row r="233" spans="1:20" s="8" customFormat="1" ht="20.100000000000001" customHeight="1" x14ac:dyDescent="0.2">
      <c r="A233" s="9">
        <f t="shared" si="68"/>
        <v>230</v>
      </c>
      <c r="B233" s="9">
        <v>1294</v>
      </c>
      <c r="C233" s="9" t="str">
        <f>VLOOKUP(B233,'[1]اسماء الموظفين'!$B$8:$O$501,2,0)</f>
        <v>عبدالعزيز صالح محمد الغوينم</v>
      </c>
      <c r="D233" s="9" t="str">
        <f>VLOOKUP(B233,'[1]اسماء الموظفين'!$B$8:$O$501,4,0)</f>
        <v>سعودي</v>
      </c>
      <c r="E233" s="9" t="str">
        <f>VLOOKUP(B233,'[2]المقيمين النشطين'!$B$2:$Q$980,15,0)</f>
        <v>مؤسسة سلطان عبدالرحمن صالح الرزيحي للتجارة</v>
      </c>
      <c r="F233" s="9" t="str">
        <f>VLOOKUP(B233,'[1]اسماء الموظفين'!$B$8:$O$501,11,0)</f>
        <v>هاينس</v>
      </c>
      <c r="G233" s="11">
        <f>VLOOKUP(B233,'[3]رواتب الموظفين 2022'!$B$9:$J$1019,9,0)</f>
        <v>4000</v>
      </c>
      <c r="H233" s="11">
        <f>VLOOKUP(B233,'[3]رواتب الموظفين 2022'!$B$9:$E$438,4,0)*12.25%</f>
        <v>490</v>
      </c>
      <c r="I233" s="11"/>
      <c r="J233" s="11"/>
      <c r="K233" s="11">
        <f t="shared" si="72"/>
        <v>233.33333333333334</v>
      </c>
      <c r="L233" s="11">
        <f t="shared" si="73"/>
        <v>166.66666666666666</v>
      </c>
      <c r="M233" s="11"/>
      <c r="O233" s="10"/>
      <c r="P233" s="10"/>
      <c r="Q233" s="10">
        <v>0</v>
      </c>
      <c r="R233" s="10">
        <v>0</v>
      </c>
      <c r="S233" s="10">
        <f t="shared" si="66"/>
        <v>4890</v>
      </c>
      <c r="T233" s="10">
        <f t="shared" si="67"/>
        <v>58680</v>
      </c>
    </row>
    <row r="234" spans="1:20" s="8" customFormat="1" ht="20.100000000000001" customHeight="1" x14ac:dyDescent="0.2">
      <c r="A234" s="9">
        <f t="shared" si="68"/>
        <v>231</v>
      </c>
      <c r="B234" s="9">
        <v>1295</v>
      </c>
      <c r="C234" s="9" t="str">
        <f>VLOOKUP(B234,'[1]اسماء الموظفين'!$B$8:$O$501,2,0)</f>
        <v>الزيتوني عسيلة</v>
      </c>
      <c r="D234" s="9" t="str">
        <f>VLOOKUP(B234,'[1]اسماء الموظفين'!$B$8:$O$501,4,0)</f>
        <v>المغرب</v>
      </c>
      <c r="E234" s="9" t="str">
        <f>VLOOKUP(B234,'[2]المقيمين النشطين'!$B$2:$Q$980,15,0)</f>
        <v>مؤسسة سلطان عبدالرحمن صالح الرزيحي للتجارة</v>
      </c>
      <c r="F234" s="9" t="str">
        <f>VLOOKUP(B234,'[1]اسماء الموظفين'!$B$8:$O$501,11,0)</f>
        <v>هاينس</v>
      </c>
      <c r="G234" s="11">
        <f>VLOOKUP(B234,'[3]رواتب الموظفين 2022'!$B$9:$J$1019,9,0)</f>
        <v>12000</v>
      </c>
      <c r="H234" s="11">
        <f>VLOOKUP(B234,'[3]رواتب الموظفين 2022'!$B$9:$E$438,4,0)*2%</f>
        <v>153</v>
      </c>
      <c r="I234" s="11">
        <f>372.82/12</f>
        <v>31.068333333333332</v>
      </c>
      <c r="J234" s="11"/>
      <c r="K234" s="11">
        <f t="shared" si="72"/>
        <v>700</v>
      </c>
      <c r="L234" s="11">
        <f t="shared" si="73"/>
        <v>500</v>
      </c>
      <c r="M234" s="11">
        <f>1500/12</f>
        <v>125</v>
      </c>
      <c r="N234" s="8">
        <f>2000/12</f>
        <v>166.66666666666666</v>
      </c>
      <c r="O234" s="10">
        <f>650/12</f>
        <v>54.166666666666664</v>
      </c>
      <c r="P234" s="10">
        <f>9700/12</f>
        <v>808.33333333333337</v>
      </c>
      <c r="Q234" s="10">
        <v>0</v>
      </c>
      <c r="R234" s="10">
        <f>$K$329</f>
        <v>739.31702574525752</v>
      </c>
      <c r="S234" s="10">
        <f t="shared" si="66"/>
        <v>15277.552025745255</v>
      </c>
      <c r="T234" s="10">
        <f t="shared" si="67"/>
        <v>183330.62430894305</v>
      </c>
    </row>
    <row r="235" spans="1:20" s="8" customFormat="1" ht="20.100000000000001" customHeight="1" x14ac:dyDescent="0.2">
      <c r="A235" s="9">
        <f t="shared" si="68"/>
        <v>232</v>
      </c>
      <c r="B235" s="9">
        <v>1297</v>
      </c>
      <c r="C235" s="9" t="str">
        <f>VLOOKUP(B235,'[1]اسماء الموظفين'!$B$8:$O$501,2,0)</f>
        <v>لطيفه ابراهيم عبدالعزيز بن عمير</v>
      </c>
      <c r="D235" s="9" t="str">
        <f>VLOOKUP(B235,'[1]اسماء الموظفين'!$B$8:$O$501,4,0)</f>
        <v>سعودي</v>
      </c>
      <c r="E235" s="9" t="str">
        <f>VLOOKUP(B235,'[2]المقيمين النشطين'!$B$2:$Q$980,15,0)</f>
        <v>مؤسسة عبدالرحمن سلطان عبدالرحمن الرزيحي للتجارة</v>
      </c>
      <c r="F235" s="9" t="str">
        <f>VLOOKUP(B235,'[1]اسماء الموظفين'!$B$8:$O$501,11,0)</f>
        <v>الشفا</v>
      </c>
      <c r="G235" s="11">
        <f>VLOOKUP(B235,'[3]رواتب الموظفين 2022'!$B$9:$J$1019,9,0)</f>
        <v>4000</v>
      </c>
      <c r="H235" s="11">
        <f>VLOOKUP(B235,'[3]رواتب الموظفين 2022'!$B$9:$E$438,4,0)*12.25%</f>
        <v>490</v>
      </c>
      <c r="I235" s="11"/>
      <c r="J235" s="11"/>
      <c r="K235" s="11">
        <f t="shared" si="72"/>
        <v>233.33333333333334</v>
      </c>
      <c r="L235" s="11">
        <f t="shared" si="73"/>
        <v>166.66666666666666</v>
      </c>
      <c r="M235" s="11"/>
      <c r="O235" s="10"/>
      <c r="P235" s="10"/>
      <c r="Q235" s="10"/>
      <c r="R235" s="10"/>
      <c r="S235" s="10">
        <f t="shared" si="66"/>
        <v>4890</v>
      </c>
      <c r="T235" s="10">
        <f t="shared" si="67"/>
        <v>58680</v>
      </c>
    </row>
    <row r="236" spans="1:20" s="8" customFormat="1" ht="20.100000000000001" customHeight="1" x14ac:dyDescent="0.2">
      <c r="A236" s="9">
        <f t="shared" si="68"/>
        <v>233</v>
      </c>
      <c r="B236" s="9">
        <v>1299</v>
      </c>
      <c r="C236" s="9" t="str">
        <f>VLOOKUP(B236,'[1]اسماء الموظفين'!$B$8:$O$501,2,0)</f>
        <v xml:space="preserve">رجب صلاح ابراهيم فتح الباب </v>
      </c>
      <c r="D236" s="9" t="str">
        <f>VLOOKUP(B236,'[1]اسماء الموظفين'!$B$8:$O$501,4,0)</f>
        <v>مصر</v>
      </c>
      <c r="E236" s="9" t="str">
        <f>VLOOKUP(B236,'[2]المقيمين النشطين'!$B$2:$Q$980,15,0)</f>
        <v>تحت التجربة</v>
      </c>
      <c r="F236" s="9" t="str">
        <f>VLOOKUP(B236,'[1]اسماء الموظفين'!$B$8:$O$501,11,0)</f>
        <v>جملة ريال البركة</v>
      </c>
      <c r="G236" s="11">
        <f>VLOOKUP(B236,'[3]رواتب الموظفين 2022'!$B$9:$J$1019,9,0)</f>
        <v>2500</v>
      </c>
      <c r="H236" s="11">
        <f>VLOOKUP(B236,'[3]رواتب الموظفين 2022'!$B$9:$E$438,4,0)*2%</f>
        <v>24</v>
      </c>
      <c r="I236" s="11"/>
      <c r="J236" s="11"/>
      <c r="K236" s="11">
        <f t="shared" si="72"/>
        <v>145.83333333333334</v>
      </c>
      <c r="L236" s="11">
        <f t="shared" si="73"/>
        <v>104.16666666666667</v>
      </c>
      <c r="M236" s="11">
        <f>1500/12</f>
        <v>125</v>
      </c>
      <c r="O236" s="10"/>
      <c r="P236" s="10"/>
      <c r="Q236" s="10"/>
      <c r="R236" s="10"/>
      <c r="S236" s="10">
        <f t="shared" si="66"/>
        <v>2899</v>
      </c>
      <c r="T236" s="10">
        <f t="shared" si="67"/>
        <v>34788</v>
      </c>
    </row>
    <row r="237" spans="1:20" s="8" customFormat="1" ht="20.100000000000001" customHeight="1" x14ac:dyDescent="0.2">
      <c r="A237" s="9">
        <f t="shared" si="68"/>
        <v>234</v>
      </c>
      <c r="B237" s="9">
        <v>1300</v>
      </c>
      <c r="C237" s="9" t="str">
        <f>VLOOKUP(B237,'[1]اسماء الموظفين'!$B$8:$O$501,2,0)</f>
        <v>خالد فوزي عنبر معتوق</v>
      </c>
      <c r="D237" s="9" t="str">
        <f>VLOOKUP(B237,'[1]اسماء الموظفين'!$B$8:$O$501,4,0)</f>
        <v>سعودي</v>
      </c>
      <c r="E237" s="9" t="str">
        <f>VLOOKUP(B237,'[2]المقيمين النشطين'!$B$2:$Q$980,15,0)</f>
        <v>مؤسسة زاوية ريال بركة للكماليات</v>
      </c>
      <c r="F237" s="9" t="str">
        <f>VLOOKUP(B237,'[1]اسماء الموظفين'!$B$8:$O$501,11,0)</f>
        <v>المصيف</v>
      </c>
      <c r="G237" s="11">
        <f>VLOOKUP(B237,'[3]رواتب الموظفين 2022'!$B$9:$J$1019,9,0)</f>
        <v>4000</v>
      </c>
      <c r="H237" s="11">
        <f>VLOOKUP(B237,'[3]رواتب الموظفين 2022'!$B$9:$E$438,4,0)*12.25%</f>
        <v>490</v>
      </c>
      <c r="I237" s="11"/>
      <c r="J237" s="11"/>
      <c r="K237" s="11">
        <f t="shared" si="72"/>
        <v>233.33333333333334</v>
      </c>
      <c r="L237" s="11">
        <f t="shared" si="73"/>
        <v>166.66666666666666</v>
      </c>
      <c r="M237" s="11"/>
      <c r="O237" s="10"/>
      <c r="P237" s="10"/>
      <c r="Q237" s="10"/>
      <c r="R237" s="10"/>
      <c r="S237" s="10">
        <f t="shared" si="66"/>
        <v>4890</v>
      </c>
      <c r="T237" s="10">
        <f t="shared" si="67"/>
        <v>58680</v>
      </c>
    </row>
    <row r="238" spans="1:20" s="8" customFormat="1" ht="20.100000000000001" customHeight="1" x14ac:dyDescent="0.2">
      <c r="A238" s="9">
        <f t="shared" si="68"/>
        <v>235</v>
      </c>
      <c r="B238" s="9">
        <v>1304</v>
      </c>
      <c r="C238" s="9" t="str">
        <f>VLOOKUP(B238,'[1]اسماء الموظفين'!$B$8:$O$501,2,0)</f>
        <v>احمد عبد العزيز محمد الشمراني</v>
      </c>
      <c r="D238" s="9" t="str">
        <f>VLOOKUP(B238,'[1]اسماء الموظفين'!$B$8:$O$501,4,0)</f>
        <v>سعودي</v>
      </c>
      <c r="E238" s="9" t="str">
        <f>VLOOKUP(B238,'[2]المقيمين النشطين'!$B$2:$Q$980,15,0)</f>
        <v>مؤسسة زاوية ريال بركة للكماليات</v>
      </c>
      <c r="F238" s="9" t="str">
        <f>VLOOKUP(B238,'[1]اسماء الموظفين'!$B$8:$O$501,11,0)</f>
        <v>اليرموك</v>
      </c>
      <c r="G238" s="11">
        <f>VLOOKUP(B238,'[3]رواتب الموظفين 2022'!$B$9:$J$1019,9,0)</f>
        <v>4000</v>
      </c>
      <c r="H238" s="11">
        <f>VLOOKUP(B238,'[3]رواتب الموظفين 2022'!$B$9:$E$438,4,0)*12.25%</f>
        <v>490</v>
      </c>
      <c r="I238" s="11"/>
      <c r="J238" s="11"/>
      <c r="K238" s="11">
        <f t="shared" si="72"/>
        <v>233.33333333333334</v>
      </c>
      <c r="L238" s="11">
        <f t="shared" si="73"/>
        <v>166.66666666666666</v>
      </c>
      <c r="M238" s="11"/>
      <c r="O238" s="10"/>
      <c r="P238" s="10"/>
      <c r="Q238" s="10"/>
      <c r="R238" s="10"/>
      <c r="S238" s="10">
        <f t="shared" si="66"/>
        <v>4890</v>
      </c>
      <c r="T238" s="10">
        <f t="shared" si="67"/>
        <v>58680</v>
      </c>
    </row>
    <row r="239" spans="1:20" s="8" customFormat="1" ht="20.100000000000001" customHeight="1" x14ac:dyDescent="0.2">
      <c r="A239" s="9">
        <f t="shared" si="68"/>
        <v>236</v>
      </c>
      <c r="B239" s="9">
        <v>1305</v>
      </c>
      <c r="C239" s="9" t="str">
        <f>VLOOKUP(B239,'[1]اسماء الموظفين'!$B$8:$O$501,2,0)</f>
        <v>منى عيدان ابن احمد الغامدي</v>
      </c>
      <c r="D239" s="9" t="str">
        <f>VLOOKUP(B239,'[1]اسماء الموظفين'!$B$8:$O$501,4,0)</f>
        <v>سعودي</v>
      </c>
      <c r="E239" s="9" t="str">
        <f>VLOOKUP(B239,'[2]المقيمين النشطين'!$B$2:$Q$980,15,0)</f>
        <v>شركة ريال البركة للتجارة</v>
      </c>
      <c r="F239" s="9" t="str">
        <f>VLOOKUP(B239,'[1]اسماء الموظفين'!$B$8:$O$501,11,0)</f>
        <v>الدائري الغربي</v>
      </c>
      <c r="G239" s="11">
        <f>VLOOKUP(B239,'[3]رواتب الموظفين 2022'!$B$9:$J$1019,9,0)</f>
        <v>4000</v>
      </c>
      <c r="H239" s="11">
        <f>VLOOKUP(B239,'[3]رواتب الموظفين 2022'!$B$9:$E$438,4,0)*12.25%</f>
        <v>490</v>
      </c>
      <c r="I239" s="11"/>
      <c r="J239" s="11"/>
      <c r="K239" s="11">
        <f t="shared" si="72"/>
        <v>233.33333333333334</v>
      </c>
      <c r="L239" s="11">
        <f t="shared" si="73"/>
        <v>166.66666666666666</v>
      </c>
      <c r="M239" s="11"/>
      <c r="O239" s="10"/>
      <c r="P239" s="10"/>
      <c r="Q239" s="10"/>
      <c r="R239" s="10">
        <f>$K$329</f>
        <v>739.31702574525752</v>
      </c>
      <c r="S239" s="10">
        <f t="shared" si="66"/>
        <v>5629.3170257452575</v>
      </c>
      <c r="T239" s="10">
        <f t="shared" si="67"/>
        <v>67551.804308943087</v>
      </c>
    </row>
    <row r="240" spans="1:20" s="8" customFormat="1" ht="20.100000000000001" customHeight="1" x14ac:dyDescent="0.2">
      <c r="A240" s="9">
        <f t="shared" si="68"/>
        <v>237</v>
      </c>
      <c r="B240" s="9">
        <v>1309</v>
      </c>
      <c r="C240" s="9" t="str">
        <f>VLOOKUP(B240,'[1]اسماء الموظفين'!$B$8:$O$501,2,0)</f>
        <v>عارف علي حسين علي قرانه</v>
      </c>
      <c r="D240" s="9" t="str">
        <f>VLOOKUP(B240,'[1]اسماء الموظفين'!$B$8:$O$501,4,0)</f>
        <v>اليمن</v>
      </c>
      <c r="E240" s="9" t="str">
        <f>VLOOKUP(B240,'[2]المقيمين النشطين'!$B$2:$Q$980,15,0)</f>
        <v>تحت التجربة</v>
      </c>
      <c r="F240" s="9" t="str">
        <f>VLOOKUP(B240,'[1]اسماء الموظفين'!$B$8:$O$501,11,0)</f>
        <v>اليرموك</v>
      </c>
      <c r="G240" s="11">
        <f>VLOOKUP(B240,'[3]رواتب الموظفين 2022'!$B$9:$J$1019,9,0)</f>
        <v>1900</v>
      </c>
      <c r="H240" s="11">
        <f>VLOOKUP(B240,'[3]رواتب الموظفين 2022'!$B$9:$E$438,4,0)*12.25%</f>
        <v>147</v>
      </c>
      <c r="I240" s="11"/>
      <c r="J240" s="11"/>
      <c r="K240" s="11">
        <f t="shared" si="72"/>
        <v>110.83333333333333</v>
      </c>
      <c r="L240" s="11">
        <f t="shared" si="73"/>
        <v>79.166666666666671</v>
      </c>
      <c r="M240" s="11">
        <f t="shared" ref="M240:M288" si="74">1500/12</f>
        <v>125</v>
      </c>
      <c r="O240" s="10"/>
      <c r="P240" s="10"/>
      <c r="Q240" s="10"/>
      <c r="R240" s="10"/>
      <c r="S240" s="10">
        <f t="shared" si="66"/>
        <v>2362</v>
      </c>
      <c r="T240" s="10">
        <f t="shared" si="67"/>
        <v>28344</v>
      </c>
    </row>
    <row r="241" spans="1:20" s="8" customFormat="1" ht="20.100000000000001" customHeight="1" x14ac:dyDescent="0.2">
      <c r="A241" s="9">
        <f t="shared" si="68"/>
        <v>238</v>
      </c>
      <c r="B241" s="9">
        <v>1310</v>
      </c>
      <c r="C241" s="9" t="str">
        <f>VLOOKUP(B241,'[1]اسماء الموظفين'!$B$8:$O$501,2,0)</f>
        <v>عبد السلام لطف الله ناصر شمسان</v>
      </c>
      <c r="D241" s="9" t="str">
        <f>VLOOKUP(B241,'[1]اسماء الموظفين'!$B$8:$O$501,4,0)</f>
        <v>اليمن</v>
      </c>
      <c r="E241" s="9" t="str">
        <f>VLOOKUP(B241,'[2]المقيمين النشطين'!$B$2:$Q$980,15,0)</f>
        <v>تحت التجربة</v>
      </c>
      <c r="F241" s="9" t="str">
        <f>VLOOKUP(B241,'[1]اسماء الموظفين'!$B$8:$O$501,11,0)</f>
        <v>المصنع</v>
      </c>
      <c r="G241" s="11">
        <f>VLOOKUP(B241,'[3]رواتب الموظفين 2022'!$B$9:$J$1019,9,0)</f>
        <v>4000</v>
      </c>
      <c r="H241" s="11"/>
      <c r="I241" s="11"/>
      <c r="J241" s="11"/>
      <c r="K241" s="11">
        <f t="shared" si="72"/>
        <v>233.33333333333334</v>
      </c>
      <c r="L241" s="11">
        <f t="shared" si="73"/>
        <v>166.66666666666666</v>
      </c>
      <c r="M241" s="11">
        <f t="shared" si="74"/>
        <v>125</v>
      </c>
      <c r="O241" s="10">
        <v>0</v>
      </c>
      <c r="P241" s="10">
        <v>0</v>
      </c>
      <c r="Q241" s="10">
        <v>0</v>
      </c>
      <c r="R241" s="10"/>
      <c r="S241" s="10">
        <f t="shared" si="66"/>
        <v>4525</v>
      </c>
      <c r="T241" s="10">
        <f t="shared" si="67"/>
        <v>54300</v>
      </c>
    </row>
    <row r="242" spans="1:20" s="8" customFormat="1" ht="20.100000000000001" customHeight="1" x14ac:dyDescent="0.2">
      <c r="A242" s="9">
        <f t="shared" si="68"/>
        <v>239</v>
      </c>
      <c r="B242" s="9">
        <v>1311</v>
      </c>
      <c r="C242" s="9" t="str">
        <f>VLOOKUP(B242,'[1]اسماء الموظفين'!$B$8:$O$501,2,0)</f>
        <v>خالد محمد عاصم عبدالفتاح فراج</v>
      </c>
      <c r="D242" s="9" t="str">
        <f>VLOOKUP(B242,'[1]اسماء الموظفين'!$B$8:$O$501,4,0)</f>
        <v>مصر</v>
      </c>
      <c r="E242" s="9" t="str">
        <f>VLOOKUP(B242,'[2]المقيمين النشطين'!$B$2:$Q$980,15,0)</f>
        <v>مؤسسة سلطان عبدالرحمن صالح الرزيحي للتجارة</v>
      </c>
      <c r="F242" s="9" t="str">
        <f>VLOOKUP(B242,'[1]اسماء الموظفين'!$B$8:$O$501,11,0)</f>
        <v>هاينس</v>
      </c>
      <c r="G242" s="11">
        <f>VLOOKUP(B242,'[3]رواتب الموظفين 2022'!$B$9:$J$1019,9,0)</f>
        <v>3500</v>
      </c>
      <c r="H242" s="11">
        <f>VLOOKUP(B242,'[3]رواتب الموظفين 2022'!$B$9:$E$438,4,0)*12.25%</f>
        <v>367.5</v>
      </c>
      <c r="I242" s="11"/>
      <c r="J242" s="11"/>
      <c r="K242" s="11">
        <f t="shared" si="72"/>
        <v>204.16666666666666</v>
      </c>
      <c r="L242" s="11">
        <f t="shared" si="73"/>
        <v>145.83333333333334</v>
      </c>
      <c r="M242" s="11">
        <f t="shared" si="74"/>
        <v>125</v>
      </c>
      <c r="O242" s="10"/>
      <c r="P242" s="10"/>
      <c r="Q242" s="10"/>
      <c r="R242" s="10">
        <f>$K$329</f>
        <v>739.31702574525752</v>
      </c>
      <c r="S242" s="10">
        <f t="shared" si="66"/>
        <v>5081.8170257452575</v>
      </c>
      <c r="T242" s="10">
        <f t="shared" si="67"/>
        <v>60981.804308943087</v>
      </c>
    </row>
    <row r="243" spans="1:20" s="8" customFormat="1" ht="20.100000000000001" customHeight="1" x14ac:dyDescent="0.2">
      <c r="A243" s="9">
        <f t="shared" si="68"/>
        <v>240</v>
      </c>
      <c r="B243" s="9">
        <v>1312</v>
      </c>
      <c r="C243" s="9" t="str">
        <f>VLOOKUP(B243,'[1]اسماء الموظفين'!$B$8:$O$501,2,0)</f>
        <v>عبد العزيز احمد طيب عواجي</v>
      </c>
      <c r="D243" s="9" t="str">
        <f>VLOOKUP(B243,'[1]اسماء الموظفين'!$B$8:$O$501,4,0)</f>
        <v>سعودي</v>
      </c>
      <c r="E243" s="9" t="str">
        <f>VLOOKUP(B243,'[2]المقيمين النشطين'!$B$2:$Q$980,15,0)</f>
        <v>مؤسسة زاوية ريال بركة للكماليات</v>
      </c>
      <c r="F243" s="9" t="str">
        <f>VLOOKUP(B243,'[1]اسماء الموظفين'!$B$8:$O$501,11,0)</f>
        <v>المصيف</v>
      </c>
      <c r="G243" s="11">
        <f>VLOOKUP(B243,'[3]رواتب الموظفين 2022'!$B$9:$J$1019,9,0)</f>
        <v>4000</v>
      </c>
      <c r="H243" s="11">
        <f>VLOOKUP(B243,'[3]رواتب الموظفين 2022'!$B$9:$E$438,4,0)*12.25%</f>
        <v>490</v>
      </c>
      <c r="I243" s="11"/>
      <c r="J243" s="11"/>
      <c r="K243" s="11">
        <f t="shared" si="72"/>
        <v>233.33333333333334</v>
      </c>
      <c r="L243" s="11">
        <f t="shared" si="73"/>
        <v>166.66666666666666</v>
      </c>
      <c r="M243" s="11">
        <f t="shared" si="74"/>
        <v>125</v>
      </c>
      <c r="O243" s="10"/>
      <c r="P243" s="10"/>
      <c r="Q243" s="10"/>
      <c r="R243" s="10"/>
      <c r="S243" s="10">
        <f t="shared" si="66"/>
        <v>5015</v>
      </c>
      <c r="T243" s="10">
        <f t="shared" si="67"/>
        <v>60180</v>
      </c>
    </row>
    <row r="244" spans="1:20" s="8" customFormat="1" ht="20.100000000000001" customHeight="1" x14ac:dyDescent="0.2">
      <c r="A244" s="9">
        <f t="shared" si="68"/>
        <v>241</v>
      </c>
      <c r="B244" s="9">
        <v>1313</v>
      </c>
      <c r="C244" s="9" t="str">
        <f>VLOOKUP(B244,'[1]اسماء الموظفين'!$B$8:$O$501,2,0)</f>
        <v>مشاري حسن صالح ال مساعد الشهري</v>
      </c>
      <c r="D244" s="9" t="str">
        <f>VLOOKUP(B244,'[1]اسماء الموظفين'!$B$8:$O$501,4,0)</f>
        <v>سعودي</v>
      </c>
      <c r="E244" s="9" t="str">
        <f>VLOOKUP(B244,'[2]المقيمين النشطين'!$B$2:$Q$980,15,0)</f>
        <v>مؤسسة زاوية ريال بركة للكماليات</v>
      </c>
      <c r="F244" s="9" t="str">
        <f>VLOOKUP(B244,'[1]اسماء الموظفين'!$B$8:$O$501,11,0)</f>
        <v>المصيف</v>
      </c>
      <c r="G244" s="11">
        <f>VLOOKUP(B244,'[3]رواتب الموظفين 2022'!$B$9:$J$1019,9,0)</f>
        <v>4000</v>
      </c>
      <c r="H244" s="11">
        <f>VLOOKUP(B244,'[3]رواتب الموظفين 2022'!$B$9:$E$438,4,0)*12.25%</f>
        <v>490</v>
      </c>
      <c r="I244" s="11"/>
      <c r="J244" s="11"/>
      <c r="K244" s="11">
        <f t="shared" si="72"/>
        <v>233.33333333333334</v>
      </c>
      <c r="L244" s="11">
        <f t="shared" si="73"/>
        <v>166.66666666666666</v>
      </c>
      <c r="M244" s="11">
        <f t="shared" si="74"/>
        <v>125</v>
      </c>
      <c r="O244" s="10"/>
      <c r="P244" s="10"/>
      <c r="Q244" s="10"/>
      <c r="R244" s="10"/>
      <c r="S244" s="10">
        <f t="shared" si="66"/>
        <v>5015</v>
      </c>
      <c r="T244" s="10">
        <f t="shared" si="67"/>
        <v>60180</v>
      </c>
    </row>
    <row r="245" spans="1:20" s="8" customFormat="1" ht="20.100000000000001" customHeight="1" x14ac:dyDescent="0.2">
      <c r="A245" s="9">
        <f t="shared" si="68"/>
        <v>242</v>
      </c>
      <c r="B245" s="9">
        <v>1314</v>
      </c>
      <c r="C245" s="9" t="str">
        <f>VLOOKUP(B245,'[1]اسماء الموظفين'!$B$8:$O$501,2,0)</f>
        <v>حنين عبدالله عطية ال محمد الشمراني</v>
      </c>
      <c r="D245" s="9" t="str">
        <f>VLOOKUP(B245,'[1]اسماء الموظفين'!$B$8:$O$501,4,0)</f>
        <v>سعودي</v>
      </c>
      <c r="E245" s="9" t="str">
        <f>VLOOKUP(B245,'[2]المقيمين النشطين'!$B$2:$Q$980,15,0)</f>
        <v>شركة ريال البركة للتجارة</v>
      </c>
      <c r="F245" s="9" t="str">
        <f>VLOOKUP(B245,'[1]اسماء الموظفين'!$B$8:$O$501,11,0)</f>
        <v>العنود</v>
      </c>
      <c r="G245" s="11">
        <f>VLOOKUP(B245,'[3]رواتب الموظفين 2022'!$B$9:$J$1019,9,0)</f>
        <v>4000</v>
      </c>
      <c r="H245" s="11">
        <f>VLOOKUP(B245,'[3]رواتب الموظفين 2022'!$B$9:$E$438,4,0)*12.25%</f>
        <v>490</v>
      </c>
      <c r="I245" s="11"/>
      <c r="J245" s="11"/>
      <c r="K245" s="11">
        <f t="shared" si="72"/>
        <v>233.33333333333334</v>
      </c>
      <c r="L245" s="11">
        <f t="shared" si="73"/>
        <v>166.66666666666666</v>
      </c>
      <c r="M245" s="11">
        <f t="shared" si="74"/>
        <v>125</v>
      </c>
      <c r="O245" s="10"/>
      <c r="P245" s="10"/>
      <c r="Q245" s="10"/>
      <c r="R245" s="10">
        <f>$K$329</f>
        <v>739.31702574525752</v>
      </c>
      <c r="S245" s="10">
        <f t="shared" si="66"/>
        <v>5754.3170257452575</v>
      </c>
      <c r="T245" s="10">
        <f t="shared" si="67"/>
        <v>69051.804308943087</v>
      </c>
    </row>
    <row r="246" spans="1:20" s="8" customFormat="1" ht="20.100000000000001" customHeight="1" x14ac:dyDescent="0.2">
      <c r="A246" s="9">
        <f t="shared" si="68"/>
        <v>243</v>
      </c>
      <c r="B246" s="9">
        <v>1315</v>
      </c>
      <c r="C246" s="9" t="str">
        <f>VLOOKUP(B246,'[1]اسماء الموظفين'!$B$8:$O$501,2,0)</f>
        <v>معاذ احمد محمد سيف</v>
      </c>
      <c r="D246" s="9" t="str">
        <f>VLOOKUP(B246,'[1]اسماء الموظفين'!$B$8:$O$501,4,0)</f>
        <v>اليمن</v>
      </c>
      <c r="E246" s="9" t="str">
        <f>VLOOKUP(B246,'[2]المقيمين النشطين'!$B$2:$Q$980,15,0)</f>
        <v>مصنع سلطان عبدالرحمن صالح الرزيحي للمنتجات الورقية</v>
      </c>
      <c r="F246" s="9" t="str">
        <f>VLOOKUP(B246,'[1]اسماء الموظفين'!$B$8:$O$501,11,0)</f>
        <v>المصنع</v>
      </c>
      <c r="G246" s="11">
        <f>VLOOKUP(B246,'[3]رواتب الموظفين 2022'!$B$9:$J$1019,9,0)</f>
        <v>3500</v>
      </c>
      <c r="H246" s="11">
        <f>VLOOKUP(B246,'[3]رواتب الموظفين 2022'!$B$9:$E$438,4,0)*12.25%</f>
        <v>245</v>
      </c>
      <c r="I246" s="11">
        <f>664.7/12</f>
        <v>55.391666666666673</v>
      </c>
      <c r="J246" s="11"/>
      <c r="K246" s="11">
        <f t="shared" si="72"/>
        <v>204.16666666666666</v>
      </c>
      <c r="L246" s="11">
        <f t="shared" si="73"/>
        <v>145.83333333333334</v>
      </c>
      <c r="M246" s="11">
        <f t="shared" si="74"/>
        <v>125</v>
      </c>
      <c r="N246" s="8">
        <f>2000/12</f>
        <v>166.66666666666666</v>
      </c>
      <c r="O246" s="10">
        <f>650/12</f>
        <v>54.166666666666664</v>
      </c>
      <c r="P246" s="10">
        <f>100/12</f>
        <v>8.3333333333333339</v>
      </c>
      <c r="Q246" s="10">
        <v>0</v>
      </c>
      <c r="R246" s="10">
        <f>$K$329</f>
        <v>739.31702574525752</v>
      </c>
      <c r="S246" s="10">
        <f t="shared" si="66"/>
        <v>5243.8753590785909</v>
      </c>
      <c r="T246" s="10">
        <f t="shared" si="67"/>
        <v>62926.504308943091</v>
      </c>
    </row>
    <row r="247" spans="1:20" s="8" customFormat="1" ht="20.100000000000001" customHeight="1" x14ac:dyDescent="0.2">
      <c r="A247" s="9">
        <f t="shared" si="68"/>
        <v>244</v>
      </c>
      <c r="B247" s="9">
        <v>1316</v>
      </c>
      <c r="C247" s="9" t="str">
        <f>VLOOKUP(B247,'[1]اسماء الموظفين'!$B$8:$O$501,2,0)</f>
        <v>شروق عبدالرحمن عواد العواد</v>
      </c>
      <c r="D247" s="9" t="str">
        <f>VLOOKUP(B247,'[1]اسماء الموظفين'!$B$8:$O$501,4,0)</f>
        <v>سعودي</v>
      </c>
      <c r="E247" s="9" t="str">
        <f>VLOOKUP(B247,'[2]المقيمين النشطين'!$B$2:$Q$980,15,0)</f>
        <v>مؤسسة ممكن حلول لخدمات الأعمال</v>
      </c>
      <c r="F247" s="9" t="str">
        <f>VLOOKUP(B247,'[1]اسماء الموظفين'!$B$8:$O$501,11,0)</f>
        <v>وكالة ممكن</v>
      </c>
      <c r="G247" s="11">
        <f>VLOOKUP(B247,'[3]رواتب الموظفين 2022'!$B$9:$J$1019,9,0)</f>
        <v>4500</v>
      </c>
      <c r="H247" s="11">
        <f>VLOOKUP(B247,'[3]رواتب الموظفين 2022'!$B$9:$E$438,4,0)*12.25%</f>
        <v>490</v>
      </c>
      <c r="I247" s="11"/>
      <c r="J247" s="11"/>
      <c r="K247" s="11">
        <f t="shared" si="72"/>
        <v>262.5</v>
      </c>
      <c r="L247" s="11">
        <f t="shared" si="73"/>
        <v>187.5</v>
      </c>
      <c r="M247" s="11">
        <f t="shared" si="74"/>
        <v>125</v>
      </c>
      <c r="O247" s="10"/>
      <c r="P247" s="10"/>
      <c r="Q247" s="10"/>
      <c r="R247" s="10">
        <f>$K$329</f>
        <v>739.31702574525752</v>
      </c>
      <c r="S247" s="10">
        <f t="shared" si="66"/>
        <v>6304.3170257452575</v>
      </c>
      <c r="T247" s="10">
        <f t="shared" si="67"/>
        <v>75651.804308943087</v>
      </c>
    </row>
    <row r="248" spans="1:20" s="8" customFormat="1" ht="20.100000000000001" customHeight="1" x14ac:dyDescent="0.2">
      <c r="A248" s="9">
        <f t="shared" si="68"/>
        <v>245</v>
      </c>
      <c r="B248" s="9">
        <v>1318</v>
      </c>
      <c r="C248" s="9" t="str">
        <f>VLOOKUP(B248,'[1]اسماء الموظفين'!$B$8:$O$501,2,0)</f>
        <v>ميالدين حافظ أحمد</v>
      </c>
      <c r="D248" s="9" t="str">
        <f>VLOOKUP(B248,'[1]اسماء الموظفين'!$B$8:$O$501,4,0)</f>
        <v>بنجلاديش</v>
      </c>
      <c r="E248" s="9" t="str">
        <f>VLOOKUP(B248,'[2]المقيمين النشطين'!$B$2:$Q$980,15,0)</f>
        <v>مؤسسة سلطان عبدالرحمن صالح الرزيحي للتجارة</v>
      </c>
      <c r="F248" s="9" t="str">
        <f>VLOOKUP(B248,'[1]اسماء الموظفين'!$B$8:$O$501,11,0)</f>
        <v>لبن</v>
      </c>
      <c r="G248" s="11">
        <f>VLOOKUP(B248,'[3]رواتب الموظفين 2022'!$B$9:$J$1019,9,0)</f>
        <v>1600</v>
      </c>
      <c r="H248" s="11">
        <v>0</v>
      </c>
      <c r="I248" s="11"/>
      <c r="J248" s="11"/>
      <c r="K248" s="11">
        <f t="shared" si="72"/>
        <v>93.333333333333329</v>
      </c>
      <c r="L248" s="11">
        <f t="shared" si="73"/>
        <v>66.666666666666671</v>
      </c>
      <c r="M248" s="11">
        <f t="shared" si="74"/>
        <v>125</v>
      </c>
      <c r="O248" s="10"/>
      <c r="P248" s="10"/>
      <c r="Q248" s="10"/>
      <c r="R248" s="10"/>
      <c r="S248" s="10">
        <f t="shared" si="66"/>
        <v>1885</v>
      </c>
      <c r="T248" s="10">
        <f t="shared" si="67"/>
        <v>22620</v>
      </c>
    </row>
    <row r="249" spans="1:20" s="8" customFormat="1" ht="20.100000000000001" customHeight="1" x14ac:dyDescent="0.2">
      <c r="A249" s="9">
        <f t="shared" si="68"/>
        <v>246</v>
      </c>
      <c r="B249" s="9">
        <v>1319</v>
      </c>
      <c r="C249" s="9" t="str">
        <f>VLOOKUP(B249,'[1]اسماء الموظفين'!$B$8:$O$501,2,0)</f>
        <v>شؤيف أوسين</v>
      </c>
      <c r="D249" s="9" t="str">
        <f>VLOOKUP(B249,'[1]اسماء الموظفين'!$B$8:$O$501,4,0)</f>
        <v>بنجلاديش</v>
      </c>
      <c r="E249" s="9" t="str">
        <f>VLOOKUP(B249,'[2]المقيمين النشطين'!$B$2:$Q$980,15,0)</f>
        <v>مؤسسة سلطان عبدالرحمن صالح الرزيحي للتجارة</v>
      </c>
      <c r="F249" s="9" t="str">
        <f>VLOOKUP(B249,'[1]اسماء الموظفين'!$B$8:$O$501,11,0)</f>
        <v>هاينس</v>
      </c>
      <c r="G249" s="11">
        <f>VLOOKUP(B249,'[3]رواتب الموظفين 2022'!$B$9:$J$1019,9,0)</f>
        <v>1600</v>
      </c>
      <c r="H249" s="11">
        <v>0</v>
      </c>
      <c r="I249" s="11"/>
      <c r="J249" s="11"/>
      <c r="K249" s="11">
        <f t="shared" si="72"/>
        <v>93.333333333333329</v>
      </c>
      <c r="L249" s="11">
        <f t="shared" si="73"/>
        <v>66.666666666666671</v>
      </c>
      <c r="M249" s="11">
        <f t="shared" si="74"/>
        <v>125</v>
      </c>
      <c r="O249" s="10"/>
      <c r="P249" s="10"/>
      <c r="Q249" s="10"/>
      <c r="R249" s="10"/>
      <c r="S249" s="10">
        <f t="shared" si="66"/>
        <v>1885</v>
      </c>
      <c r="T249" s="10">
        <f t="shared" si="67"/>
        <v>22620</v>
      </c>
    </row>
    <row r="250" spans="1:20" s="8" customFormat="1" ht="20.100000000000001" customHeight="1" x14ac:dyDescent="0.2">
      <c r="A250" s="9">
        <f t="shared" si="68"/>
        <v>247</v>
      </c>
      <c r="B250" s="9">
        <v>1320</v>
      </c>
      <c r="C250" s="9" t="str">
        <f>VLOOKUP(B250,'[1]اسماء الموظفين'!$B$8:$O$501,2,0)</f>
        <v>مد راسل فرازي</v>
      </c>
      <c r="D250" s="9" t="str">
        <f>VLOOKUP(B250,'[1]اسماء الموظفين'!$B$8:$O$501,4,0)</f>
        <v>بنجلاديش</v>
      </c>
      <c r="E250" s="9" t="str">
        <f>VLOOKUP(B250,'[2]المقيمين النشطين'!$B$2:$Q$980,15,0)</f>
        <v>مؤسسة سلطان عبدالرحمن صالح الرزيحي للتجارة</v>
      </c>
      <c r="F250" s="9" t="str">
        <f>VLOOKUP(B250,'[1]اسماء الموظفين'!$B$8:$O$501,11,0)</f>
        <v>هاينس</v>
      </c>
      <c r="G250" s="11">
        <f>VLOOKUP(B250,'[3]رواتب الموظفين 2022'!$B$9:$J$1019,9,0)</f>
        <v>1600</v>
      </c>
      <c r="H250" s="11">
        <v>0</v>
      </c>
      <c r="I250" s="11"/>
      <c r="J250" s="11"/>
      <c r="K250" s="11">
        <f t="shared" si="72"/>
        <v>93.333333333333329</v>
      </c>
      <c r="L250" s="11">
        <f t="shared" si="73"/>
        <v>66.666666666666671</v>
      </c>
      <c r="M250" s="11">
        <f t="shared" si="74"/>
        <v>125</v>
      </c>
      <c r="O250" s="10"/>
      <c r="P250" s="10"/>
      <c r="Q250" s="10"/>
      <c r="R250" s="10"/>
      <c r="S250" s="10">
        <f t="shared" si="66"/>
        <v>1885</v>
      </c>
      <c r="T250" s="10">
        <f t="shared" si="67"/>
        <v>22620</v>
      </c>
    </row>
    <row r="251" spans="1:20" s="8" customFormat="1" ht="20.100000000000001" customHeight="1" x14ac:dyDescent="0.2">
      <c r="A251" s="9">
        <f t="shared" si="68"/>
        <v>248</v>
      </c>
      <c r="B251" s="9">
        <v>1321</v>
      </c>
      <c r="C251" s="9" t="str">
        <f>VLOOKUP(B251,'[1]اسماء الموظفين'!$B$8:$O$501,2,0)</f>
        <v>نوره شباب  محمد السبيعي</v>
      </c>
      <c r="D251" s="9" t="str">
        <f>VLOOKUP(B251,'[1]اسماء الموظفين'!$B$8:$O$501,4,0)</f>
        <v>سعودي</v>
      </c>
      <c r="E251" s="9" t="str">
        <f>VLOOKUP(B251,'[2]المقيمين النشطين'!$B$2:$Q$980,15,0)</f>
        <v>شركة ريال البركة للتجارة</v>
      </c>
      <c r="F251" s="9" t="str">
        <f>VLOOKUP(B251,'[1]اسماء الموظفين'!$B$8:$O$501,11,0)</f>
        <v>الدائري الغربي</v>
      </c>
      <c r="G251" s="11">
        <f>VLOOKUP(B251,'[3]رواتب الموظفين 2022'!$B$9:$J$1019,9,0)</f>
        <v>4000</v>
      </c>
      <c r="H251" s="11">
        <f>VLOOKUP(B251,'[3]رواتب الموظفين 2022'!$B$9:$E$438,4,0)*12.25%</f>
        <v>490</v>
      </c>
      <c r="I251" s="11"/>
      <c r="J251" s="11"/>
      <c r="K251" s="11">
        <f t="shared" si="72"/>
        <v>233.33333333333334</v>
      </c>
      <c r="L251" s="11">
        <f t="shared" si="73"/>
        <v>166.66666666666666</v>
      </c>
      <c r="M251" s="11">
        <f t="shared" si="74"/>
        <v>125</v>
      </c>
      <c r="O251" s="10"/>
      <c r="P251" s="10"/>
      <c r="Q251" s="10"/>
      <c r="R251" s="10">
        <f>$K$329</f>
        <v>739.31702574525752</v>
      </c>
      <c r="S251" s="10">
        <f t="shared" si="66"/>
        <v>5754.3170257452575</v>
      </c>
      <c r="T251" s="10">
        <f t="shared" si="67"/>
        <v>69051.804308943087</v>
      </c>
    </row>
    <row r="252" spans="1:20" s="8" customFormat="1" ht="20.100000000000001" customHeight="1" x14ac:dyDescent="0.2">
      <c r="A252" s="9">
        <f t="shared" si="68"/>
        <v>249</v>
      </c>
      <c r="B252" s="9">
        <v>1322</v>
      </c>
      <c r="C252" s="9" t="str">
        <f>VLOOKUP(B252,'[1]اسماء الموظفين'!$B$8:$O$501,2,0)</f>
        <v>عبير الحسين علي حماطى</v>
      </c>
      <c r="D252" s="9" t="str">
        <f>VLOOKUP(B252,'[1]اسماء الموظفين'!$B$8:$O$501,4,0)</f>
        <v>سعودي</v>
      </c>
      <c r="E252" s="9" t="str">
        <f>VLOOKUP(B252,'[2]المقيمين النشطين'!$B$2:$Q$980,15,0)</f>
        <v>شركة ريال البركة للتجارة</v>
      </c>
      <c r="F252" s="9" t="str">
        <f>VLOOKUP(B252,'[1]اسماء الموظفين'!$B$8:$O$501,11,0)</f>
        <v>الدائري الغربي</v>
      </c>
      <c r="G252" s="11">
        <f>VLOOKUP(B252,'[3]رواتب الموظفين 2022'!$B$9:$J$1019,9,0)</f>
        <v>4000</v>
      </c>
      <c r="H252" s="11">
        <f>VLOOKUP(B252,'[3]رواتب الموظفين 2022'!$B$9:$E$438,4,0)*12.25%</f>
        <v>490</v>
      </c>
      <c r="I252" s="11"/>
      <c r="J252" s="11"/>
      <c r="K252" s="11">
        <f t="shared" si="72"/>
        <v>233.33333333333334</v>
      </c>
      <c r="L252" s="11">
        <f t="shared" si="73"/>
        <v>166.66666666666666</v>
      </c>
      <c r="M252" s="11">
        <f t="shared" si="74"/>
        <v>125</v>
      </c>
      <c r="O252" s="10"/>
      <c r="P252" s="10"/>
      <c r="Q252" s="10"/>
      <c r="R252" s="10">
        <f>$K$329</f>
        <v>739.31702574525752</v>
      </c>
      <c r="S252" s="10">
        <f t="shared" si="66"/>
        <v>5754.3170257452575</v>
      </c>
      <c r="T252" s="10">
        <f t="shared" si="67"/>
        <v>69051.804308943087</v>
      </c>
    </row>
    <row r="253" spans="1:20" s="8" customFormat="1" ht="20.100000000000001" customHeight="1" x14ac:dyDescent="0.2">
      <c r="A253" s="9">
        <f t="shared" si="68"/>
        <v>250</v>
      </c>
      <c r="B253" s="9">
        <v>1323</v>
      </c>
      <c r="C253" s="9" t="str">
        <f>VLOOKUP(B253,'[1]اسماء الموظفين'!$B$8:$O$501,2,0)</f>
        <v>شمس الدين زايال بوريال</v>
      </c>
      <c r="D253" s="9" t="str">
        <f>VLOOKUP(B253,'[1]اسماء الموظفين'!$B$8:$O$501,4,0)</f>
        <v>الهند</v>
      </c>
      <c r="E253" s="9" t="str">
        <f>VLOOKUP(B253,'[2]المقيمين النشطين'!$B$2:$Q$980,15,0)</f>
        <v>مؤسسة عبدالرحمن سلطان عبدالرحمن الرزيحي للتجارة</v>
      </c>
      <c r="F253" s="9" t="str">
        <f>VLOOKUP(B253,'[1]اسماء الموظفين'!$B$8:$O$501,11,0)</f>
        <v>النسيم 2</v>
      </c>
      <c r="G253" s="11">
        <f>VLOOKUP(B253,'[3]رواتب الموظفين 2022'!$B$9:$J$1019,9,0)</f>
        <v>2000</v>
      </c>
      <c r="H253" s="11">
        <f>VLOOKUP(B253,'[3]رواتب الموظفين 2022'!$B$9:$E$438,4,0)*12.25%</f>
        <v>147</v>
      </c>
      <c r="I253" s="11"/>
      <c r="J253" s="11"/>
      <c r="K253" s="11">
        <f t="shared" si="72"/>
        <v>116.66666666666667</v>
      </c>
      <c r="L253" s="11">
        <f t="shared" si="73"/>
        <v>83.333333333333329</v>
      </c>
      <c r="M253" s="11">
        <f t="shared" si="74"/>
        <v>125</v>
      </c>
      <c r="O253" s="10"/>
      <c r="P253" s="10"/>
      <c r="Q253" s="10"/>
      <c r="R253" s="10">
        <f>$J$334</f>
        <v>581.33333333333337</v>
      </c>
      <c r="S253" s="10">
        <f t="shared" si="66"/>
        <v>3053.3333333333335</v>
      </c>
      <c r="T253" s="10">
        <f t="shared" si="67"/>
        <v>36640</v>
      </c>
    </row>
    <row r="254" spans="1:20" s="8" customFormat="1" ht="20.100000000000001" customHeight="1" x14ac:dyDescent="0.2">
      <c r="A254" s="9">
        <f t="shared" si="68"/>
        <v>251</v>
      </c>
      <c r="B254" s="9">
        <v>1324</v>
      </c>
      <c r="C254" s="9" t="str">
        <f>VLOOKUP(B254,'[1]اسماء الموظفين'!$B$8:$O$501,2,0)</f>
        <v>محمد زيدان محمد زيدان</v>
      </c>
      <c r="D254" s="9" t="str">
        <f>VLOOKUP(B254,'[1]اسماء الموظفين'!$B$8:$O$501,4,0)</f>
        <v>مصر</v>
      </c>
      <c r="E254" s="9" t="str">
        <f>VLOOKUP(B254,'[2]المقيمين النشطين'!$B$2:$Q$980,15,0)</f>
        <v>شركة أدفان للصناعة ( شركة شخص واحد )</v>
      </c>
      <c r="F254" s="9" t="str">
        <f>VLOOKUP(B254,'[1]اسماء الموظفين'!$B$8:$O$501,11,0)</f>
        <v>المصنع</v>
      </c>
      <c r="G254" s="11">
        <f>VLOOKUP(B254,'[3]رواتب الموظفين 2022'!$B$9:$J$1019,9,0)</f>
        <v>4500</v>
      </c>
      <c r="H254" s="11">
        <f>VLOOKUP(B254,'[3]رواتب الموظفين 2022'!$B$9:$E$438,4,0)*2%</f>
        <v>24</v>
      </c>
      <c r="I254" s="11">
        <f>664.7/12</f>
        <v>55.391666666666673</v>
      </c>
      <c r="J254" s="11"/>
      <c r="K254" s="11">
        <f t="shared" si="72"/>
        <v>262.5</v>
      </c>
      <c r="L254" s="11">
        <f t="shared" si="73"/>
        <v>187.5</v>
      </c>
      <c r="M254" s="11">
        <f t="shared" si="74"/>
        <v>125</v>
      </c>
      <c r="N254" s="8">
        <f>2000/12</f>
        <v>166.66666666666666</v>
      </c>
      <c r="O254" s="10">
        <f>650/12</f>
        <v>54.166666666666664</v>
      </c>
      <c r="P254" s="10">
        <f>100/12</f>
        <v>8.3333333333333339</v>
      </c>
      <c r="Q254" s="10">
        <v>0</v>
      </c>
      <c r="R254" s="10">
        <f>J$335</f>
        <v>700</v>
      </c>
      <c r="S254" s="10">
        <f t="shared" si="66"/>
        <v>6083.5583333333334</v>
      </c>
      <c r="T254" s="10">
        <f t="shared" si="67"/>
        <v>73002.7</v>
      </c>
    </row>
    <row r="255" spans="1:20" s="8" customFormat="1" ht="20.100000000000001" customHeight="1" x14ac:dyDescent="0.2">
      <c r="A255" s="9">
        <f t="shared" si="68"/>
        <v>252</v>
      </c>
      <c r="B255" s="9">
        <v>1325</v>
      </c>
      <c r="C255" s="9" t="str">
        <f>VLOOKUP(B255,'[1]اسماء الموظفين'!$B$8:$O$501,2,0)</f>
        <v>سجيب سو ليمان</v>
      </c>
      <c r="D255" s="9" t="str">
        <f>VLOOKUP(B255,'[1]اسماء الموظفين'!$B$8:$O$501,4,0)</f>
        <v>بنجلاديش</v>
      </c>
      <c r="E255" s="9" t="str">
        <f>VLOOKUP(B255,'[2]المقيمين النشطين'!$B$2:$Q$980,15,0)</f>
        <v>تحت التجربة</v>
      </c>
      <c r="F255" s="9" t="str">
        <f>VLOOKUP(B255,'[1]اسماء الموظفين'!$B$8:$O$501,11,0)</f>
        <v>هاينس</v>
      </c>
      <c r="G255" s="11">
        <f>VLOOKUP(B255,'[3]رواتب الموظفين 2022'!$B$9:$J$1019,9,0)</f>
        <v>1600</v>
      </c>
      <c r="H255" s="11">
        <v>0</v>
      </c>
      <c r="I255" s="11"/>
      <c r="J255" s="11"/>
      <c r="K255" s="11">
        <f t="shared" si="72"/>
        <v>93.333333333333329</v>
      </c>
      <c r="L255" s="11">
        <f t="shared" si="73"/>
        <v>66.666666666666671</v>
      </c>
      <c r="M255" s="11">
        <f t="shared" si="74"/>
        <v>125</v>
      </c>
      <c r="O255" s="10"/>
      <c r="P255" s="10"/>
      <c r="Q255" s="10"/>
      <c r="R255" s="10"/>
      <c r="S255" s="10">
        <f t="shared" si="66"/>
        <v>1885</v>
      </c>
      <c r="T255" s="10">
        <f t="shared" si="67"/>
        <v>22620</v>
      </c>
    </row>
    <row r="256" spans="1:20" s="8" customFormat="1" ht="20.100000000000001" customHeight="1" x14ac:dyDescent="0.2">
      <c r="A256" s="9">
        <f t="shared" si="68"/>
        <v>253</v>
      </c>
      <c r="B256" s="9">
        <v>1326</v>
      </c>
      <c r="C256" s="9" t="str">
        <f>VLOOKUP(B256,'[1]اسماء الموظفين'!$B$8:$O$501,2,0)</f>
        <v>فهد دلوار أوسين</v>
      </c>
      <c r="D256" s="9" t="str">
        <f>VLOOKUP(B256,'[1]اسماء الموظفين'!$B$8:$O$501,4,0)</f>
        <v>بنجلاديش</v>
      </c>
      <c r="E256" s="9" t="str">
        <f>VLOOKUP(B256,'[2]المقيمين النشطين'!$B$2:$Q$980,15,0)</f>
        <v>تحت التجربة</v>
      </c>
      <c r="F256" s="9" t="str">
        <f>VLOOKUP(B256,'[1]اسماء الموظفين'!$B$8:$O$501,11,0)</f>
        <v>هاينس</v>
      </c>
      <c r="G256" s="11">
        <f>VLOOKUP(B256,'[3]رواتب الموظفين 2022'!$B$9:$J$1019,9,0)</f>
        <v>1600</v>
      </c>
      <c r="H256" s="11">
        <v>0</v>
      </c>
      <c r="I256" s="11"/>
      <c r="J256" s="11"/>
      <c r="K256" s="11">
        <f t="shared" si="72"/>
        <v>93.333333333333329</v>
      </c>
      <c r="L256" s="11">
        <f t="shared" si="73"/>
        <v>66.666666666666671</v>
      </c>
      <c r="M256" s="11">
        <f t="shared" si="74"/>
        <v>125</v>
      </c>
      <c r="O256" s="10"/>
      <c r="P256" s="10"/>
      <c r="Q256" s="10"/>
      <c r="R256" s="10"/>
      <c r="S256" s="10">
        <f t="shared" si="66"/>
        <v>1885</v>
      </c>
      <c r="T256" s="10">
        <f t="shared" si="67"/>
        <v>22620</v>
      </c>
    </row>
    <row r="257" spans="1:20" s="8" customFormat="1" ht="20.100000000000001" customHeight="1" x14ac:dyDescent="0.2">
      <c r="A257" s="9">
        <f t="shared" si="68"/>
        <v>254</v>
      </c>
      <c r="B257" s="9">
        <v>1327</v>
      </c>
      <c r="C257" s="9" t="str">
        <f>VLOOKUP(B257,'[1]اسماء الموظفين'!$B$8:$O$501,2,0)</f>
        <v>محمد جي بقاء ال</v>
      </c>
      <c r="D257" s="9" t="str">
        <f>VLOOKUP(B257,'[1]اسماء الموظفين'!$B$8:$O$501,4,0)</f>
        <v>بنجلاديش</v>
      </c>
      <c r="E257" s="9" t="str">
        <f>VLOOKUP(B257,'[2]المقيمين النشطين'!$B$2:$Q$980,15,0)</f>
        <v>تحت التجربة</v>
      </c>
      <c r="F257" s="9" t="str">
        <f>VLOOKUP(B257,'[1]اسماء الموظفين'!$B$8:$O$501,11,0)</f>
        <v>هاينس</v>
      </c>
      <c r="G257" s="11">
        <f>VLOOKUP(B257,'[3]رواتب الموظفين 2022'!$B$9:$J$1019,9,0)</f>
        <v>1600</v>
      </c>
      <c r="H257" s="11">
        <v>0</v>
      </c>
      <c r="I257" s="11"/>
      <c r="J257" s="11"/>
      <c r="K257" s="11">
        <f t="shared" si="72"/>
        <v>93.333333333333329</v>
      </c>
      <c r="L257" s="11">
        <f t="shared" si="73"/>
        <v>66.666666666666671</v>
      </c>
      <c r="M257" s="11">
        <f t="shared" si="74"/>
        <v>125</v>
      </c>
      <c r="O257" s="10"/>
      <c r="P257" s="10"/>
      <c r="Q257" s="10"/>
      <c r="R257" s="10"/>
      <c r="S257" s="10">
        <f t="shared" si="66"/>
        <v>1885</v>
      </c>
      <c r="T257" s="10">
        <f t="shared" si="67"/>
        <v>22620</v>
      </c>
    </row>
    <row r="258" spans="1:20" s="8" customFormat="1" ht="20.100000000000001" customHeight="1" x14ac:dyDescent="0.2">
      <c r="A258" s="9">
        <f t="shared" si="68"/>
        <v>255</v>
      </c>
      <c r="B258" s="9">
        <v>1329</v>
      </c>
      <c r="C258" s="9" t="str">
        <f>VLOOKUP(B258,'[1]اسماء الموظفين'!$B$8:$O$501,2,0)</f>
        <v>مد أبو بكر صديق</v>
      </c>
      <c r="D258" s="9" t="str">
        <f>VLOOKUP(B258,'[1]اسماء الموظفين'!$B$8:$O$501,4,0)</f>
        <v>بنجلاديش</v>
      </c>
      <c r="E258" s="9" t="str">
        <f>VLOOKUP(B258,'[2]المقيمين النشطين'!$B$2:$Q$980,15,0)</f>
        <v>مؤسسة سلطان عبدالرحمن صالح الرزيحي للتجارة</v>
      </c>
      <c r="F258" s="9" t="str">
        <f>VLOOKUP(B258,'[1]اسماء الموظفين'!$B$8:$O$501,11,0)</f>
        <v>هاينس</v>
      </c>
      <c r="G258" s="11">
        <f>VLOOKUP(B258,'[3]رواتب الموظفين 2022'!$B$9:$J$1019,9,0)</f>
        <v>1600</v>
      </c>
      <c r="H258" s="11">
        <v>0</v>
      </c>
      <c r="I258" s="11"/>
      <c r="J258" s="11"/>
      <c r="K258" s="11">
        <f t="shared" si="72"/>
        <v>93.333333333333329</v>
      </c>
      <c r="L258" s="11">
        <f t="shared" si="73"/>
        <v>66.666666666666671</v>
      </c>
      <c r="M258" s="11">
        <f t="shared" si="74"/>
        <v>125</v>
      </c>
      <c r="O258" s="10"/>
      <c r="P258" s="10"/>
      <c r="Q258" s="10"/>
      <c r="R258" s="10"/>
      <c r="S258" s="10">
        <f t="shared" si="66"/>
        <v>1885</v>
      </c>
      <c r="T258" s="10">
        <f t="shared" si="67"/>
        <v>22620</v>
      </c>
    </row>
    <row r="259" spans="1:20" s="8" customFormat="1" ht="20.100000000000001" customHeight="1" x14ac:dyDescent="0.2">
      <c r="A259" s="9">
        <f t="shared" si="68"/>
        <v>256</v>
      </c>
      <c r="B259" s="9">
        <v>1330</v>
      </c>
      <c r="C259" s="9" t="str">
        <f>VLOOKUP(B259,'[1]اسماء الموظفين'!$B$8:$O$501,2,0)</f>
        <v>مؤمن باكاول</v>
      </c>
      <c r="D259" s="9" t="str">
        <f>VLOOKUP(B259,'[1]اسماء الموظفين'!$B$8:$O$501,4,0)</f>
        <v>بنجلاديش</v>
      </c>
      <c r="E259" s="9" t="str">
        <f>VLOOKUP(B259,'[2]المقيمين النشطين'!$B$2:$Q$980,15,0)</f>
        <v>مؤسسة سلطان عبدالرحمن صالح الرزيحي للتجارة</v>
      </c>
      <c r="F259" s="9" t="str">
        <f>VLOOKUP(B259,'[1]اسماء الموظفين'!$B$8:$O$501,11,0)</f>
        <v>هاينس</v>
      </c>
      <c r="G259" s="11">
        <f>VLOOKUP(B259,'[3]رواتب الموظفين 2022'!$B$9:$J$1019,9,0)</f>
        <v>1600</v>
      </c>
      <c r="H259" s="11">
        <v>0</v>
      </c>
      <c r="I259" s="11"/>
      <c r="J259" s="11"/>
      <c r="K259" s="11">
        <f t="shared" si="72"/>
        <v>93.333333333333329</v>
      </c>
      <c r="L259" s="11">
        <f t="shared" si="73"/>
        <v>66.666666666666671</v>
      </c>
      <c r="M259" s="11">
        <f t="shared" si="74"/>
        <v>125</v>
      </c>
      <c r="O259" s="10"/>
      <c r="P259" s="10"/>
      <c r="Q259" s="10"/>
      <c r="R259" s="10"/>
      <c r="S259" s="10">
        <f t="shared" si="66"/>
        <v>1885</v>
      </c>
      <c r="T259" s="10">
        <f t="shared" si="67"/>
        <v>22620</v>
      </c>
    </row>
    <row r="260" spans="1:20" s="8" customFormat="1" ht="20.100000000000001" customHeight="1" x14ac:dyDescent="0.2">
      <c r="A260" s="9">
        <f t="shared" si="68"/>
        <v>257</v>
      </c>
      <c r="B260" s="9">
        <v>1331</v>
      </c>
      <c r="C260" s="9" t="str">
        <f>VLOOKUP(B260,'[1]اسماء الموظفين'!$B$8:$O$501,2,0)</f>
        <v>سميرة عبدالله كريوين النفيعي العتيبي</v>
      </c>
      <c r="D260" s="9" t="str">
        <f>VLOOKUP(B260,'[1]اسماء الموظفين'!$B$8:$O$501,4,0)</f>
        <v>سعودي</v>
      </c>
      <c r="E260" s="9" t="str">
        <f>VLOOKUP(B260,'[2]المقيمين النشطين'!$B$2:$Q$980,15,0)</f>
        <v>تحت التجربة</v>
      </c>
      <c r="F260" s="9" t="str">
        <f>VLOOKUP(B260,'[1]اسماء الموظفين'!$B$8:$O$501,11,0)</f>
        <v>وكالة ممكن</v>
      </c>
      <c r="G260" s="11">
        <f>VLOOKUP(B260,'[3]رواتب الموظفين 2022'!$B$9:$J$1019,9,0)</f>
        <v>6500</v>
      </c>
      <c r="H260" s="11">
        <v>0</v>
      </c>
      <c r="I260" s="11"/>
      <c r="J260" s="11"/>
      <c r="K260" s="11">
        <f t="shared" si="72"/>
        <v>379.16666666666669</v>
      </c>
      <c r="L260" s="11">
        <f t="shared" si="73"/>
        <v>270.83333333333331</v>
      </c>
      <c r="M260" s="11">
        <f t="shared" si="74"/>
        <v>125</v>
      </c>
      <c r="O260" s="10"/>
      <c r="P260" s="10"/>
      <c r="Q260" s="10"/>
      <c r="R260" s="10"/>
      <c r="S260" s="10">
        <f t="shared" ref="S260:S322" si="75">SUM(G260:R260)</f>
        <v>7275</v>
      </c>
      <c r="T260" s="10">
        <f t="shared" si="67"/>
        <v>87300</v>
      </c>
    </row>
    <row r="261" spans="1:20" s="8" customFormat="1" ht="20.100000000000001" customHeight="1" x14ac:dyDescent="0.2">
      <c r="A261" s="9">
        <f t="shared" si="68"/>
        <v>258</v>
      </c>
      <c r="B261" s="9">
        <v>1332</v>
      </c>
      <c r="C261" s="9" t="str">
        <f>VLOOKUP(B261,'[1]اسماء الموظفين'!$B$8:$O$501,2,0)</f>
        <v>منيرة فهد علي مديهش</v>
      </c>
      <c r="D261" s="9" t="str">
        <f>VLOOKUP(B261,'[1]اسماء الموظفين'!$B$8:$O$501,4,0)</f>
        <v>سعودي</v>
      </c>
      <c r="E261" s="9" t="str">
        <f>VLOOKUP(B261,'[2]المقيمين النشطين'!$B$2:$Q$980,15,0)</f>
        <v>مؤسسة ممكن حلول لخدمات الأعمال</v>
      </c>
      <c r="F261" s="9" t="str">
        <f>VLOOKUP(B261,'[1]اسماء الموظفين'!$B$8:$O$501,11,0)</f>
        <v>وكالة ممكن</v>
      </c>
      <c r="G261" s="11">
        <f>VLOOKUP(B261,'[3]رواتب الموظفين 2022'!$B$9:$J$1019,9,0)</f>
        <v>4500</v>
      </c>
      <c r="H261" s="11">
        <f>VLOOKUP(B261,'[3]رواتب الموظفين 2022'!$B$9:$E$438,4,0)*12.25%</f>
        <v>490</v>
      </c>
      <c r="I261" s="11"/>
      <c r="J261" s="11"/>
      <c r="K261" s="11">
        <f t="shared" si="72"/>
        <v>262.5</v>
      </c>
      <c r="L261" s="11">
        <f t="shared" si="73"/>
        <v>187.5</v>
      </c>
      <c r="M261" s="11">
        <f t="shared" si="74"/>
        <v>125</v>
      </c>
      <c r="O261" s="10"/>
      <c r="P261" s="10"/>
      <c r="Q261" s="10"/>
      <c r="R261" s="10">
        <f>$K$329</f>
        <v>739.31702574525752</v>
      </c>
      <c r="S261" s="10">
        <f t="shared" si="75"/>
        <v>6304.3170257452575</v>
      </c>
      <c r="T261" s="10">
        <f t="shared" ref="T261:T322" si="76">S261*12</f>
        <v>75651.804308943087</v>
      </c>
    </row>
    <row r="262" spans="1:20" s="8" customFormat="1" ht="20.100000000000001" customHeight="1" x14ac:dyDescent="0.2">
      <c r="A262" s="9">
        <f t="shared" ref="A262:A322" si="77">ROW()-3</f>
        <v>259</v>
      </c>
      <c r="B262" s="9">
        <v>1333</v>
      </c>
      <c r="C262" s="9" t="str">
        <f>VLOOKUP(B262,'[1]اسماء الموظفين'!$B$8:$O$501,2,0)</f>
        <v>زينب علي مهدي سماني</v>
      </c>
      <c r="D262" s="9" t="str">
        <f>VLOOKUP(B262,'[1]اسماء الموظفين'!$B$8:$O$501,4,0)</f>
        <v>سعودي</v>
      </c>
      <c r="E262" s="9" t="str">
        <f>VLOOKUP(B262,'[2]المقيمين النشطين'!$B$2:$Q$980,15,0)</f>
        <v>مؤسسة ممكن حلول لخدمات الأعمال</v>
      </c>
      <c r="F262" s="9" t="str">
        <f>VLOOKUP(B262,'[1]اسماء الموظفين'!$B$8:$O$501,11,0)</f>
        <v>وكالة ممكن</v>
      </c>
      <c r="G262" s="11">
        <f>VLOOKUP(B262,'[3]رواتب الموظفين 2022'!$B$9:$J$1019,9,0)</f>
        <v>4500</v>
      </c>
      <c r="H262" s="11">
        <f>VLOOKUP(B262,'[3]رواتب الموظفين 2022'!$B$9:$E$438,4,0)*12.25%</f>
        <v>490</v>
      </c>
      <c r="I262" s="11"/>
      <c r="J262" s="11"/>
      <c r="K262" s="11">
        <f t="shared" si="72"/>
        <v>262.5</v>
      </c>
      <c r="L262" s="11">
        <f t="shared" si="73"/>
        <v>187.5</v>
      </c>
      <c r="M262" s="11">
        <f t="shared" si="74"/>
        <v>125</v>
      </c>
      <c r="O262" s="10"/>
      <c r="P262" s="10"/>
      <c r="Q262" s="10"/>
      <c r="R262" s="10">
        <f>$K$329</f>
        <v>739.31702574525752</v>
      </c>
      <c r="S262" s="10">
        <f t="shared" si="75"/>
        <v>6304.3170257452575</v>
      </c>
      <c r="T262" s="10">
        <f t="shared" si="76"/>
        <v>75651.804308943087</v>
      </c>
    </row>
    <row r="263" spans="1:20" s="8" customFormat="1" ht="20.100000000000001" customHeight="1" x14ac:dyDescent="0.2">
      <c r="A263" s="9">
        <f t="shared" si="77"/>
        <v>260</v>
      </c>
      <c r="B263" s="9">
        <v>1334</v>
      </c>
      <c r="C263" s="9" t="str">
        <f>VLOOKUP(B263,'[1]اسماء الموظفين'!$B$8:$O$501,2,0)</f>
        <v>عائشة محمد عبدالرزاق الدهام</v>
      </c>
      <c r="D263" s="9" t="str">
        <f>VLOOKUP(B263,'[1]اسماء الموظفين'!$B$8:$O$501,4,0)</f>
        <v>سعودي</v>
      </c>
      <c r="E263" s="9" t="str">
        <f>VLOOKUP(B263,'[2]المقيمين النشطين'!$B$2:$Q$980,15,0)</f>
        <v>مؤسسة ممكن حلول لخدمات الأعمال</v>
      </c>
      <c r="F263" s="9" t="str">
        <f>VLOOKUP(B263,'[1]اسماء الموظفين'!$B$8:$O$501,11,0)</f>
        <v>وكالة ممكن</v>
      </c>
      <c r="G263" s="11">
        <f>VLOOKUP(B263,'[3]رواتب الموظفين 2022'!$B$9:$J$1019,9,0)</f>
        <v>4500</v>
      </c>
      <c r="H263" s="11">
        <f>VLOOKUP(B263,'[3]رواتب الموظفين 2022'!$B$9:$E$438,4,0)*12.25%</f>
        <v>490</v>
      </c>
      <c r="I263" s="11"/>
      <c r="J263" s="11"/>
      <c r="K263" s="11">
        <f t="shared" si="72"/>
        <v>262.5</v>
      </c>
      <c r="L263" s="11">
        <f t="shared" si="73"/>
        <v>187.5</v>
      </c>
      <c r="M263" s="11">
        <f t="shared" si="74"/>
        <v>125</v>
      </c>
      <c r="O263" s="10"/>
      <c r="P263" s="10"/>
      <c r="Q263" s="10"/>
      <c r="R263" s="10">
        <f>$K$329</f>
        <v>739.31702574525752</v>
      </c>
      <c r="S263" s="10">
        <f t="shared" si="75"/>
        <v>6304.3170257452575</v>
      </c>
      <c r="T263" s="10">
        <f t="shared" si="76"/>
        <v>75651.804308943087</v>
      </c>
    </row>
    <row r="264" spans="1:20" s="8" customFormat="1" ht="20.100000000000001" customHeight="1" x14ac:dyDescent="0.2">
      <c r="A264" s="9">
        <f t="shared" si="77"/>
        <v>261</v>
      </c>
      <c r="B264" s="9">
        <v>1335</v>
      </c>
      <c r="C264" s="9" t="str">
        <f>VLOOKUP(B264,'[1]اسماء الموظفين'!$B$8:$O$501,2,0)</f>
        <v>اسامه محمد تركي ال جراد</v>
      </c>
      <c r="D264" s="9" t="str">
        <f>VLOOKUP(B264,'[1]اسماء الموظفين'!$B$8:$O$501,4,0)</f>
        <v>سعودي</v>
      </c>
      <c r="E264" s="9" t="str">
        <f>VLOOKUP(B264,'[2]المقيمين النشطين'!$B$2:$Q$980,15,0)</f>
        <v>مؤسسة زاوية ريال بركة للكماليات</v>
      </c>
      <c r="F264" s="9" t="str">
        <f>VLOOKUP(B264,'[1]اسماء الموظفين'!$B$8:$O$501,11,0)</f>
        <v>المصيف</v>
      </c>
      <c r="G264" s="11">
        <f>VLOOKUP(B264,'[3]رواتب الموظفين 2022'!$B$9:$J$1019,9,0)</f>
        <v>4000</v>
      </c>
      <c r="H264" s="11">
        <f>VLOOKUP(B264,'[3]رواتب الموظفين 2022'!$B$9:$E$438,4,0)*12.25%</f>
        <v>490</v>
      </c>
      <c r="I264" s="11"/>
      <c r="J264" s="11"/>
      <c r="K264" s="11">
        <f t="shared" si="72"/>
        <v>233.33333333333334</v>
      </c>
      <c r="L264" s="11">
        <f t="shared" si="73"/>
        <v>166.66666666666666</v>
      </c>
      <c r="M264" s="11">
        <f t="shared" si="74"/>
        <v>125</v>
      </c>
      <c r="O264" s="10"/>
      <c r="P264" s="10"/>
      <c r="Q264" s="10"/>
      <c r="R264" s="10"/>
      <c r="S264" s="10">
        <f t="shared" si="75"/>
        <v>5015</v>
      </c>
      <c r="T264" s="10">
        <f t="shared" si="76"/>
        <v>60180</v>
      </c>
    </row>
    <row r="265" spans="1:20" s="8" customFormat="1" ht="20.100000000000001" customHeight="1" x14ac:dyDescent="0.2">
      <c r="A265" s="9">
        <f t="shared" si="77"/>
        <v>262</v>
      </c>
      <c r="B265" s="9">
        <v>1336</v>
      </c>
      <c r="C265" s="9" t="str">
        <f>VLOOKUP(B265,'[1]اسماء الموظفين'!$B$8:$O$501,2,0)</f>
        <v>أسامه سعيد سعد الشهراني</v>
      </c>
      <c r="D265" s="9" t="str">
        <f>VLOOKUP(B265,'[1]اسماء الموظفين'!$B$8:$O$501,4,0)</f>
        <v>سعودي</v>
      </c>
      <c r="E265" s="9" t="str">
        <f>VLOOKUP(B265,'[2]المقيمين النشطين'!$B$2:$Q$980,15,0)</f>
        <v>مؤسسة زاوية ريال بركة للكماليات</v>
      </c>
      <c r="F265" s="9" t="str">
        <f>VLOOKUP(B265,'[1]اسماء الموظفين'!$B$8:$O$501,11,0)</f>
        <v>المصيف</v>
      </c>
      <c r="G265" s="11">
        <f>VLOOKUP(B265,'[3]رواتب الموظفين 2022'!$B$9:$J$1019,9,0)</f>
        <v>4000</v>
      </c>
      <c r="H265" s="11">
        <f>VLOOKUP(B265,'[3]رواتب الموظفين 2022'!$B$9:$E$438,4,0)*12.25%</f>
        <v>490</v>
      </c>
      <c r="I265" s="11"/>
      <c r="J265" s="11"/>
      <c r="K265" s="11">
        <f t="shared" si="72"/>
        <v>233.33333333333334</v>
      </c>
      <c r="L265" s="11">
        <f t="shared" si="73"/>
        <v>166.66666666666666</v>
      </c>
      <c r="M265" s="11">
        <f t="shared" si="74"/>
        <v>125</v>
      </c>
      <c r="O265" s="10"/>
      <c r="P265" s="10"/>
      <c r="Q265" s="10"/>
      <c r="R265" s="10"/>
      <c r="S265" s="10">
        <f t="shared" si="75"/>
        <v>5015</v>
      </c>
      <c r="T265" s="10">
        <f t="shared" si="76"/>
        <v>60180</v>
      </c>
    </row>
    <row r="266" spans="1:20" s="8" customFormat="1" ht="20.100000000000001" customHeight="1" x14ac:dyDescent="0.2">
      <c r="A266" s="9">
        <f t="shared" si="77"/>
        <v>263</v>
      </c>
      <c r="B266" s="9">
        <v>1337</v>
      </c>
      <c r="C266" s="9" t="str">
        <f>VLOOKUP(B266,'[1]اسماء الموظفين'!$B$8:$O$501,2,0)</f>
        <v>وليد عيظة يحيى عميشان</v>
      </c>
      <c r="D266" s="9" t="str">
        <f>VLOOKUP(B266,'[1]اسماء الموظفين'!$B$8:$O$501,4,0)</f>
        <v>اليمن</v>
      </c>
      <c r="E266" s="9" t="str">
        <f>VLOOKUP(B266,'[2]المقيمين النشطين'!$B$2:$Q$980,15,0)</f>
        <v>تحت التجربة</v>
      </c>
      <c r="F266" s="9" t="str">
        <f>VLOOKUP(B266,'[1]اسماء الموظفين'!$B$8:$O$501,11,0)</f>
        <v>المصنع</v>
      </c>
      <c r="G266" s="11">
        <f>VLOOKUP(B266,'[3]رواتب الموظفين 2022'!$B$9:$J$1019,9,0)</f>
        <v>4000</v>
      </c>
      <c r="H266" s="11">
        <v>0</v>
      </c>
      <c r="I266" s="11"/>
      <c r="J266" s="11"/>
      <c r="K266" s="11">
        <f t="shared" si="72"/>
        <v>233.33333333333334</v>
      </c>
      <c r="L266" s="11">
        <f t="shared" si="73"/>
        <v>166.66666666666666</v>
      </c>
      <c r="M266" s="11">
        <f t="shared" si="74"/>
        <v>125</v>
      </c>
      <c r="N266" s="8">
        <f>2000/12</f>
        <v>166.66666666666666</v>
      </c>
      <c r="O266" s="10">
        <f>650/12</f>
        <v>54.166666666666664</v>
      </c>
      <c r="P266" s="10">
        <f>100/12</f>
        <v>8.3333333333333339</v>
      </c>
      <c r="Q266" s="10">
        <v>0</v>
      </c>
      <c r="R266" s="10"/>
      <c r="S266" s="10">
        <f t="shared" si="75"/>
        <v>4754.166666666667</v>
      </c>
      <c r="T266" s="10">
        <f t="shared" si="76"/>
        <v>57050</v>
      </c>
    </row>
    <row r="267" spans="1:20" s="8" customFormat="1" ht="20.100000000000001" customHeight="1" x14ac:dyDescent="0.2">
      <c r="A267" s="9">
        <f t="shared" si="77"/>
        <v>264</v>
      </c>
      <c r="B267" s="9">
        <v>1339</v>
      </c>
      <c r="C267" s="9" t="str">
        <f>VLOOKUP(B267,'[1]اسماء الموظفين'!$B$8:$O$501,2,0)</f>
        <v>عبد الحميد محمد ذكى عتيم</v>
      </c>
      <c r="D267" s="9" t="str">
        <f>VLOOKUP(B267,'[1]اسماء الموظفين'!$B$8:$O$501,4,0)</f>
        <v>اليمن</v>
      </c>
      <c r="E267" s="9" t="str">
        <f>VLOOKUP(B267,'[2]المقيمين النشطين'!$B$2:$Q$980,15,0)</f>
        <v>تحت التجربة</v>
      </c>
      <c r="F267" s="9" t="str">
        <f>VLOOKUP(B267,'[1]اسماء الموظفين'!$B$8:$O$501,11,0)</f>
        <v>ورشة أثاث</v>
      </c>
      <c r="G267" s="11">
        <f>VLOOKUP(B267,'[3]رواتب الموظفين 2022'!$B$9:$J$1019,9,0)</f>
        <v>2000</v>
      </c>
      <c r="H267" s="11">
        <v>0</v>
      </c>
      <c r="I267" s="11"/>
      <c r="J267" s="11"/>
      <c r="K267" s="11">
        <f t="shared" si="72"/>
        <v>116.66666666666667</v>
      </c>
      <c r="L267" s="11">
        <f t="shared" si="73"/>
        <v>83.333333333333329</v>
      </c>
      <c r="M267" s="11">
        <f t="shared" si="74"/>
        <v>125</v>
      </c>
      <c r="O267" s="10"/>
      <c r="P267" s="10"/>
      <c r="Q267" s="10"/>
      <c r="R267" s="10"/>
      <c r="S267" s="10">
        <f t="shared" si="75"/>
        <v>2325</v>
      </c>
      <c r="T267" s="10">
        <f t="shared" si="76"/>
        <v>27900</v>
      </c>
    </row>
    <row r="268" spans="1:20" s="8" customFormat="1" ht="20.100000000000001" customHeight="1" x14ac:dyDescent="0.2">
      <c r="A268" s="9">
        <f t="shared" si="77"/>
        <v>265</v>
      </c>
      <c r="B268" s="9">
        <v>1340</v>
      </c>
      <c r="C268" s="9" t="str">
        <f>VLOOKUP(B268,'[1]اسماء الموظفين'!$B$8:$O$501,2,0)</f>
        <v>محمد حسن علي الرعوي</v>
      </c>
      <c r="D268" s="9" t="str">
        <f>VLOOKUP(B268,'[1]اسماء الموظفين'!$B$8:$O$501,4,0)</f>
        <v>اليمن</v>
      </c>
      <c r="E268" s="9" t="str">
        <f>VLOOKUP(B268,'[2]المقيمين النشطين'!$B$2:$Q$980,15,0)</f>
        <v>مؤسسة عبدالرحمن سلطان عبدالرحمن الرزيحي للتجارة</v>
      </c>
      <c r="F268" s="9" t="str">
        <f>VLOOKUP(B268,'[1]اسماء الموظفين'!$B$8:$O$501,11,0)</f>
        <v>أونلاين</v>
      </c>
      <c r="G268" s="11">
        <f>VLOOKUP(B268,'[3]رواتب الموظفين 2022'!$B$9:$J$1019,9,0)</f>
        <v>2500</v>
      </c>
      <c r="H268" s="11">
        <f>VLOOKUP(B268,'[3]رواتب الموظفين 2022'!$B$9:$E$438,4,0)*2%</f>
        <v>24</v>
      </c>
      <c r="I268" s="11"/>
      <c r="J268" s="11"/>
      <c r="K268" s="11">
        <f t="shared" si="72"/>
        <v>145.83333333333334</v>
      </c>
      <c r="L268" s="11">
        <f t="shared" si="73"/>
        <v>104.16666666666667</v>
      </c>
      <c r="M268" s="11">
        <f t="shared" si="74"/>
        <v>125</v>
      </c>
      <c r="O268" s="10"/>
      <c r="P268" s="10"/>
      <c r="Q268" s="10"/>
      <c r="R268" s="10">
        <f>$J$334</f>
        <v>581.33333333333337</v>
      </c>
      <c r="S268" s="10">
        <f t="shared" si="75"/>
        <v>3480.3333333333335</v>
      </c>
      <c r="T268" s="10">
        <f t="shared" si="76"/>
        <v>41764</v>
      </c>
    </row>
    <row r="269" spans="1:20" s="8" customFormat="1" ht="20.100000000000001" customHeight="1" x14ac:dyDescent="0.2">
      <c r="A269" s="9">
        <f t="shared" si="77"/>
        <v>266</v>
      </c>
      <c r="B269" s="9">
        <v>1342</v>
      </c>
      <c r="C269" s="9" t="str">
        <f>VLOOKUP(B269,'[1]اسماء الموظفين'!$B$8:$O$501,2,0)</f>
        <v>PUTHIYA PURAYIL RAJU</v>
      </c>
      <c r="D269" s="9" t="str">
        <f>VLOOKUP(B269,'[1]اسماء الموظفين'!$B$8:$O$501,4,0)</f>
        <v>الهند</v>
      </c>
      <c r="E269" s="9" t="str">
        <f>VLOOKUP(B269,'[2]المقيمين النشطين'!$B$2:$Q$980,15,0)</f>
        <v>نورة الرزيحي</v>
      </c>
      <c r="F269" s="9" t="str">
        <f>VLOOKUP(B269,'[1]اسماء الموظفين'!$B$8:$O$501,11,0)</f>
        <v>المدير العام</v>
      </c>
      <c r="G269" s="11">
        <f>VLOOKUP(B269,'[3]رواتب الموظفين 2022'!$B$9:$J$1019,9,0)</f>
        <v>0</v>
      </c>
      <c r="H269" s="11">
        <f>VLOOKUP(B269,'[3]رواتب الموظفين 2022'!$B$9:$E$438,4,0)*2%</f>
        <v>0</v>
      </c>
      <c r="I269" s="11"/>
      <c r="J269" s="11"/>
      <c r="K269" s="11">
        <f t="shared" si="72"/>
        <v>0</v>
      </c>
      <c r="L269" s="11">
        <f t="shared" si="73"/>
        <v>0</v>
      </c>
      <c r="M269" s="11">
        <f t="shared" si="74"/>
        <v>125</v>
      </c>
      <c r="O269" s="10"/>
      <c r="P269" s="10"/>
      <c r="Q269" s="10"/>
      <c r="R269" s="10"/>
      <c r="S269" s="10">
        <f t="shared" si="75"/>
        <v>125</v>
      </c>
      <c r="T269" s="10">
        <f t="shared" si="76"/>
        <v>1500</v>
      </c>
    </row>
    <row r="270" spans="1:20" s="8" customFormat="1" ht="20.100000000000001" customHeight="1" x14ac:dyDescent="0.2">
      <c r="A270" s="9">
        <f t="shared" si="77"/>
        <v>267</v>
      </c>
      <c r="B270" s="9">
        <v>1344</v>
      </c>
      <c r="C270" s="9" t="str">
        <f>VLOOKUP(B270,'[1]اسماء الموظفين'!$B$8:$O$501,2,0)</f>
        <v>اسامة احمد محمد الكامل</v>
      </c>
      <c r="D270" s="9" t="str">
        <f>VLOOKUP(B270,'[1]اسماء الموظفين'!$B$8:$O$501,4,0)</f>
        <v>اليمن</v>
      </c>
      <c r="E270" s="9" t="str">
        <f>VLOOKUP(B270,'[2]المقيمين النشطين'!$B$2:$Q$980,15,0)</f>
        <v>مؤسسة ممكن حلول لخدمات الأعمال</v>
      </c>
      <c r="F270" s="9" t="str">
        <f>VLOOKUP(B270,'[1]اسماء الموظفين'!$B$8:$O$501,11,0)</f>
        <v>وكالة ممكن</v>
      </c>
      <c r="G270" s="11">
        <f>VLOOKUP(B270,'[3]رواتب الموظفين 2022'!$B$9:$J$1019,9,0)</f>
        <v>4500</v>
      </c>
      <c r="H270" s="11">
        <v>0</v>
      </c>
      <c r="I270" s="11"/>
      <c r="J270" s="11"/>
      <c r="K270" s="11">
        <f t="shared" si="72"/>
        <v>262.5</v>
      </c>
      <c r="L270" s="11">
        <f t="shared" si="73"/>
        <v>187.5</v>
      </c>
      <c r="M270" s="11">
        <f t="shared" si="74"/>
        <v>125</v>
      </c>
      <c r="O270" s="10"/>
      <c r="P270" s="10"/>
      <c r="Q270" s="10"/>
      <c r="R270" s="10"/>
      <c r="S270" s="10">
        <f t="shared" si="75"/>
        <v>5075</v>
      </c>
      <c r="T270" s="10">
        <f t="shared" si="76"/>
        <v>60900</v>
      </c>
    </row>
    <row r="271" spans="1:20" s="8" customFormat="1" ht="20.100000000000001" customHeight="1" x14ac:dyDescent="0.2">
      <c r="A271" s="9">
        <f t="shared" si="77"/>
        <v>268</v>
      </c>
      <c r="B271" s="9">
        <v>1345</v>
      </c>
      <c r="C271" s="9" t="str">
        <f>VLOOKUP(B271,'[1]اسماء الموظفين'!$B$8:$O$501,2,0)</f>
        <v>اوس فيصل ناجي الرعوي</v>
      </c>
      <c r="D271" s="9" t="str">
        <f>VLOOKUP(B271,'[1]اسماء الموظفين'!$B$8:$O$501,4,0)</f>
        <v>اليمن</v>
      </c>
      <c r="E271" s="9" t="str">
        <f>VLOOKUP(B271,'[2]المقيمين النشطين'!$B$2:$Q$980,15,0)</f>
        <v>مؤسسة عبدالرحمن سلطان عبدالرحمن الرزيحي للتجارة</v>
      </c>
      <c r="F271" s="9" t="str">
        <f>VLOOKUP(B271,'[1]اسماء الموظفين'!$B$8:$O$501,11,0)</f>
        <v>هاينس</v>
      </c>
      <c r="G271" s="11">
        <f>VLOOKUP(B271,'[3]رواتب الموظفين 2022'!$B$9:$J$1019,9,0)</f>
        <v>2000</v>
      </c>
      <c r="H271" s="11">
        <f>VLOOKUP(B271,'[3]رواتب الموظفين 2022'!$B$9:$E$438,4,0)*2%</f>
        <v>24</v>
      </c>
      <c r="I271" s="11"/>
      <c r="J271" s="11"/>
      <c r="K271" s="11">
        <f t="shared" si="72"/>
        <v>116.66666666666667</v>
      </c>
      <c r="L271" s="11">
        <f t="shared" si="73"/>
        <v>83.333333333333329</v>
      </c>
      <c r="M271" s="11">
        <f t="shared" si="74"/>
        <v>125</v>
      </c>
      <c r="O271" s="10"/>
      <c r="P271" s="10"/>
      <c r="Q271" s="10"/>
      <c r="R271" s="10"/>
      <c r="S271" s="10">
        <f t="shared" si="75"/>
        <v>2349</v>
      </c>
      <c r="T271" s="10">
        <f t="shared" si="76"/>
        <v>28188</v>
      </c>
    </row>
    <row r="272" spans="1:20" s="8" customFormat="1" ht="20.100000000000001" customHeight="1" x14ac:dyDescent="0.2">
      <c r="A272" s="9">
        <f t="shared" si="77"/>
        <v>269</v>
      </c>
      <c r="B272" s="9">
        <v>1346</v>
      </c>
      <c r="C272" s="9" t="str">
        <f>VLOOKUP(B272,'[1]اسماء الموظفين'!$B$8:$O$501,2,0)</f>
        <v>محمد رمزان محمد نفيس</v>
      </c>
      <c r="D272" s="9" t="str">
        <f>VLOOKUP(B272,'[1]اسماء الموظفين'!$B$8:$O$501,4,0)</f>
        <v>باكستان</v>
      </c>
      <c r="E272" s="9" t="str">
        <f>VLOOKUP(B272,'[2]المقيمين النشطين'!$B$2:$Q$980,15,0)</f>
        <v>مؤسسة عبدالرحمن سلطان عبدالرحمن الرزيحي للتجارة</v>
      </c>
      <c r="F272" s="9" t="str">
        <f>VLOOKUP(B272,'[1]اسماء الموظفين'!$B$8:$O$501,11,0)</f>
        <v>الإدارة</v>
      </c>
      <c r="G272" s="11">
        <f>VLOOKUP(B272,'[3]رواتب الموظفين 2022'!$B$9:$J$1019,9,0)</f>
        <v>0</v>
      </c>
      <c r="H272" s="11">
        <f>VLOOKUP(B272,'[3]رواتب الموظفين 2022'!$B$9:$E$438,4,0)*2%</f>
        <v>0</v>
      </c>
      <c r="I272" s="11"/>
      <c r="J272" s="11"/>
      <c r="K272" s="11">
        <f t="shared" si="72"/>
        <v>0</v>
      </c>
      <c r="L272" s="11">
        <f t="shared" si="73"/>
        <v>0</v>
      </c>
      <c r="M272" s="11">
        <f t="shared" si="74"/>
        <v>125</v>
      </c>
      <c r="O272" s="10"/>
      <c r="P272" s="10"/>
      <c r="Q272" s="10"/>
      <c r="R272" s="10">
        <f>$J$334</f>
        <v>581.33333333333337</v>
      </c>
      <c r="S272" s="10">
        <f t="shared" si="75"/>
        <v>706.33333333333337</v>
      </c>
      <c r="T272" s="10">
        <f t="shared" si="76"/>
        <v>8476</v>
      </c>
    </row>
    <row r="273" spans="1:20" s="8" customFormat="1" ht="20.100000000000001" customHeight="1" x14ac:dyDescent="0.2">
      <c r="A273" s="9">
        <f t="shared" si="77"/>
        <v>270</v>
      </c>
      <c r="B273" s="9">
        <v>1347</v>
      </c>
      <c r="C273" s="9" t="str">
        <f>VLOOKUP(B273,'[1]اسماء الموظفين'!$B$8:$O$501,2,0)</f>
        <v>عمرو ماجد عبده علي الرعوي</v>
      </c>
      <c r="D273" s="9" t="str">
        <f>VLOOKUP(B273,'[1]اسماء الموظفين'!$B$8:$O$501,4,0)</f>
        <v>اليمن</v>
      </c>
      <c r="E273" s="9" t="str">
        <f>VLOOKUP(B273,'[2]المقيمين النشطين'!$B$2:$Q$980,15,0)</f>
        <v>مؤسسة عبدالرحمن سلطان عبدالرحمن الرزيحي للتجارة</v>
      </c>
      <c r="F273" s="9" t="str">
        <f>VLOOKUP(B273,'[1]اسماء الموظفين'!$B$8:$O$501,11,0)</f>
        <v>مستودع جملة سلطان</v>
      </c>
      <c r="G273" s="11">
        <f>VLOOKUP(B273,'[3]رواتب الموظفين 2022'!$B$9:$J$1019,9,0)</f>
        <v>0</v>
      </c>
      <c r="H273" s="11">
        <f>VLOOKUP(B273,'[3]رواتب الموظفين 2022'!$B$9:$E$438,4,0)*2%</f>
        <v>0</v>
      </c>
      <c r="I273" s="11"/>
      <c r="J273" s="11"/>
      <c r="K273" s="11">
        <f t="shared" si="72"/>
        <v>0</v>
      </c>
      <c r="L273" s="11">
        <f t="shared" si="73"/>
        <v>0</v>
      </c>
      <c r="M273" s="11">
        <f t="shared" si="74"/>
        <v>125</v>
      </c>
      <c r="O273" s="10"/>
      <c r="P273" s="10"/>
      <c r="Q273" s="10"/>
      <c r="R273" s="10">
        <f>$J$334</f>
        <v>581.33333333333337</v>
      </c>
      <c r="S273" s="10">
        <f t="shared" si="75"/>
        <v>706.33333333333337</v>
      </c>
      <c r="T273" s="10">
        <f t="shared" si="76"/>
        <v>8476</v>
      </c>
    </row>
    <row r="274" spans="1:20" s="8" customFormat="1" ht="20.100000000000001" customHeight="1" x14ac:dyDescent="0.2">
      <c r="A274" s="9">
        <f t="shared" si="77"/>
        <v>271</v>
      </c>
      <c r="B274" s="9">
        <v>1348</v>
      </c>
      <c r="C274" s="9" t="str">
        <f>VLOOKUP(B274,'[1]اسماء الموظفين'!$B$8:$O$501,2,0)</f>
        <v>اثير يحيى علي حكمي</v>
      </c>
      <c r="D274" s="9" t="str">
        <f>VLOOKUP(B274,'[1]اسماء الموظفين'!$B$8:$O$501,4,0)</f>
        <v>سعودي</v>
      </c>
      <c r="E274" s="9" t="str">
        <f>VLOOKUP(B274,'[2]المقيمين النشطين'!$B$2:$Q$980,15,0)</f>
        <v>مصنع سلطان عبدالرحمن صالح الرزيحي للمنتجات الورقية</v>
      </c>
      <c r="F274" s="9" t="str">
        <f>VLOOKUP(B274,'[1]اسماء الموظفين'!$B$8:$O$501,11,0)</f>
        <v>وكالة ممكن</v>
      </c>
      <c r="G274" s="11">
        <f>VLOOKUP(B274,'[3]رواتب الموظفين 2022'!$B$9:$J$1019,9,0)</f>
        <v>4500</v>
      </c>
      <c r="H274" s="11">
        <f>VLOOKUP(B274,'[3]رواتب الموظفين 2022'!$B$9:$E$438,4,0)*12.25%</f>
        <v>490</v>
      </c>
      <c r="I274" s="11"/>
      <c r="J274" s="11"/>
      <c r="K274" s="11">
        <f t="shared" si="72"/>
        <v>262.5</v>
      </c>
      <c r="L274" s="11">
        <f t="shared" si="73"/>
        <v>187.5</v>
      </c>
      <c r="M274" s="11">
        <f t="shared" si="74"/>
        <v>125</v>
      </c>
      <c r="O274" s="10"/>
      <c r="P274" s="10"/>
      <c r="Q274" s="10"/>
      <c r="R274" s="10"/>
      <c r="S274" s="10">
        <f t="shared" si="75"/>
        <v>5565</v>
      </c>
      <c r="T274" s="10">
        <f t="shared" si="76"/>
        <v>66780</v>
      </c>
    </row>
    <row r="275" spans="1:20" s="8" customFormat="1" ht="20.100000000000001" customHeight="1" x14ac:dyDescent="0.2">
      <c r="A275" s="9">
        <f t="shared" si="77"/>
        <v>272</v>
      </c>
      <c r="B275" s="9">
        <v>1349</v>
      </c>
      <c r="C275" s="9" t="str">
        <f>VLOOKUP(B275,'[1]اسماء الموظفين'!$B$8:$O$501,2,0)</f>
        <v>صلاح اديب يحيى الشامي</v>
      </c>
      <c r="D275" s="9" t="str">
        <f>VLOOKUP(B275,'[1]اسماء الموظفين'!$B$8:$O$501,4,0)</f>
        <v>اليمن</v>
      </c>
      <c r="E275" s="9" t="str">
        <f>VLOOKUP(B275,'[2]المقيمين النشطين'!$B$2:$Q$980,15,0)</f>
        <v>تحت التجربة</v>
      </c>
      <c r="F275" s="9" t="str">
        <f>VLOOKUP(B275,'[1]اسماء الموظفين'!$B$8:$O$501,11,0)</f>
        <v>مزبوط الشاي</v>
      </c>
      <c r="G275" s="11">
        <f>VLOOKUP(B275,'[3]رواتب الموظفين 2022'!$B$9:$J$1019,9,0)</f>
        <v>2000</v>
      </c>
      <c r="H275" s="11">
        <f>VLOOKUP(B275,'[3]رواتب الموظفين 2022'!$B$9:$E$438,4,0)*2%</f>
        <v>24</v>
      </c>
      <c r="I275" s="11"/>
      <c r="J275" s="11"/>
      <c r="K275" s="11">
        <f t="shared" si="72"/>
        <v>116.66666666666667</v>
      </c>
      <c r="L275" s="11">
        <f t="shared" si="73"/>
        <v>83.333333333333329</v>
      </c>
      <c r="M275" s="11">
        <f t="shared" si="74"/>
        <v>125</v>
      </c>
      <c r="O275" s="10"/>
      <c r="P275" s="10"/>
      <c r="Q275" s="10"/>
      <c r="R275" s="10"/>
      <c r="S275" s="10">
        <f t="shared" si="75"/>
        <v>2349</v>
      </c>
      <c r="T275" s="10">
        <f t="shared" si="76"/>
        <v>28188</v>
      </c>
    </row>
    <row r="276" spans="1:20" s="8" customFormat="1" ht="20.100000000000001" customHeight="1" x14ac:dyDescent="0.2">
      <c r="A276" s="9">
        <f t="shared" si="77"/>
        <v>273</v>
      </c>
      <c r="B276" s="9">
        <v>1351</v>
      </c>
      <c r="C276" s="9" t="str">
        <f>VLOOKUP(B276,'[1]اسماء الموظفين'!$B$8:$O$501,2,0)</f>
        <v>مصطفي سعيد محمد خالد الجعدي</v>
      </c>
      <c r="D276" s="9" t="str">
        <f>VLOOKUP(B276,'[1]اسماء الموظفين'!$B$8:$O$501,4,0)</f>
        <v>اليمن</v>
      </c>
      <c r="E276" s="9" t="str">
        <f>VLOOKUP(B276,'[2]المقيمين النشطين'!$B$2:$Q$980,15,0)</f>
        <v>تحت التجربة</v>
      </c>
      <c r="F276" s="9" t="str">
        <f>VLOOKUP(B276,'[1]اسماء الموظفين'!$B$8:$O$501,11,0)</f>
        <v>ورشة أثاث</v>
      </c>
      <c r="G276" s="11">
        <f>VLOOKUP(B276,'[3]رواتب الموظفين 2022'!$B$9:$J$1019,9,0)</f>
        <v>2000</v>
      </c>
      <c r="H276" s="11">
        <f>VLOOKUP(B276,'[3]رواتب الموظفين 2022'!$B$9:$E$438,4,0)*2%</f>
        <v>24</v>
      </c>
      <c r="I276" s="11"/>
      <c r="J276" s="11"/>
      <c r="K276" s="11">
        <f t="shared" si="72"/>
        <v>116.66666666666667</v>
      </c>
      <c r="L276" s="11">
        <f t="shared" si="73"/>
        <v>83.333333333333329</v>
      </c>
      <c r="M276" s="11">
        <f t="shared" si="74"/>
        <v>125</v>
      </c>
      <c r="O276" s="10"/>
      <c r="P276" s="10"/>
      <c r="Q276" s="10"/>
      <c r="R276" s="10"/>
      <c r="S276" s="10">
        <f t="shared" si="75"/>
        <v>2349</v>
      </c>
      <c r="T276" s="10">
        <f t="shared" si="76"/>
        <v>28188</v>
      </c>
    </row>
    <row r="277" spans="1:20" s="8" customFormat="1" ht="20.100000000000001" customHeight="1" x14ac:dyDescent="0.2">
      <c r="A277" s="9">
        <f t="shared" si="77"/>
        <v>274</v>
      </c>
      <c r="B277" s="9">
        <v>1352</v>
      </c>
      <c r="C277" s="9" t="str">
        <f>VLOOKUP(B277,'[1]اسماء الموظفين'!$B$8:$O$501,2,0)</f>
        <v>حصه فيصل مبارك ال حميد الدوسري</v>
      </c>
      <c r="D277" s="9" t="str">
        <f>VLOOKUP(B277,'[1]اسماء الموظفين'!$B$8:$O$501,4,0)</f>
        <v>سعودي</v>
      </c>
      <c r="E277" s="9" t="str">
        <f>VLOOKUP(B277,'[2]المقيمين النشطين'!$B$2:$Q$980,15,0)</f>
        <v>مؤسسة عبدالرحمن سلطان عبدالرحمن الرزيحي للتجارة</v>
      </c>
      <c r="F277" s="9" t="str">
        <f>VLOOKUP(B277,'[1]اسماء الموظفين'!$B$8:$O$501,11,0)</f>
        <v>الشفا</v>
      </c>
      <c r="G277" s="11">
        <f>VLOOKUP(B277,'[3]رواتب الموظفين 2022'!$B$9:$J$1019,9,0)</f>
        <v>4000</v>
      </c>
      <c r="H277" s="11">
        <f>VLOOKUP(B277,'[3]رواتب الموظفين 2022'!$B$9:$E$438,4,0)*12.25%</f>
        <v>490</v>
      </c>
      <c r="I277" s="11"/>
      <c r="J277" s="11"/>
      <c r="K277" s="11">
        <f t="shared" si="72"/>
        <v>233.33333333333334</v>
      </c>
      <c r="L277" s="11">
        <f t="shared" si="73"/>
        <v>166.66666666666666</v>
      </c>
      <c r="M277" s="11">
        <f t="shared" si="74"/>
        <v>125</v>
      </c>
      <c r="O277" s="10"/>
      <c r="P277" s="10"/>
      <c r="Q277" s="10"/>
      <c r="R277" s="10"/>
      <c r="S277" s="10">
        <f t="shared" si="75"/>
        <v>5015</v>
      </c>
      <c r="T277" s="10">
        <f t="shared" si="76"/>
        <v>60180</v>
      </c>
    </row>
    <row r="278" spans="1:20" s="8" customFormat="1" ht="20.100000000000001" customHeight="1" x14ac:dyDescent="0.2">
      <c r="A278" s="9">
        <f t="shared" si="77"/>
        <v>275</v>
      </c>
      <c r="B278" s="9">
        <v>1353</v>
      </c>
      <c r="C278" s="9" t="str">
        <f>VLOOKUP(B278,'[1]اسماء الموظفين'!$B$8:$O$501,2,0)</f>
        <v>منصور عبدالعزيز ماشع المشرافي المطيري</v>
      </c>
      <c r="D278" s="9" t="str">
        <f>VLOOKUP(B278,'[1]اسماء الموظفين'!$B$8:$O$501,4,0)</f>
        <v>سعودي</v>
      </c>
      <c r="E278" s="9" t="str">
        <f>VLOOKUP(B278,'[2]المقيمين النشطين'!$B$2:$Q$980,15,0)</f>
        <v>مؤسسة زاوية ريال بركة للكماليات</v>
      </c>
      <c r="F278" s="9" t="str">
        <f>VLOOKUP(B278,'[1]اسماء الموظفين'!$B$8:$O$501,11,0)</f>
        <v>اليرموك</v>
      </c>
      <c r="G278" s="11">
        <f>VLOOKUP(B278,'[3]رواتب الموظفين 2022'!$B$9:$J$1019,9,0)</f>
        <v>4000</v>
      </c>
      <c r="H278" s="11">
        <f>VLOOKUP(B278,'[3]رواتب الموظفين 2022'!$B$9:$E$438,4,0)*2%</f>
        <v>80</v>
      </c>
      <c r="I278" s="11"/>
      <c r="J278" s="11"/>
      <c r="K278" s="11">
        <f t="shared" si="72"/>
        <v>233.33333333333334</v>
      </c>
      <c r="L278" s="11">
        <f t="shared" si="73"/>
        <v>166.66666666666666</v>
      </c>
      <c r="M278" s="11">
        <f t="shared" si="74"/>
        <v>125</v>
      </c>
      <c r="O278" s="10"/>
      <c r="P278" s="10"/>
      <c r="Q278" s="10"/>
      <c r="R278" s="10"/>
      <c r="S278" s="10">
        <f t="shared" si="75"/>
        <v>4605</v>
      </c>
      <c r="T278" s="10">
        <f t="shared" si="76"/>
        <v>55260</v>
      </c>
    </row>
    <row r="279" spans="1:20" s="8" customFormat="1" ht="20.100000000000001" customHeight="1" x14ac:dyDescent="0.2">
      <c r="A279" s="9">
        <f t="shared" si="77"/>
        <v>276</v>
      </c>
      <c r="B279" s="9">
        <v>1354</v>
      </c>
      <c r="C279" s="9" t="str">
        <f>VLOOKUP(B279,'[1]اسماء الموظفين'!$B$8:$O$501,2,0)</f>
        <v>الوليد خالد عبدالله بن دبل</v>
      </c>
      <c r="D279" s="9" t="str">
        <f>VLOOKUP(B279,'[1]اسماء الموظفين'!$B$8:$O$501,4,0)</f>
        <v>سعودي</v>
      </c>
      <c r="E279" s="9" t="str">
        <f>VLOOKUP(B279,'[2]المقيمين النشطين'!$B$2:$Q$980,15,0)</f>
        <v>مؤسسة سلطان عبدالرحمن صالح الرزيحي للتجارة</v>
      </c>
      <c r="F279" s="9" t="str">
        <f>VLOOKUP(B279,'[1]اسماء الموظفين'!$B$8:$O$501,11,0)</f>
        <v>هاينس</v>
      </c>
      <c r="G279" s="11">
        <f>VLOOKUP(B279,'[3]رواتب الموظفين 2022'!$B$9:$J$1019,9,0)</f>
        <v>4500</v>
      </c>
      <c r="H279" s="11">
        <f>VLOOKUP(B279,'[3]رواتب الموظفين 2022'!$B$9:$E$438,4,0)*12.25%</f>
        <v>490</v>
      </c>
      <c r="I279" s="11"/>
      <c r="J279" s="11"/>
      <c r="K279" s="11">
        <f t="shared" si="72"/>
        <v>262.5</v>
      </c>
      <c r="L279" s="11">
        <f t="shared" si="73"/>
        <v>187.5</v>
      </c>
      <c r="M279" s="11">
        <f t="shared" si="74"/>
        <v>125</v>
      </c>
      <c r="O279" s="10"/>
      <c r="P279" s="10"/>
      <c r="Q279" s="10"/>
      <c r="R279" s="10"/>
      <c r="S279" s="10">
        <f t="shared" si="75"/>
        <v>5565</v>
      </c>
      <c r="T279" s="10">
        <f t="shared" si="76"/>
        <v>66780</v>
      </c>
    </row>
    <row r="280" spans="1:20" s="8" customFormat="1" ht="20.100000000000001" customHeight="1" x14ac:dyDescent="0.2">
      <c r="A280" s="9">
        <f t="shared" si="77"/>
        <v>277</v>
      </c>
      <c r="B280" s="9">
        <v>1360</v>
      </c>
      <c r="C280" s="9" t="str">
        <f>VLOOKUP(B280,'[1]اسماء الموظفين'!$B$8:$O$501,2,0)</f>
        <v>محمد رسيل مياح مياح</v>
      </c>
      <c r="D280" s="9" t="str">
        <f>VLOOKUP(B280,'[1]اسماء الموظفين'!$B$8:$O$501,4,0)</f>
        <v>بنجلاديش</v>
      </c>
      <c r="E280" s="9" t="str">
        <f>VLOOKUP(B280,'[2]المقيمين النشطين'!$B$2:$Q$980,15,0)</f>
        <v>تحت التجربة</v>
      </c>
      <c r="F280" s="9" t="str">
        <f>VLOOKUP(B280,'[1]اسماء الموظفين'!$B$8:$O$501,11,0)</f>
        <v>الأندلس</v>
      </c>
      <c r="G280" s="11">
        <f>VLOOKUP(B280,'[3]رواتب الموظفين 2022'!$B$9:$J$1019,9,0)</f>
        <v>1600</v>
      </c>
      <c r="H280" s="11">
        <f>VLOOKUP(B280,'[3]رواتب الموظفين 2022'!$B$9:$E$438,4,0)*2%</f>
        <v>24</v>
      </c>
      <c r="I280" s="11"/>
      <c r="J280" s="11"/>
      <c r="K280" s="11">
        <f t="shared" si="72"/>
        <v>93.333333333333329</v>
      </c>
      <c r="L280" s="11">
        <f t="shared" si="73"/>
        <v>66.666666666666671</v>
      </c>
      <c r="M280" s="11">
        <f t="shared" si="74"/>
        <v>125</v>
      </c>
      <c r="O280" s="10"/>
      <c r="P280" s="10"/>
      <c r="Q280" s="10"/>
      <c r="R280" s="10"/>
      <c r="S280" s="10">
        <f t="shared" si="75"/>
        <v>1909</v>
      </c>
      <c r="T280" s="10">
        <f t="shared" si="76"/>
        <v>22908</v>
      </c>
    </row>
    <row r="281" spans="1:20" s="8" customFormat="1" ht="20.100000000000001" customHeight="1" x14ac:dyDescent="0.2">
      <c r="A281" s="9">
        <f t="shared" si="77"/>
        <v>278</v>
      </c>
      <c r="B281" s="9">
        <v>1361</v>
      </c>
      <c r="C281" s="9" t="str">
        <f>VLOOKUP(B281,'[1]اسماء الموظفين'!$B$8:$O$501,2,0)</f>
        <v>مد فاهد ال اسلام</v>
      </c>
      <c r="D281" s="9" t="str">
        <f>VLOOKUP(B281,'[1]اسماء الموظفين'!$B$8:$O$501,4,0)</f>
        <v>بنجلاديش</v>
      </c>
      <c r="E281" s="9" t="str">
        <f>VLOOKUP(B281,'[2]المقيمين النشطين'!$B$2:$Q$980,15,0)</f>
        <v>تحت التجربة</v>
      </c>
      <c r="F281" s="9" t="str">
        <f>VLOOKUP(B281,'[1]اسماء الموظفين'!$B$8:$O$501,11,0)</f>
        <v>لبن</v>
      </c>
      <c r="G281" s="11">
        <f>VLOOKUP(B281,'[3]رواتب الموظفين 2022'!$B$9:$J$1019,9,0)</f>
        <v>1600</v>
      </c>
      <c r="H281" s="11">
        <f>VLOOKUP(B281,'[3]رواتب الموظفين 2022'!$B$9:$E$438,4,0)*2%</f>
        <v>24</v>
      </c>
      <c r="I281" s="11"/>
      <c r="J281" s="11"/>
      <c r="K281" s="11">
        <f t="shared" si="72"/>
        <v>93.333333333333329</v>
      </c>
      <c r="L281" s="11">
        <f t="shared" si="73"/>
        <v>66.666666666666671</v>
      </c>
      <c r="M281" s="11">
        <f t="shared" si="74"/>
        <v>125</v>
      </c>
      <c r="O281" s="10"/>
      <c r="P281" s="10"/>
      <c r="Q281" s="10"/>
      <c r="R281" s="10"/>
      <c r="S281" s="10">
        <f t="shared" si="75"/>
        <v>1909</v>
      </c>
      <c r="T281" s="10">
        <f t="shared" si="76"/>
        <v>22908</v>
      </c>
    </row>
    <row r="282" spans="1:20" s="8" customFormat="1" ht="20.100000000000001" customHeight="1" x14ac:dyDescent="0.2">
      <c r="A282" s="9">
        <f t="shared" si="77"/>
        <v>279</v>
      </c>
      <c r="B282" s="9">
        <v>1362</v>
      </c>
      <c r="C282" s="9" t="str">
        <f>VLOOKUP(B282,'[1]اسماء الموظفين'!$B$8:$O$501,2,0)</f>
        <v>مد شكيل اوسين</v>
      </c>
      <c r="D282" s="9" t="str">
        <f>VLOOKUP(B282,'[1]اسماء الموظفين'!$B$8:$O$501,4,0)</f>
        <v>بنجلاديش</v>
      </c>
      <c r="E282" s="9" t="str">
        <f>VLOOKUP(B282,'[2]المقيمين النشطين'!$B$2:$Q$980,15,0)</f>
        <v>مؤسسة سلطان عبدالرحمن صالح الرزيحي للتجارة</v>
      </c>
      <c r="F282" s="9" t="str">
        <f>VLOOKUP(B282,'[1]اسماء الموظفين'!$B$8:$O$501,11,0)</f>
        <v>الدائري الغربي</v>
      </c>
      <c r="G282" s="11">
        <f>VLOOKUP(B282,'[3]رواتب الموظفين 2022'!$B$9:$J$1019,9,0)</f>
        <v>1600</v>
      </c>
      <c r="H282" s="11">
        <f>VLOOKUP(B282,'[3]رواتب الموظفين 2022'!$B$9:$E$438,4,0)*2%</f>
        <v>24</v>
      </c>
      <c r="I282" s="11"/>
      <c r="J282" s="11"/>
      <c r="K282" s="11">
        <f t="shared" si="72"/>
        <v>93.333333333333329</v>
      </c>
      <c r="L282" s="11">
        <f t="shared" si="73"/>
        <v>66.666666666666671</v>
      </c>
      <c r="M282" s="11">
        <f t="shared" si="74"/>
        <v>125</v>
      </c>
      <c r="O282" s="10"/>
      <c r="P282" s="10"/>
      <c r="Q282" s="10"/>
      <c r="R282" s="10"/>
      <c r="S282" s="10">
        <f t="shared" si="75"/>
        <v>1909</v>
      </c>
      <c r="T282" s="10">
        <f t="shared" si="76"/>
        <v>22908</v>
      </c>
    </row>
    <row r="283" spans="1:20" s="8" customFormat="1" ht="20.100000000000001" customHeight="1" x14ac:dyDescent="0.2">
      <c r="A283" s="9">
        <f t="shared" si="77"/>
        <v>280</v>
      </c>
      <c r="B283" s="9">
        <v>1363</v>
      </c>
      <c r="C283" s="9" t="str">
        <f>VLOOKUP(B283,'[1]اسماء الموظفين'!$B$8:$O$501,2,0)</f>
        <v>ليتون ساردار</v>
      </c>
      <c r="D283" s="9" t="str">
        <f>VLOOKUP(B283,'[1]اسماء الموظفين'!$B$8:$O$501,4,0)</f>
        <v>بنجلاديش</v>
      </c>
      <c r="E283" s="9" t="str">
        <f>VLOOKUP(B283,'[2]المقيمين النشطين'!$B$2:$Q$980,15,0)</f>
        <v>مؤسسة عبدالرحمن سلطان عبدالرحمن الرزيحي للتجارة</v>
      </c>
      <c r="F283" s="9" t="str">
        <f>VLOOKUP(B283,'[1]اسماء الموظفين'!$B$8:$O$501,11,0)</f>
        <v>هاينس</v>
      </c>
      <c r="G283" s="11">
        <f>VLOOKUP(B283,'[3]رواتب الموظفين 2022'!$B$9:$J$1019,9,0)</f>
        <v>1600</v>
      </c>
      <c r="H283" s="11">
        <f>VLOOKUP(B283,'[3]رواتب الموظفين 2022'!$B$9:$E$438,4,0)*2%</f>
        <v>24</v>
      </c>
      <c r="I283" s="11"/>
      <c r="J283" s="11"/>
      <c r="K283" s="11">
        <f t="shared" si="72"/>
        <v>93.333333333333329</v>
      </c>
      <c r="L283" s="11">
        <f t="shared" si="73"/>
        <v>66.666666666666671</v>
      </c>
      <c r="M283" s="11">
        <f t="shared" si="74"/>
        <v>125</v>
      </c>
      <c r="O283" s="10"/>
      <c r="P283" s="10"/>
      <c r="Q283" s="10"/>
      <c r="R283" s="10"/>
      <c r="S283" s="10">
        <f t="shared" si="75"/>
        <v>1909</v>
      </c>
      <c r="T283" s="10">
        <f t="shared" si="76"/>
        <v>22908</v>
      </c>
    </row>
    <row r="284" spans="1:20" s="8" customFormat="1" ht="20.100000000000001" customHeight="1" x14ac:dyDescent="0.2">
      <c r="A284" s="9">
        <f t="shared" si="77"/>
        <v>281</v>
      </c>
      <c r="B284" s="9">
        <v>1364</v>
      </c>
      <c r="C284" s="9" t="str">
        <f>VLOOKUP(B284,'[1]اسماء الموظفين'!$B$8:$O$501,2,0)</f>
        <v>عاشق ال رحمن</v>
      </c>
      <c r="D284" s="9" t="str">
        <f>VLOOKUP(B284,'[1]اسماء الموظفين'!$B$8:$O$501,4,0)</f>
        <v>بنجلاديش</v>
      </c>
      <c r="E284" s="9" t="str">
        <f>VLOOKUP(B284,'[2]المقيمين النشطين'!$B$2:$Q$980,15,0)</f>
        <v>مؤسسة عبدالرحمن سلطان عبدالرحمن الرزيحي للتجارة</v>
      </c>
      <c r="F284" s="9" t="str">
        <f>VLOOKUP(B284,'[1]اسماء الموظفين'!$B$8:$O$501,11,0)</f>
        <v>مزبوط الشاي</v>
      </c>
      <c r="G284" s="11">
        <f>VLOOKUP(B284,'[3]رواتب الموظفين 2022'!$B$9:$J$1019,9,0)</f>
        <v>1600</v>
      </c>
      <c r="H284" s="11">
        <f>VLOOKUP(B284,'[3]رواتب الموظفين 2022'!$B$9:$E$438,4,0)*2%</f>
        <v>24</v>
      </c>
      <c r="I284" s="11"/>
      <c r="J284" s="11"/>
      <c r="K284" s="11">
        <f t="shared" si="72"/>
        <v>93.333333333333329</v>
      </c>
      <c r="L284" s="11">
        <f t="shared" si="73"/>
        <v>66.666666666666671</v>
      </c>
      <c r="M284" s="11">
        <f t="shared" si="74"/>
        <v>125</v>
      </c>
      <c r="O284" s="10"/>
      <c r="P284" s="10"/>
      <c r="Q284" s="10"/>
      <c r="R284" s="10"/>
      <c r="S284" s="10">
        <f t="shared" si="75"/>
        <v>1909</v>
      </c>
      <c r="T284" s="10">
        <f t="shared" si="76"/>
        <v>22908</v>
      </c>
    </row>
    <row r="285" spans="1:20" s="8" customFormat="1" ht="20.100000000000001" customHeight="1" x14ac:dyDescent="0.2">
      <c r="A285" s="9">
        <f t="shared" si="77"/>
        <v>282</v>
      </c>
      <c r="B285" s="9">
        <v>1365</v>
      </c>
      <c r="C285" s="9" t="str">
        <f>VLOOKUP(B285,'[1]اسماء الموظفين'!$B$8:$O$501,2,0)</f>
        <v>مد شفيق ال اسلام</v>
      </c>
      <c r="D285" s="9" t="str">
        <f>VLOOKUP(B285,'[1]اسماء الموظفين'!$B$8:$O$501,4,0)</f>
        <v>بنجلاديش</v>
      </c>
      <c r="E285" s="9" t="str">
        <f>VLOOKUP(B285,'[2]المقيمين النشطين'!$B$2:$Q$980,15,0)</f>
        <v>تحت التجربة</v>
      </c>
      <c r="F285" s="9" t="str">
        <f>VLOOKUP(B285,'[1]اسماء الموظفين'!$B$8:$O$501,11,0)</f>
        <v>هاينس</v>
      </c>
      <c r="G285" s="11">
        <f>VLOOKUP(B285,'[3]رواتب الموظفين 2022'!$B$9:$J$1019,9,0)</f>
        <v>1600</v>
      </c>
      <c r="H285" s="11">
        <f>VLOOKUP(B285,'[3]رواتب الموظفين 2022'!$B$9:$E$438,4,0)*2%</f>
        <v>24</v>
      </c>
      <c r="I285" s="11"/>
      <c r="J285" s="11"/>
      <c r="K285" s="11">
        <f t="shared" si="72"/>
        <v>93.333333333333329</v>
      </c>
      <c r="L285" s="11">
        <f t="shared" si="73"/>
        <v>66.666666666666671</v>
      </c>
      <c r="M285" s="11">
        <f t="shared" si="74"/>
        <v>125</v>
      </c>
      <c r="O285" s="10"/>
      <c r="P285" s="10"/>
      <c r="Q285" s="10"/>
      <c r="R285" s="10"/>
      <c r="S285" s="10">
        <f t="shared" si="75"/>
        <v>1909</v>
      </c>
      <c r="T285" s="10">
        <f t="shared" si="76"/>
        <v>22908</v>
      </c>
    </row>
    <row r="286" spans="1:20" s="8" customFormat="1" ht="20.100000000000001" customHeight="1" x14ac:dyDescent="0.2">
      <c r="A286" s="9">
        <f t="shared" si="77"/>
        <v>283</v>
      </c>
      <c r="B286" s="9">
        <v>1366</v>
      </c>
      <c r="C286" s="9" t="str">
        <f>VLOOKUP(B286,'[1]اسماء الموظفين'!$B$8:$O$501,2,0)</f>
        <v>مد اقبال حسين</v>
      </c>
      <c r="D286" s="9" t="str">
        <f>VLOOKUP(B286,'[1]اسماء الموظفين'!$B$8:$O$501,4,0)</f>
        <v>بنجلاديش</v>
      </c>
      <c r="E286" s="9" t="str">
        <f>VLOOKUP(B286,'[2]المقيمين النشطين'!$B$2:$Q$980,15,0)</f>
        <v>مؤسسة ممكن حلول لخدمات الأعمال</v>
      </c>
      <c r="F286" s="9" t="str">
        <f>VLOOKUP(B286,'[1]اسماء الموظفين'!$B$8:$O$501,11,0)</f>
        <v>وكالة ممكن</v>
      </c>
      <c r="G286" s="11">
        <f>VLOOKUP(B286,'[3]رواتب الموظفين 2022'!$B$9:$J$1019,9,0)</f>
        <v>1800</v>
      </c>
      <c r="H286" s="11">
        <f>VLOOKUP(B286,'[3]رواتب الموظفين 2022'!$B$9:$E$438,4,0)*2%</f>
        <v>24</v>
      </c>
      <c r="I286" s="11"/>
      <c r="J286" s="11"/>
      <c r="K286" s="11">
        <f t="shared" si="72"/>
        <v>105</v>
      </c>
      <c r="L286" s="11">
        <f t="shared" si="73"/>
        <v>75</v>
      </c>
      <c r="M286" s="11">
        <f t="shared" si="74"/>
        <v>125</v>
      </c>
      <c r="O286" s="10"/>
      <c r="P286" s="10"/>
      <c r="Q286" s="10"/>
      <c r="R286" s="10"/>
      <c r="S286" s="10">
        <f t="shared" si="75"/>
        <v>2129</v>
      </c>
      <c r="T286" s="10">
        <f t="shared" si="76"/>
        <v>25548</v>
      </c>
    </row>
    <row r="287" spans="1:20" s="8" customFormat="1" ht="20.100000000000001" customHeight="1" x14ac:dyDescent="0.2">
      <c r="A287" s="9">
        <f t="shared" si="77"/>
        <v>284</v>
      </c>
      <c r="B287" s="9">
        <v>1369</v>
      </c>
      <c r="C287" s="9" t="str">
        <f>VLOOKUP(B287,'[1]اسماء الموظفين'!$B$8:$O$501,2,0)</f>
        <v>حسن حسن حسن عطوة</v>
      </c>
      <c r="D287" s="9" t="str">
        <f>VLOOKUP(B287,'[1]اسماء الموظفين'!$B$8:$O$501,4,0)</f>
        <v>مصر</v>
      </c>
      <c r="E287" s="9" t="str">
        <f>VLOOKUP(B287,'[2]المقيمين النشطين'!$B$2:$Q$980,15,0)</f>
        <v>شركة أدفان للصناعة ( شركة شخص واحد )</v>
      </c>
      <c r="F287" s="9" t="str">
        <f>VLOOKUP(B287,'[1]اسماء الموظفين'!$B$8:$O$501,11,0)</f>
        <v>ورشة أثاث</v>
      </c>
      <c r="G287" s="11">
        <f>VLOOKUP(B287,'[3]رواتب الموظفين 2022'!$B$9:$J$1019,9,0)</f>
        <v>3300</v>
      </c>
      <c r="H287" s="11">
        <f>VLOOKUP(B287,'[3]رواتب الموظفين 2022'!$B$9:$E$438,4,0)*2%</f>
        <v>24</v>
      </c>
      <c r="I287" s="11"/>
      <c r="J287" s="11"/>
      <c r="K287" s="11">
        <f t="shared" si="72"/>
        <v>192.5</v>
      </c>
      <c r="L287" s="11">
        <f t="shared" si="73"/>
        <v>137.5</v>
      </c>
      <c r="M287" s="11">
        <f t="shared" si="74"/>
        <v>125</v>
      </c>
      <c r="O287" s="10"/>
      <c r="P287" s="10"/>
      <c r="Q287" s="10"/>
      <c r="R287" s="10">
        <f>J$335</f>
        <v>700</v>
      </c>
      <c r="S287" s="10">
        <f t="shared" si="75"/>
        <v>4479</v>
      </c>
      <c r="T287" s="10">
        <f t="shared" si="76"/>
        <v>53748</v>
      </c>
    </row>
    <row r="288" spans="1:20" s="8" customFormat="1" ht="20.100000000000001" customHeight="1" x14ac:dyDescent="0.2">
      <c r="A288" s="9">
        <f t="shared" si="77"/>
        <v>285</v>
      </c>
      <c r="B288" s="9">
        <v>1373</v>
      </c>
      <c r="C288" s="9" t="str">
        <f>VLOOKUP(B288,'[1]اسماء الموظفين'!$B$8:$O$501,2,0)</f>
        <v>مد معراج حسن</v>
      </c>
      <c r="D288" s="9" t="str">
        <f>VLOOKUP(B288,'[1]اسماء الموظفين'!$B$8:$O$501,4,0)</f>
        <v>بنجلاديش</v>
      </c>
      <c r="E288" s="9" t="str">
        <f>VLOOKUP(B288,'[2]المقيمين النشطين'!$B$2:$Q$980,15,0)</f>
        <v>تحت التجربة</v>
      </c>
      <c r="F288" s="9" t="str">
        <f>VLOOKUP(B288,'[1]اسماء الموظفين'!$B$8:$O$501,11,0)</f>
        <v>الدائري الغربي</v>
      </c>
      <c r="G288" s="11">
        <f>VLOOKUP(B288,'[3]رواتب الموظفين 2022'!$B$9:$J$1019,9,0)</f>
        <v>1600</v>
      </c>
      <c r="H288" s="11">
        <f>VLOOKUP(B288,'[3]رواتب الموظفين 2022'!$B$9:$E$438,4,0)*2%</f>
        <v>24</v>
      </c>
      <c r="I288" s="11"/>
      <c r="J288" s="11"/>
      <c r="K288" s="11">
        <f t="shared" ref="K288" si="78">G288/30*21/12</f>
        <v>93.333333333333329</v>
      </c>
      <c r="L288" s="11">
        <f t="shared" ref="L288" si="79">G288/2/12</f>
        <v>66.666666666666671</v>
      </c>
      <c r="M288" s="11">
        <f t="shared" si="74"/>
        <v>125</v>
      </c>
      <c r="O288" s="10"/>
      <c r="P288" s="10"/>
      <c r="Q288" s="10"/>
      <c r="R288" s="10"/>
      <c r="S288" s="10">
        <f t="shared" si="75"/>
        <v>1909</v>
      </c>
      <c r="T288" s="10">
        <f t="shared" si="76"/>
        <v>22908</v>
      </c>
    </row>
    <row r="289" spans="1:20" s="8" customFormat="1" ht="20.100000000000001" customHeight="1" x14ac:dyDescent="0.2">
      <c r="A289" s="9">
        <f t="shared" si="77"/>
        <v>286</v>
      </c>
      <c r="B289" s="9">
        <v>1381</v>
      </c>
      <c r="C289" s="9" t="str">
        <f>VLOOKUP(B289,'[1]اسماء الموظفين'!$B$8:$O$501,2,0)</f>
        <v>يحي احمد مامون مسلماني</v>
      </c>
      <c r="D289" s="9" t="str">
        <f>VLOOKUP(B289,'[1]اسماء الموظفين'!$B$8:$O$501,4,0)</f>
        <v>اليمن</v>
      </c>
      <c r="E289" s="9" t="str">
        <f>VLOOKUP(B289,'[2]المقيمين النشطين'!$B$2:$Q$980,15,0)</f>
        <v>تحت التجربة</v>
      </c>
      <c r="F289" s="9" t="str">
        <f>VLOOKUP(B289,'[1]اسماء الموظفين'!$B$8:$O$501,11,0)</f>
        <v>وكالة ممكن</v>
      </c>
      <c r="G289" s="11">
        <f>VLOOKUP(B289,'[3]رواتب الموظفين 2022'!$B$9:$J$1019,9,0)</f>
        <v>3000</v>
      </c>
      <c r="H289" s="11">
        <f>VLOOKUP(B289,'[3]رواتب الموظفين 2022'!$B$9:$E$438,4,0)*2%</f>
        <v>24</v>
      </c>
      <c r="I289" s="11"/>
      <c r="J289" s="11"/>
      <c r="K289" s="11"/>
      <c r="L289" s="11"/>
      <c r="M289" s="11"/>
      <c r="O289" s="10"/>
      <c r="P289" s="10"/>
      <c r="Q289" s="10"/>
      <c r="R289" s="10"/>
      <c r="S289" s="10">
        <f t="shared" si="75"/>
        <v>3024</v>
      </c>
      <c r="T289" s="10">
        <f t="shared" si="76"/>
        <v>36288</v>
      </c>
    </row>
    <row r="290" spans="1:20" s="8" customFormat="1" ht="20.100000000000001" customHeight="1" x14ac:dyDescent="0.2">
      <c r="A290" s="9">
        <f t="shared" si="77"/>
        <v>287</v>
      </c>
      <c r="B290" s="9">
        <v>1387</v>
      </c>
      <c r="C290" s="9" t="str">
        <f>VLOOKUP(B290,'[1]اسماء الموظفين'!$B$8:$O$501,2,0)</f>
        <v>شيخه حسن بن عبيد الدوسري</v>
      </c>
      <c r="D290" s="9" t="str">
        <f>VLOOKUP(B290,'[1]اسماء الموظفين'!$B$8:$O$501,4,0)</f>
        <v>سعودي</v>
      </c>
      <c r="E290" s="9" t="str">
        <f>VLOOKUP(B290,'[2]المقيمين النشطين'!$B$2:$Q$980,15,0)</f>
        <v>مؤسسة عبدالرحمن سلطان عبدالرحمن الرزيحي للتجارة</v>
      </c>
      <c r="F290" s="9" t="str">
        <f>VLOOKUP(B290,'[1]اسماء الموظفين'!$B$8:$O$501,11,0)</f>
        <v>الشفا</v>
      </c>
      <c r="G290" s="11">
        <f>VLOOKUP(B290,'[3]رواتب الموظفين 2022'!$B$9:$J$1019,9,0)</f>
        <v>4000</v>
      </c>
      <c r="H290" s="11">
        <f>VLOOKUP(B290,'[3]رواتب الموظفين 2022'!$B$9:$E$438,4,0)*2%</f>
        <v>80</v>
      </c>
      <c r="I290" s="11"/>
      <c r="J290" s="11"/>
      <c r="K290" s="11"/>
      <c r="L290" s="11"/>
      <c r="M290" s="11"/>
      <c r="O290" s="10"/>
      <c r="P290" s="10"/>
      <c r="Q290" s="10"/>
      <c r="R290" s="10"/>
      <c r="S290" s="10">
        <f t="shared" si="75"/>
        <v>4080</v>
      </c>
      <c r="T290" s="10">
        <f t="shared" si="76"/>
        <v>48960</v>
      </c>
    </row>
    <row r="291" spans="1:20" s="8" customFormat="1" ht="20.100000000000001" customHeight="1" x14ac:dyDescent="0.2">
      <c r="A291" s="9">
        <f t="shared" si="77"/>
        <v>288</v>
      </c>
      <c r="B291" s="9">
        <v>1391</v>
      </c>
      <c r="C291" s="9" t="str">
        <f>VLOOKUP(B291,'[1]اسماء الموظفين'!$B$8:$O$501,2,0)</f>
        <v>عيسى مسعد دبوان حمزة</v>
      </c>
      <c r="D291" s="9" t="str">
        <f>VLOOKUP(B291,'[1]اسماء الموظفين'!$B$8:$O$501,4,0)</f>
        <v>اليمن</v>
      </c>
      <c r="E291" s="9" t="str">
        <f>VLOOKUP(B291,'[2]المقيمين النشطين'!$B$2:$Q$980,15,0)</f>
        <v>تحت التجربة</v>
      </c>
      <c r="F291" s="9" t="str">
        <f>VLOOKUP(B291,'[1]اسماء الموظفين'!$B$8:$O$501,11,0)</f>
        <v>اليرموك</v>
      </c>
      <c r="G291" s="11">
        <f>VLOOKUP(B291,'[3]رواتب الموظفين 2022'!$B$9:$J$1019,9,0)</f>
        <v>1900</v>
      </c>
      <c r="H291" s="11">
        <f>VLOOKUP(B291,'[3]رواتب الموظفين 2022'!$B$9:$E$438,4,0)*2%</f>
        <v>24</v>
      </c>
      <c r="I291" s="11"/>
      <c r="J291" s="11"/>
      <c r="K291" s="11"/>
      <c r="L291" s="11"/>
      <c r="M291" s="11"/>
      <c r="O291" s="10"/>
      <c r="P291" s="10"/>
      <c r="Q291" s="10"/>
      <c r="R291" s="10"/>
      <c r="S291" s="10">
        <f t="shared" si="75"/>
        <v>1924</v>
      </c>
      <c r="T291" s="10">
        <f t="shared" si="76"/>
        <v>23088</v>
      </c>
    </row>
    <row r="292" spans="1:20" s="8" customFormat="1" ht="20.100000000000001" customHeight="1" x14ac:dyDescent="0.2">
      <c r="A292" s="9">
        <f t="shared" si="77"/>
        <v>289</v>
      </c>
      <c r="B292" s="9">
        <v>1393</v>
      </c>
      <c r="C292" s="9" t="str">
        <f>VLOOKUP(B292,'[1]اسماء الموظفين'!$B$8:$O$501,2,0)</f>
        <v>ناصر سماري سعد السمارى</v>
      </c>
      <c r="D292" s="9" t="str">
        <f>VLOOKUP(B292,'[1]اسماء الموظفين'!$B$8:$O$501,4,0)</f>
        <v>سعودي</v>
      </c>
      <c r="E292" s="9" t="str">
        <f>VLOOKUP(B292,'[2]المقيمين النشطين'!$B$2:$Q$980,15,0)</f>
        <v>مؤسسة سلطان عبدالرحمن صالح الرزيحي للتجارة</v>
      </c>
      <c r="F292" s="9" t="str">
        <f>VLOOKUP(B292,'[1]اسماء الموظفين'!$B$8:$O$501,11,0)</f>
        <v>هاينس</v>
      </c>
      <c r="G292" s="11">
        <f>VLOOKUP(B292,'[3]رواتب الموظفين 2022'!$B$9:$J$1019,9,0)</f>
        <v>4500</v>
      </c>
      <c r="H292" s="11">
        <f>VLOOKUP(B292,'[3]رواتب الموظفين 2022'!$B$9:$E$438,4,0)*12.25%</f>
        <v>490</v>
      </c>
      <c r="I292" s="11"/>
      <c r="J292" s="11"/>
      <c r="K292" s="11"/>
      <c r="L292" s="11"/>
      <c r="M292" s="11"/>
      <c r="O292" s="10"/>
      <c r="P292" s="10"/>
      <c r="Q292" s="10"/>
      <c r="R292" s="10"/>
      <c r="S292" s="10">
        <f t="shared" si="75"/>
        <v>4990</v>
      </c>
      <c r="T292" s="10">
        <f t="shared" si="76"/>
        <v>59880</v>
      </c>
    </row>
    <row r="293" spans="1:20" s="8" customFormat="1" ht="20.100000000000001" customHeight="1" x14ac:dyDescent="0.2">
      <c r="A293" s="9">
        <f t="shared" si="77"/>
        <v>290</v>
      </c>
      <c r="B293" s="9">
        <v>1394</v>
      </c>
      <c r="C293" s="9" t="str">
        <f>VLOOKUP(B293,'[1]اسماء الموظفين'!$B$8:$O$501,2,0)</f>
        <v>سامي قنديل محمد المكاوي</v>
      </c>
      <c r="D293" s="9" t="str">
        <f>VLOOKUP(B293,'[1]اسماء الموظفين'!$B$8:$O$501,4,0)</f>
        <v>مصر</v>
      </c>
      <c r="E293" s="9" t="str">
        <f>VLOOKUP(B293,'[2]المقيمين النشطين'!$B$2:$Q$980,15,0)</f>
        <v>تحت التجربة</v>
      </c>
      <c r="F293" s="9" t="str">
        <f>VLOOKUP(B293,'[1]اسماء الموظفين'!$B$8:$O$501,11,0)</f>
        <v>جملة ريال البركة</v>
      </c>
      <c r="G293" s="11">
        <f>VLOOKUP(B293,'[3]رواتب الموظفين 2022'!$B$9:$J$1019,9,0)</f>
        <v>3500</v>
      </c>
      <c r="H293" s="11"/>
      <c r="I293" s="11"/>
      <c r="J293" s="11"/>
      <c r="K293" s="11"/>
      <c r="L293" s="11"/>
      <c r="M293" s="11"/>
      <c r="O293" s="10"/>
      <c r="P293" s="10"/>
      <c r="Q293" s="10"/>
      <c r="R293" s="10"/>
      <c r="S293" s="10">
        <f t="shared" si="75"/>
        <v>3500</v>
      </c>
      <c r="T293" s="10">
        <f t="shared" si="76"/>
        <v>42000</v>
      </c>
    </row>
    <row r="294" spans="1:20" s="8" customFormat="1" ht="20.100000000000001" customHeight="1" x14ac:dyDescent="0.2">
      <c r="A294" s="9">
        <f t="shared" si="77"/>
        <v>291</v>
      </c>
      <c r="B294" s="9">
        <v>1395</v>
      </c>
      <c r="C294" s="9" t="str">
        <f>VLOOKUP(B294,'[1]اسماء الموظفين'!$B$8:$O$501,2,0)</f>
        <v>سنان محمد</v>
      </c>
      <c r="D294" s="9" t="str">
        <f>VLOOKUP(B294,'[1]اسماء الموظفين'!$B$8:$O$501,4,0)</f>
        <v>اليمن</v>
      </c>
      <c r="E294" s="9" t="str">
        <f>VLOOKUP(B294,'[2]المقيمين النشطين'!$B$2:$Q$980,15,0)</f>
        <v>تحت التجربة</v>
      </c>
      <c r="F294" s="9" t="str">
        <f>VLOOKUP(B294,'[1]اسماء الموظفين'!$B$8:$O$501,11,0)</f>
        <v>المصنع</v>
      </c>
      <c r="G294" s="11">
        <f>VLOOKUP(B294,'[3]رواتب الموظفين 2022'!$B$9:$J$1019,9,0)</f>
        <v>2000</v>
      </c>
      <c r="H294" s="11"/>
      <c r="I294" s="11"/>
      <c r="J294" s="11"/>
      <c r="K294" s="11">
        <f>G294/30*21/12</f>
        <v>116.66666666666667</v>
      </c>
      <c r="L294" s="11">
        <f>G294/2/12</f>
        <v>83.333333333333329</v>
      </c>
      <c r="M294" s="11">
        <f t="shared" ref="M294" si="80">1500/12</f>
        <v>125</v>
      </c>
      <c r="O294" s="10"/>
      <c r="P294" s="10"/>
      <c r="Q294" s="10"/>
      <c r="R294" s="10"/>
      <c r="S294" s="10">
        <f t="shared" si="75"/>
        <v>2325</v>
      </c>
      <c r="T294" s="10">
        <f t="shared" si="76"/>
        <v>27900</v>
      </c>
    </row>
    <row r="295" spans="1:20" s="8" customFormat="1" ht="20.100000000000001" customHeight="1" x14ac:dyDescent="0.2">
      <c r="A295" s="9">
        <f t="shared" si="77"/>
        <v>292</v>
      </c>
      <c r="B295" s="9">
        <v>1396</v>
      </c>
      <c r="C295" s="9" t="str">
        <f>VLOOKUP(B295,'[1]اسماء الموظفين'!$B$8:$O$501,2,0)</f>
        <v xml:space="preserve">جاسم كاجم الدين  </v>
      </c>
      <c r="D295" s="9" t="str">
        <f>VLOOKUP(B295,'[1]اسماء الموظفين'!$B$8:$O$501,4,0)</f>
        <v>بنجلاديش</v>
      </c>
      <c r="E295" s="9" t="str">
        <f>VLOOKUP(B295,'[2]المقيمين النشطين'!$B$2:$Q$980,15,0)</f>
        <v>تحت التجربة</v>
      </c>
      <c r="F295" s="9" t="str">
        <f>VLOOKUP(B295,'[1]اسماء الموظفين'!$B$8:$O$501,11,0)</f>
        <v>الشفا</v>
      </c>
      <c r="G295" s="11">
        <f>VLOOKUP(B295,'[3]رواتب الموظفين 2022'!$B$9:$J$1019,9,0)</f>
        <v>1600</v>
      </c>
      <c r="H295" s="11"/>
      <c r="I295" s="11"/>
      <c r="J295" s="11"/>
      <c r="K295" s="11"/>
      <c r="L295" s="11"/>
      <c r="M295" s="11"/>
      <c r="O295" s="10"/>
      <c r="P295" s="10"/>
      <c r="Q295" s="10"/>
      <c r="R295" s="10"/>
      <c r="S295" s="10">
        <f t="shared" si="75"/>
        <v>1600</v>
      </c>
      <c r="T295" s="10">
        <f t="shared" si="76"/>
        <v>19200</v>
      </c>
    </row>
    <row r="296" spans="1:20" s="8" customFormat="1" ht="20.100000000000001" customHeight="1" x14ac:dyDescent="0.2">
      <c r="A296" s="9">
        <f t="shared" si="77"/>
        <v>293</v>
      </c>
      <c r="B296" s="9">
        <v>1397</v>
      </c>
      <c r="C296" s="9" t="str">
        <f>VLOOKUP(B296,'[1]اسماء الموظفين'!$B$8:$O$501,2,0)</f>
        <v>شذى خالد بن محمد سويد</v>
      </c>
      <c r="D296" s="9" t="str">
        <f>VLOOKUP(B296,'[1]اسماء الموظفين'!$B$8:$O$501,4,0)</f>
        <v>سعودي</v>
      </c>
      <c r="E296" s="9" t="str">
        <f>VLOOKUP(B296,'[2]المقيمين النشطين'!$B$2:$Q$980,15,0)</f>
        <v>مصنع سلطان عبدالرحمن صالح الرزيحي للمنتجات الورقية</v>
      </c>
      <c r="F296" s="9" t="str">
        <f>VLOOKUP(B296,'[1]اسماء الموظفين'!$B$8:$O$501,11,0)</f>
        <v>وكالة ممكن</v>
      </c>
      <c r="G296" s="11">
        <f>VLOOKUP(B296,'[3]رواتب الموظفين 2022'!$B$9:$J$1019,9,0)</f>
        <v>4500</v>
      </c>
      <c r="H296" s="11">
        <f>VLOOKUP(B296,'[3]رواتب الموظفين 2022'!$B$9:$E$438,4,0)*12.25%</f>
        <v>490</v>
      </c>
      <c r="I296" s="11"/>
      <c r="J296" s="11"/>
      <c r="K296" s="11"/>
      <c r="L296" s="11"/>
      <c r="M296" s="11"/>
      <c r="O296" s="10"/>
      <c r="P296" s="10"/>
      <c r="Q296" s="10"/>
      <c r="R296" s="10"/>
      <c r="S296" s="10">
        <f t="shared" si="75"/>
        <v>4990</v>
      </c>
      <c r="T296" s="10">
        <f t="shared" si="76"/>
        <v>59880</v>
      </c>
    </row>
    <row r="297" spans="1:20" s="8" customFormat="1" ht="20.100000000000001" customHeight="1" x14ac:dyDescent="0.2">
      <c r="A297" s="9">
        <f t="shared" si="77"/>
        <v>294</v>
      </c>
      <c r="B297" s="9">
        <v>1398</v>
      </c>
      <c r="C297" s="9" t="str">
        <f>VLOOKUP(B297,'[1]اسماء الموظفين'!$B$8:$O$501,2,0)</f>
        <v>نظم ال اسلام</v>
      </c>
      <c r="D297" s="9" t="str">
        <f>VLOOKUP(B297,'[1]اسماء الموظفين'!$B$8:$O$501,4,0)</f>
        <v>بنجلاديش</v>
      </c>
      <c r="E297" s="9" t="str">
        <f>VLOOKUP(B297,'[2]المقيمين النشطين'!$B$2:$Q$980,15,0)</f>
        <v>تحت التجربة</v>
      </c>
      <c r="F297" s="9" t="str">
        <f>VLOOKUP(B297,'[1]اسماء الموظفين'!$B$8:$O$501,11,0)</f>
        <v>المصنع</v>
      </c>
      <c r="G297" s="11">
        <f>VLOOKUP(B297,'[3]رواتب الموظفين 2022'!$B$9:$J$1019,9,0)</f>
        <v>1600</v>
      </c>
      <c r="H297" s="11"/>
      <c r="I297" s="11"/>
      <c r="J297" s="11"/>
      <c r="K297" s="11">
        <f>G297/30*21/12</f>
        <v>93.333333333333329</v>
      </c>
      <c r="L297" s="11">
        <f>G297/2/12</f>
        <v>66.666666666666671</v>
      </c>
      <c r="M297" s="11">
        <f t="shared" ref="M297:M301" si="81">1500/12</f>
        <v>125</v>
      </c>
      <c r="O297" s="10"/>
      <c r="P297" s="10"/>
      <c r="Q297" s="10"/>
      <c r="R297" s="10"/>
      <c r="S297" s="10">
        <f t="shared" si="75"/>
        <v>1885</v>
      </c>
      <c r="T297" s="10">
        <f t="shared" si="76"/>
        <v>22620</v>
      </c>
    </row>
    <row r="298" spans="1:20" s="8" customFormat="1" ht="20.100000000000001" customHeight="1" x14ac:dyDescent="0.2">
      <c r="A298" s="9">
        <f t="shared" si="77"/>
        <v>295</v>
      </c>
      <c r="B298" s="9">
        <v>1399</v>
      </c>
      <c r="C298" s="9" t="str">
        <f>VLOOKUP(B298,'[1]اسماء الموظفين'!$B$8:$O$501,2,0)</f>
        <v xml:space="preserve">عمر خالد منصر شمسان </v>
      </c>
      <c r="D298" s="9" t="str">
        <f>VLOOKUP(B298,'[1]اسماء الموظفين'!$B$8:$O$501,4,0)</f>
        <v>اليمن</v>
      </c>
      <c r="E298" s="9" t="str">
        <f>VLOOKUP(B298,'[2]المقيمين النشطين'!$B$2:$Q$980,15,0)</f>
        <v>تحت التجربة</v>
      </c>
      <c r="F298" s="9" t="str">
        <f>VLOOKUP(B298,'[1]اسماء الموظفين'!$B$8:$O$501,11,0)</f>
        <v>المصنع</v>
      </c>
      <c r="G298" s="11">
        <f>VLOOKUP(B298,'[3]رواتب الموظفين 2022'!$B$9:$J$1019,9,0)</f>
        <v>2000</v>
      </c>
      <c r="H298" s="11"/>
      <c r="I298" s="11"/>
      <c r="J298" s="11"/>
      <c r="K298" s="11">
        <f>G298/30*21/12</f>
        <v>116.66666666666667</v>
      </c>
      <c r="L298" s="11">
        <f>G298/2/12</f>
        <v>83.333333333333329</v>
      </c>
      <c r="M298" s="11">
        <f t="shared" si="81"/>
        <v>125</v>
      </c>
      <c r="O298" s="10"/>
      <c r="P298" s="10"/>
      <c r="Q298" s="10"/>
      <c r="R298" s="10"/>
      <c r="S298" s="10">
        <f t="shared" si="75"/>
        <v>2325</v>
      </c>
      <c r="T298" s="10">
        <f t="shared" si="76"/>
        <v>27900</v>
      </c>
    </row>
    <row r="299" spans="1:20" s="8" customFormat="1" ht="20.100000000000001" customHeight="1" x14ac:dyDescent="0.2">
      <c r="A299" s="9">
        <f t="shared" si="77"/>
        <v>296</v>
      </c>
      <c r="B299" s="9">
        <v>1400</v>
      </c>
      <c r="C299" s="9" t="str">
        <f>VLOOKUP(B299,'[1]اسماء الموظفين'!$B$8:$O$501,2,0)</f>
        <v>مد رابي حسين</v>
      </c>
      <c r="D299" s="9" t="str">
        <f>VLOOKUP(B299,'[1]اسماء الموظفين'!$B$8:$O$501,4,0)</f>
        <v>بنجلاديش</v>
      </c>
      <c r="E299" s="9" t="str">
        <f>VLOOKUP(B299,'[2]المقيمين النشطين'!$B$2:$Q$980,15,0)</f>
        <v>تحت التجربة</v>
      </c>
      <c r="F299" s="9" t="str">
        <f>VLOOKUP(B299,'[1]اسماء الموظفين'!$B$8:$O$501,11,0)</f>
        <v>المصنع</v>
      </c>
      <c r="G299" s="11">
        <f>VLOOKUP(B299,'[3]رواتب الموظفين 2022'!$B$9:$J$1019,9,0)</f>
        <v>1600</v>
      </c>
      <c r="H299" s="11"/>
      <c r="I299" s="11"/>
      <c r="J299" s="11"/>
      <c r="K299" s="11">
        <f>G299/30*21/12</f>
        <v>93.333333333333329</v>
      </c>
      <c r="L299" s="11">
        <f>G299/2/12</f>
        <v>66.666666666666671</v>
      </c>
      <c r="M299" s="11">
        <f t="shared" si="81"/>
        <v>125</v>
      </c>
      <c r="O299" s="10"/>
      <c r="P299" s="10"/>
      <c r="Q299" s="10"/>
      <c r="R299" s="10"/>
      <c r="S299" s="10">
        <f t="shared" si="75"/>
        <v>1885</v>
      </c>
      <c r="T299" s="10">
        <f t="shared" si="76"/>
        <v>22620</v>
      </c>
    </row>
    <row r="300" spans="1:20" s="8" customFormat="1" ht="20.100000000000001" customHeight="1" x14ac:dyDescent="0.2">
      <c r="A300" s="9">
        <f t="shared" si="77"/>
        <v>297</v>
      </c>
      <c r="B300" s="9">
        <v>1401</v>
      </c>
      <c r="C300" s="9" t="str">
        <f>VLOOKUP(B300,'[1]اسماء الموظفين'!$B$8:$O$501,2,0)</f>
        <v>سوهيل رانا</v>
      </c>
      <c r="D300" s="9" t="str">
        <f>VLOOKUP(B300,'[1]اسماء الموظفين'!$B$8:$O$501,4,0)</f>
        <v>بنجلاديش</v>
      </c>
      <c r="E300" s="9" t="str">
        <f>VLOOKUP(B300,'[2]المقيمين النشطين'!$B$2:$Q$980,15,0)</f>
        <v>تحت التجربة</v>
      </c>
      <c r="F300" s="9" t="str">
        <f>VLOOKUP(B300,'[1]اسماء الموظفين'!$B$8:$O$501,11,0)</f>
        <v>المصنع</v>
      </c>
      <c r="G300" s="11">
        <f>VLOOKUP(B300,'[3]رواتب الموظفين 2022'!$B$9:$J$1019,9,0)</f>
        <v>1600</v>
      </c>
      <c r="H300" s="11"/>
      <c r="I300" s="11"/>
      <c r="J300" s="11"/>
      <c r="K300" s="11">
        <f>G300/30*21/12</f>
        <v>93.333333333333329</v>
      </c>
      <c r="L300" s="11">
        <f>G300/2/12</f>
        <v>66.666666666666671</v>
      </c>
      <c r="M300" s="11">
        <f t="shared" si="81"/>
        <v>125</v>
      </c>
      <c r="O300" s="10"/>
      <c r="P300" s="10"/>
      <c r="Q300" s="10"/>
      <c r="R300" s="10"/>
      <c r="S300" s="10">
        <f t="shared" si="75"/>
        <v>1885</v>
      </c>
      <c r="T300" s="10">
        <f t="shared" si="76"/>
        <v>22620</v>
      </c>
    </row>
    <row r="301" spans="1:20" s="8" customFormat="1" ht="20.100000000000001" customHeight="1" x14ac:dyDescent="0.2">
      <c r="A301" s="9">
        <f t="shared" si="77"/>
        <v>298</v>
      </c>
      <c r="B301" s="9">
        <v>1402</v>
      </c>
      <c r="C301" s="9" t="str">
        <f>VLOOKUP(B301,'[1]اسماء الموظفين'!$B$8:$O$501,2,0)</f>
        <v>مد هومين كوبير</v>
      </c>
      <c r="D301" s="9" t="str">
        <f>VLOOKUP(B301,'[1]اسماء الموظفين'!$B$8:$O$501,4,0)</f>
        <v>بنجلاديش</v>
      </c>
      <c r="E301" s="9" t="str">
        <f>VLOOKUP(B301,'[2]المقيمين النشطين'!$B$2:$Q$980,15,0)</f>
        <v>تحت التجربة</v>
      </c>
      <c r="F301" s="9" t="str">
        <f>VLOOKUP(B301,'[1]اسماء الموظفين'!$B$8:$O$501,11,0)</f>
        <v>المصنع</v>
      </c>
      <c r="G301" s="11">
        <f>VLOOKUP(B301,'[3]رواتب الموظفين 2022'!$B$9:$J$1019,9,0)</f>
        <v>1600</v>
      </c>
      <c r="H301" s="11"/>
      <c r="I301" s="11"/>
      <c r="J301" s="11"/>
      <c r="K301" s="11">
        <f>G301/30*21/12</f>
        <v>93.333333333333329</v>
      </c>
      <c r="L301" s="11">
        <f>G301/2/12</f>
        <v>66.666666666666671</v>
      </c>
      <c r="M301" s="11">
        <f t="shared" si="81"/>
        <v>125</v>
      </c>
      <c r="O301" s="10"/>
      <c r="P301" s="10"/>
      <c r="Q301" s="10"/>
      <c r="R301" s="10"/>
      <c r="S301" s="10">
        <f t="shared" si="75"/>
        <v>1885</v>
      </c>
      <c r="T301" s="10">
        <f t="shared" si="76"/>
        <v>22620</v>
      </c>
    </row>
    <row r="302" spans="1:20" s="8" customFormat="1" ht="20.100000000000001" customHeight="1" x14ac:dyDescent="0.2">
      <c r="A302" s="9">
        <f t="shared" si="77"/>
        <v>299</v>
      </c>
      <c r="B302" s="9">
        <v>1403</v>
      </c>
      <c r="C302" s="9" t="str">
        <f>VLOOKUP(B302,'[1]اسماء الموظفين'!$B$8:$O$501,2,0)</f>
        <v>مد ميدي حسن</v>
      </c>
      <c r="D302" s="9" t="str">
        <f>VLOOKUP(B302,'[1]اسماء الموظفين'!$B$8:$O$501,4,0)</f>
        <v>بنجلاديش</v>
      </c>
      <c r="E302" s="9" t="str">
        <f>VLOOKUP(B302,'[2]المقيمين النشطين'!$B$2:$Q$980,15,0)</f>
        <v>تحت التجربة</v>
      </c>
      <c r="F302" s="9" t="str">
        <f>VLOOKUP(B302,'[1]اسماء الموظفين'!$B$8:$O$501,11,0)</f>
        <v>الدائري الغربي</v>
      </c>
      <c r="G302" s="11">
        <f>VLOOKUP(B302,'[3]رواتب الموظفين 2022'!$B$9:$J$1019,9,0)</f>
        <v>1600</v>
      </c>
      <c r="H302" s="11"/>
      <c r="I302" s="11"/>
      <c r="J302" s="11"/>
      <c r="K302" s="11"/>
      <c r="L302" s="11"/>
      <c r="M302" s="11"/>
      <c r="O302" s="10"/>
      <c r="P302" s="10"/>
      <c r="Q302" s="10"/>
      <c r="R302" s="10"/>
      <c r="S302" s="10">
        <f t="shared" si="75"/>
        <v>1600</v>
      </c>
      <c r="T302" s="10">
        <f t="shared" si="76"/>
        <v>19200</v>
      </c>
    </row>
    <row r="303" spans="1:20" s="8" customFormat="1" ht="20.100000000000001" customHeight="1" x14ac:dyDescent="0.2">
      <c r="A303" s="9">
        <f t="shared" si="77"/>
        <v>300</v>
      </c>
      <c r="B303" s="9">
        <v>1404</v>
      </c>
      <c r="C303" s="9" t="str">
        <f>VLOOKUP(B303,'[1]اسماء الموظفين'!$B$8:$O$501,2,0)</f>
        <v>ريان بكيل علي محمد محفوظ</v>
      </c>
      <c r="D303" s="9" t="str">
        <f>VLOOKUP(B303,'[1]اسماء الموظفين'!$B$8:$O$501,4,0)</f>
        <v>اليمن</v>
      </c>
      <c r="E303" s="9" t="str">
        <f>VLOOKUP(B303,'[2]المقيمين النشطين'!$B$2:$Q$980,15,0)</f>
        <v>تحت التجربة</v>
      </c>
      <c r="F303" s="9" t="str">
        <f>VLOOKUP(B303,'[1]اسماء الموظفين'!$B$8:$O$501,11,0)</f>
        <v>المصنع</v>
      </c>
      <c r="G303" s="11">
        <f>VLOOKUP(B303,'[3]رواتب الموظفين 2022'!$B$9:$J$1019,9,0)</f>
        <v>2000</v>
      </c>
      <c r="H303" s="11"/>
      <c r="I303" s="11"/>
      <c r="J303" s="11"/>
      <c r="K303" s="11">
        <f>G303/30*21/12</f>
        <v>116.66666666666667</v>
      </c>
      <c r="L303" s="11">
        <f>G303/2/12</f>
        <v>83.333333333333329</v>
      </c>
      <c r="M303" s="11">
        <f t="shared" ref="M303" si="82">1500/12</f>
        <v>125</v>
      </c>
      <c r="O303" s="10"/>
      <c r="P303" s="10"/>
      <c r="Q303" s="10"/>
      <c r="R303" s="10"/>
      <c r="S303" s="10">
        <f t="shared" si="75"/>
        <v>2325</v>
      </c>
      <c r="T303" s="10">
        <f t="shared" si="76"/>
        <v>27900</v>
      </c>
    </row>
    <row r="304" spans="1:20" s="8" customFormat="1" ht="20.100000000000001" customHeight="1" x14ac:dyDescent="0.2">
      <c r="A304" s="9">
        <f t="shared" si="77"/>
        <v>301</v>
      </c>
      <c r="B304" s="9">
        <v>1405</v>
      </c>
      <c r="C304" s="9" t="str">
        <f>VLOOKUP(B304,'[1]اسماء الموظفين'!$B$8:$O$501,2,0)</f>
        <v>ابراهيم زياد ابراهيم الزيد</v>
      </c>
      <c r="D304" s="9" t="str">
        <f>VLOOKUP(B304,'[1]اسماء الموظفين'!$B$8:$O$501,4,0)</f>
        <v>سعودي</v>
      </c>
      <c r="E304" s="9" t="str">
        <f>VLOOKUP(B304,'[2]المقيمين النشطين'!$B$2:$Q$980,15,0)</f>
        <v>مؤسسة عبدالرحمن سلطان عبدالرحمن الرزيحي للتجارة</v>
      </c>
      <c r="F304" s="9" t="str">
        <f>VLOOKUP(B304,'[1]اسماء الموظفين'!$B$8:$O$501,11,0)</f>
        <v>النسيم 2</v>
      </c>
      <c r="G304" s="11">
        <f>VLOOKUP(B304,'[3]رواتب الموظفين 2022'!$B$9:$J$1019,9,0)</f>
        <v>4000</v>
      </c>
      <c r="H304" s="11">
        <f>VLOOKUP(B304,'[3]رواتب الموظفين 2022'!$B$9:$E$438,4,0)*2%</f>
        <v>80</v>
      </c>
      <c r="I304" s="11"/>
      <c r="J304" s="11"/>
      <c r="K304" s="11"/>
      <c r="L304" s="11"/>
      <c r="M304" s="11"/>
      <c r="O304" s="10"/>
      <c r="P304" s="10"/>
      <c r="Q304" s="10"/>
      <c r="R304" s="10"/>
      <c r="S304" s="10">
        <f t="shared" si="75"/>
        <v>4080</v>
      </c>
      <c r="T304" s="10">
        <f t="shared" si="76"/>
        <v>48960</v>
      </c>
    </row>
    <row r="305" spans="1:20" s="8" customFormat="1" ht="20.100000000000001" customHeight="1" x14ac:dyDescent="0.2">
      <c r="A305" s="9">
        <f t="shared" si="77"/>
        <v>302</v>
      </c>
      <c r="B305" s="9">
        <v>1407</v>
      </c>
      <c r="C305" s="9" t="str">
        <f>VLOOKUP(B305,'[1]اسماء الموظفين'!$B$8:$O$501,2,0)</f>
        <v>اسماعيل قحطان محمد صالح الضلعي</v>
      </c>
      <c r="D305" s="9">
        <f>VLOOKUP(B305,'[1]اسماء الموظفين'!$B$8:$O$501,4,0)</f>
        <v>0</v>
      </c>
      <c r="E305" s="9" t="str">
        <f>VLOOKUP(B305,'[2]المقيمين النشطين'!$B$2:$Q$980,15,0)</f>
        <v>تحت التجربة</v>
      </c>
      <c r="F305" s="9" t="str">
        <f>VLOOKUP(B305,'[1]اسماء الموظفين'!$B$8:$O$501,11,0)</f>
        <v>النسيم 2</v>
      </c>
      <c r="G305" s="11">
        <f>VLOOKUP(B305,'[3]رواتب الموظفين 2022'!$B$9:$J$1019,9,0)</f>
        <v>1900</v>
      </c>
      <c r="H305" s="11">
        <f>VLOOKUP(B305,'[3]رواتب الموظفين 2022'!$B$9:$E$438,4,0)*2%</f>
        <v>24</v>
      </c>
      <c r="I305" s="11"/>
      <c r="J305" s="11"/>
      <c r="K305" s="11"/>
      <c r="L305" s="11"/>
      <c r="M305" s="11"/>
      <c r="O305" s="10"/>
      <c r="P305" s="10"/>
      <c r="Q305" s="10"/>
      <c r="R305" s="10"/>
      <c r="S305" s="10">
        <f t="shared" si="75"/>
        <v>1924</v>
      </c>
      <c r="T305" s="10">
        <f t="shared" si="76"/>
        <v>23088</v>
      </c>
    </row>
    <row r="306" spans="1:20" s="8" customFormat="1" ht="20.100000000000001" customHeight="1" x14ac:dyDescent="0.2">
      <c r="A306" s="9">
        <f t="shared" si="77"/>
        <v>303</v>
      </c>
      <c r="B306" s="9">
        <v>1408</v>
      </c>
      <c r="C306" s="9" t="str">
        <f>VLOOKUP(B306,'[1]اسماء الموظفين'!$B$8:$O$501,2,0)</f>
        <v>خالد علي حسين محسن الشرفي</v>
      </c>
      <c r="D306" s="9">
        <f>VLOOKUP(B306,'[1]اسماء الموظفين'!$B$8:$O$501,4,0)</f>
        <v>0</v>
      </c>
      <c r="E306" s="9" t="str">
        <f>VLOOKUP(B306,'[2]المقيمين النشطين'!$B$2:$Q$980,15,0)</f>
        <v>تحت التجربة</v>
      </c>
      <c r="F306" s="9" t="str">
        <f>VLOOKUP(B306,'[1]اسماء الموظفين'!$B$8:$O$501,11,0)</f>
        <v>المصنع</v>
      </c>
      <c r="G306" s="11">
        <f>VLOOKUP(B306,'[3]رواتب الموظفين 2022'!$B$9:$J$1019,9,0)</f>
        <v>2000</v>
      </c>
      <c r="H306" s="11"/>
      <c r="I306" s="11"/>
      <c r="J306" s="11"/>
      <c r="K306" s="11">
        <f t="shared" ref="K306:K322" si="83">G306/30*21/12</f>
        <v>116.66666666666667</v>
      </c>
      <c r="L306" s="11">
        <f t="shared" ref="L306:L322" si="84">G306/2/12</f>
        <v>83.333333333333329</v>
      </c>
      <c r="M306" s="11">
        <f t="shared" ref="M306:M316" si="85">1500/12</f>
        <v>125</v>
      </c>
      <c r="O306" s="10"/>
      <c r="P306" s="10"/>
      <c r="Q306" s="10"/>
      <c r="R306" s="10"/>
      <c r="S306" s="10">
        <f t="shared" si="75"/>
        <v>2325</v>
      </c>
      <c r="T306" s="10">
        <f t="shared" si="76"/>
        <v>27900</v>
      </c>
    </row>
    <row r="307" spans="1:20" s="8" customFormat="1" ht="20.100000000000001" customHeight="1" x14ac:dyDescent="0.2">
      <c r="A307" s="9">
        <f t="shared" si="77"/>
        <v>304</v>
      </c>
      <c r="B307" s="9">
        <v>1409</v>
      </c>
      <c r="C307" s="9" t="str">
        <f>VLOOKUP(B307,'[1]اسماء الموظفين'!$B$8:$O$501,2,0)</f>
        <v>محمد رحمات نواز</v>
      </c>
      <c r="D307" s="9" t="str">
        <f>VLOOKUP(B307,'[1]اسماء الموظفين'!$B$8:$O$501,4,0)</f>
        <v>باكستان</v>
      </c>
      <c r="E307" s="9" t="str">
        <f>VLOOKUP(B307,'[2]المقيمين النشطين'!$B$2:$Q$980,15,0)</f>
        <v>مؤسسة سلطان عبدالرحمن صالح الرزيحي للتجارة</v>
      </c>
      <c r="F307" s="9" t="str">
        <f>VLOOKUP(B307,'[1]اسماء الموظفين'!$B$8:$O$501,11,0)</f>
        <v>المصنع</v>
      </c>
      <c r="G307" s="11">
        <f>VLOOKUP(B307,'[3]رواتب الموظفين 2022'!$B$9:$J$1019,9,0)</f>
        <v>2800</v>
      </c>
      <c r="H307" s="11">
        <f>VLOOKUP(B307,'[3]رواتب الموظفين 2022'!$B$9:$E$438,4,0)*2%</f>
        <v>30</v>
      </c>
      <c r="I307" s="11"/>
      <c r="J307" s="11"/>
      <c r="K307" s="11">
        <f t="shared" si="83"/>
        <v>163.33333333333334</v>
      </c>
      <c r="L307" s="11">
        <f t="shared" si="84"/>
        <v>116.66666666666667</v>
      </c>
      <c r="M307" s="11">
        <f>1800/24</f>
        <v>75</v>
      </c>
      <c r="N307" s="8">
        <f>2000/12</f>
        <v>166.66666666666666</v>
      </c>
      <c r="O307" s="10">
        <f>650/12</f>
        <v>54.166666666666664</v>
      </c>
      <c r="P307" s="10">
        <f>100/12</f>
        <v>8.3333333333333339</v>
      </c>
      <c r="Q307" s="10"/>
      <c r="R307" s="10"/>
      <c r="S307" s="10">
        <f t="shared" si="75"/>
        <v>3414.1666666666665</v>
      </c>
      <c r="T307" s="10">
        <f t="shared" si="76"/>
        <v>40970</v>
      </c>
    </row>
    <row r="308" spans="1:20" s="8" customFormat="1" ht="20.100000000000001" customHeight="1" x14ac:dyDescent="0.2">
      <c r="A308" s="9">
        <f t="shared" si="77"/>
        <v>305</v>
      </c>
      <c r="B308" s="9">
        <v>1410</v>
      </c>
      <c r="C308" s="9" t="str">
        <f>VLOOKUP(B308,'[1]اسماء الموظفين'!$B$8:$O$501,2,0)</f>
        <v>هشام قاف</v>
      </c>
      <c r="D308" s="9" t="str">
        <f>VLOOKUP(B308,'[1]اسماء الموظفين'!$B$8:$O$501,4,0)</f>
        <v>المغرب</v>
      </c>
      <c r="E308" s="9" t="str">
        <f>VLOOKUP(B308,'[2]المقيمين النشطين'!$B$2:$Q$980,15,0)</f>
        <v>مؤسسة سلطان عبدالرحمن صالح الرزيحي للتجارة</v>
      </c>
      <c r="F308" s="9" t="str">
        <f>VLOOKUP(B308,'[1]اسماء الموظفين'!$B$8:$O$501,11,0)</f>
        <v>هاينس</v>
      </c>
      <c r="G308" s="11">
        <f>VLOOKUP(B308,'[3]رواتب الموظفين 2022'!$B$9:$J$1019,9,0)</f>
        <v>4000</v>
      </c>
      <c r="H308" s="11"/>
      <c r="I308" s="11"/>
      <c r="J308" s="11"/>
      <c r="K308" s="11">
        <f t="shared" si="83"/>
        <v>233.33333333333334</v>
      </c>
      <c r="L308" s="11">
        <f t="shared" si="84"/>
        <v>166.66666666666666</v>
      </c>
      <c r="M308" s="11">
        <f t="shared" si="85"/>
        <v>125</v>
      </c>
      <c r="N308" s="8">
        <f t="shared" ref="N308:N311" si="86">2000/12</f>
        <v>166.66666666666666</v>
      </c>
      <c r="O308" s="10">
        <f t="shared" ref="O308:O316" si="87">650/12</f>
        <v>54.166666666666664</v>
      </c>
      <c r="P308" s="10">
        <f>9700/12</f>
        <v>808.33333333333337</v>
      </c>
      <c r="Q308" s="10"/>
      <c r="R308" s="10"/>
      <c r="S308" s="10">
        <f t="shared" si="75"/>
        <v>5554.166666666667</v>
      </c>
      <c r="T308" s="10">
        <f t="shared" si="76"/>
        <v>66650</v>
      </c>
    </row>
    <row r="309" spans="1:20" s="8" customFormat="1" ht="20.100000000000001" customHeight="1" x14ac:dyDescent="0.2">
      <c r="A309" s="9">
        <f t="shared" si="77"/>
        <v>306</v>
      </c>
      <c r="B309" s="9">
        <v>1411</v>
      </c>
      <c r="C309" s="9" t="str">
        <f>VLOOKUP(B309,'[1]اسماء الموظفين'!$B$8:$O$501,2,0)</f>
        <v>عبدالكريم مامون</v>
      </c>
      <c r="D309" s="9" t="str">
        <f>VLOOKUP(B309,'[1]اسماء الموظفين'!$B$8:$O$501,4,0)</f>
        <v>المغرب</v>
      </c>
      <c r="E309" s="9" t="str">
        <f>VLOOKUP(B309,'[2]المقيمين النشطين'!$B$2:$Q$980,15,0)</f>
        <v>مؤسسة سلطان عبدالرحمن صالح الرزيحي للتجارة</v>
      </c>
      <c r="F309" s="9" t="str">
        <f>VLOOKUP(B309,'[1]اسماء الموظفين'!$B$8:$O$501,11,0)</f>
        <v>هاينس</v>
      </c>
      <c r="G309" s="11">
        <f>VLOOKUP(B309,'[3]رواتب الموظفين 2022'!$B$9:$J$1019,9,0)</f>
        <v>4000</v>
      </c>
      <c r="H309" s="11"/>
      <c r="I309" s="11"/>
      <c r="J309" s="11"/>
      <c r="K309" s="11">
        <f t="shared" si="83"/>
        <v>233.33333333333334</v>
      </c>
      <c r="L309" s="11">
        <f t="shared" si="84"/>
        <v>166.66666666666666</v>
      </c>
      <c r="M309" s="11">
        <f t="shared" si="85"/>
        <v>125</v>
      </c>
      <c r="N309" s="8">
        <f t="shared" si="86"/>
        <v>166.66666666666666</v>
      </c>
      <c r="O309" s="10">
        <f t="shared" si="87"/>
        <v>54.166666666666664</v>
      </c>
      <c r="P309" s="10">
        <f t="shared" ref="P309:P312" si="88">9700/12</f>
        <v>808.33333333333337</v>
      </c>
      <c r="Q309" s="10"/>
      <c r="R309" s="10"/>
      <c r="S309" s="10">
        <f t="shared" si="75"/>
        <v>5554.166666666667</v>
      </c>
      <c r="T309" s="10">
        <f t="shared" si="76"/>
        <v>66650</v>
      </c>
    </row>
    <row r="310" spans="1:20" s="8" customFormat="1" ht="20.100000000000001" customHeight="1" x14ac:dyDescent="0.2">
      <c r="A310" s="9">
        <f t="shared" si="77"/>
        <v>307</v>
      </c>
      <c r="B310" s="9">
        <v>1412</v>
      </c>
      <c r="C310" s="9" t="str">
        <f>VLOOKUP(B310,'[1]اسماء الموظفين'!$B$8:$O$501,2,0)</f>
        <v>حسن فرخ</v>
      </c>
      <c r="D310" s="9" t="str">
        <f>VLOOKUP(B310,'[1]اسماء الموظفين'!$B$8:$O$501,4,0)</f>
        <v>المغرب</v>
      </c>
      <c r="E310" s="9" t="str">
        <f>VLOOKUP(B310,'[2]المقيمين النشطين'!$B$2:$Q$980,15,0)</f>
        <v>مؤسسة سلطان عبدالرحمن صالح الرزيحي للتجارة</v>
      </c>
      <c r="F310" s="9" t="str">
        <f>VLOOKUP(B310,'[1]اسماء الموظفين'!$B$8:$O$501,11,0)</f>
        <v>هاينس</v>
      </c>
      <c r="G310" s="11">
        <f>VLOOKUP(B310,'[3]رواتب الموظفين 2022'!$B$9:$J$1019,9,0)</f>
        <v>4000</v>
      </c>
      <c r="H310" s="11"/>
      <c r="I310" s="11"/>
      <c r="J310" s="11"/>
      <c r="K310" s="11">
        <f t="shared" si="83"/>
        <v>233.33333333333334</v>
      </c>
      <c r="L310" s="11">
        <f t="shared" si="84"/>
        <v>166.66666666666666</v>
      </c>
      <c r="M310" s="11">
        <f t="shared" si="85"/>
        <v>125</v>
      </c>
      <c r="N310" s="8">
        <f t="shared" si="86"/>
        <v>166.66666666666666</v>
      </c>
      <c r="O310" s="10">
        <f t="shared" si="87"/>
        <v>54.166666666666664</v>
      </c>
      <c r="P310" s="10">
        <f t="shared" si="88"/>
        <v>808.33333333333337</v>
      </c>
      <c r="Q310" s="10"/>
      <c r="R310" s="10"/>
      <c r="S310" s="10">
        <f t="shared" si="75"/>
        <v>5554.166666666667</v>
      </c>
      <c r="T310" s="10">
        <f t="shared" si="76"/>
        <v>66650</v>
      </c>
    </row>
    <row r="311" spans="1:20" s="8" customFormat="1" ht="20.100000000000001" customHeight="1" x14ac:dyDescent="0.2">
      <c r="A311" s="9">
        <f t="shared" si="77"/>
        <v>308</v>
      </c>
      <c r="B311" s="9">
        <v>1413</v>
      </c>
      <c r="C311" s="9" t="str">
        <f>VLOOKUP(B311,'[1]اسماء الموظفين'!$B$8:$O$501,2,0)</f>
        <v>عبدالعزيز محمد علي عسيري</v>
      </c>
      <c r="D311" s="9" t="str">
        <f>VLOOKUP(B311,'[1]اسماء الموظفين'!$B$8:$O$501,4,0)</f>
        <v>سعودي</v>
      </c>
      <c r="E311" s="9" t="str">
        <f>VLOOKUP(B311,'[2]المقيمين النشطين'!$B$2:$Q$980,15,0)</f>
        <v>مؤسسة عبدالرحمن سلطان عبدالرحمن الرزيحي للتجارة</v>
      </c>
      <c r="F311" s="9" t="str">
        <f>VLOOKUP(B311,'[1]اسماء الموظفين'!$B$8:$O$501,11,0)</f>
        <v>لبن</v>
      </c>
      <c r="G311" s="11">
        <f>VLOOKUP(B311,'[3]رواتب الموظفين 2022'!$B$9:$J$1019,9,0)</f>
        <v>4000</v>
      </c>
      <c r="H311" s="11">
        <f>VLOOKUP(B311,'[3]رواتب الموظفين 2022'!$B$9:$E$438,4,0)*12.25%</f>
        <v>490</v>
      </c>
      <c r="I311" s="11"/>
      <c r="J311" s="11"/>
      <c r="K311" s="11">
        <f t="shared" si="83"/>
        <v>233.33333333333334</v>
      </c>
      <c r="L311" s="11">
        <f t="shared" si="84"/>
        <v>166.66666666666666</v>
      </c>
      <c r="M311" s="11">
        <f t="shared" si="85"/>
        <v>125</v>
      </c>
      <c r="N311" s="8">
        <f t="shared" si="86"/>
        <v>166.66666666666666</v>
      </c>
      <c r="O311" s="10">
        <f t="shared" si="87"/>
        <v>54.166666666666664</v>
      </c>
      <c r="P311" s="10">
        <f t="shared" si="88"/>
        <v>808.33333333333337</v>
      </c>
      <c r="Q311" s="10"/>
      <c r="R311" s="10"/>
      <c r="S311" s="10">
        <f t="shared" si="75"/>
        <v>6044.166666666667</v>
      </c>
      <c r="T311" s="10">
        <f t="shared" si="76"/>
        <v>72530</v>
      </c>
    </row>
    <row r="312" spans="1:20" s="8" customFormat="1" ht="20.100000000000001" customHeight="1" x14ac:dyDescent="0.2">
      <c r="A312" s="9">
        <f t="shared" si="77"/>
        <v>309</v>
      </c>
      <c r="B312" s="9">
        <v>1414</v>
      </c>
      <c r="C312" s="9" t="str">
        <f>VLOOKUP(B312,'[1]اسماء الموظفين'!$B$8:$O$501,2,0)</f>
        <v>عزام صادق محمد محمد ناجي</v>
      </c>
      <c r="D312" s="9" t="str">
        <f>VLOOKUP(B312,'[1]اسماء الموظفين'!$B$8:$O$501,4,0)</f>
        <v>اليمن</v>
      </c>
      <c r="E312" s="9" t="str">
        <f>VLOOKUP(B312,'[2]المقيمين النشطين'!$B$2:$Q$980,15,0)</f>
        <v>مؤسسة عبدالرحمن سلطان عبدالرحمن الرزيحي للتجارة</v>
      </c>
      <c r="F312" s="9" t="str">
        <f>VLOOKUP(B312,'[1]اسماء الموظفين'!$B$8:$O$501,11,0)</f>
        <v>النسيم 2</v>
      </c>
      <c r="G312" s="11">
        <f>VLOOKUP(B312,'[3]رواتب الموظفين 2022'!$B$9:$J$1019,9,0)</f>
        <v>1900</v>
      </c>
      <c r="H312" s="11">
        <f>VLOOKUP(B312,'[3]رواتب الموظفين 2022'!$B$9:$E$438,4,0)*2%</f>
        <v>24</v>
      </c>
      <c r="I312" s="11"/>
      <c r="J312" s="11"/>
      <c r="K312" s="11">
        <f t="shared" si="83"/>
        <v>110.83333333333333</v>
      </c>
      <c r="L312" s="11">
        <f t="shared" si="84"/>
        <v>79.166666666666671</v>
      </c>
      <c r="M312" s="11">
        <f t="shared" si="85"/>
        <v>125</v>
      </c>
      <c r="N312" s="8">
        <f>2000/12</f>
        <v>166.66666666666666</v>
      </c>
      <c r="O312" s="10">
        <f t="shared" si="87"/>
        <v>54.166666666666664</v>
      </c>
      <c r="P312" s="10">
        <f t="shared" si="88"/>
        <v>808.33333333333337</v>
      </c>
      <c r="Q312" s="10"/>
      <c r="R312" s="10"/>
      <c r="S312" s="10">
        <f t="shared" si="75"/>
        <v>3268.1666666666665</v>
      </c>
      <c r="T312" s="10">
        <f t="shared" si="76"/>
        <v>39218</v>
      </c>
    </row>
    <row r="313" spans="1:20" s="8" customFormat="1" ht="20.100000000000001" customHeight="1" x14ac:dyDescent="0.2">
      <c r="A313" s="9">
        <f t="shared" si="77"/>
        <v>310</v>
      </c>
      <c r="B313" s="9">
        <v>1415</v>
      </c>
      <c r="C313" s="9" t="str">
        <f>VLOOKUP(B313,'[1]اسماء الموظفين'!$B$8:$O$501,2,0)</f>
        <v>طيف عائل محمد سفياني</v>
      </c>
      <c r="D313" s="9" t="str">
        <f>VLOOKUP(B313,'[1]اسماء الموظفين'!$B$8:$O$501,4,0)</f>
        <v>سعودي</v>
      </c>
      <c r="E313" s="9" t="str">
        <f>VLOOKUP(B313,'[2]المقيمين النشطين'!$B$2:$Q$980,15,0)</f>
        <v>مؤسسة عبدالرحمن سلطان عبدالرحمن الرزيحي للتجارة</v>
      </c>
      <c r="F313" s="9" t="str">
        <f>VLOOKUP(B313,'[1]اسماء الموظفين'!$B$8:$O$501,11,0)</f>
        <v>لبن</v>
      </c>
      <c r="G313" s="11">
        <f>VLOOKUP(B313,'[3]رواتب الموظفين 2022'!$B$9:$J$1019,9,0)</f>
        <v>4000</v>
      </c>
      <c r="H313" s="11">
        <f>VLOOKUP(B313,'[3]رواتب الموظفين 2022'!$B$9:$E$438,4,0)*12.25%</f>
        <v>490</v>
      </c>
      <c r="I313" s="11"/>
      <c r="J313" s="11"/>
      <c r="K313" s="11">
        <f t="shared" si="83"/>
        <v>233.33333333333334</v>
      </c>
      <c r="L313" s="11">
        <f t="shared" si="84"/>
        <v>166.66666666666666</v>
      </c>
      <c r="M313" s="11"/>
      <c r="O313" s="10"/>
      <c r="P313" s="10"/>
      <c r="Q313" s="10"/>
      <c r="R313" s="10"/>
      <c r="S313" s="10">
        <f t="shared" si="75"/>
        <v>4890</v>
      </c>
      <c r="T313" s="10">
        <f t="shared" si="76"/>
        <v>58680</v>
      </c>
    </row>
    <row r="314" spans="1:20" s="8" customFormat="1" ht="20.100000000000001" customHeight="1" x14ac:dyDescent="0.2">
      <c r="A314" s="9">
        <f t="shared" si="77"/>
        <v>311</v>
      </c>
      <c r="B314" s="9">
        <v>1416</v>
      </c>
      <c r="C314" s="9" t="str">
        <f>VLOOKUP(B314,'[1]اسماء الموظفين'!$B$8:$O$501,2,0)</f>
        <v>رهف خالد راشد الدوسري</v>
      </c>
      <c r="D314" s="9" t="str">
        <f>VLOOKUP(B314,'[1]اسماء الموظفين'!$B$8:$O$501,4,0)</f>
        <v>سعودي</v>
      </c>
      <c r="E314" s="9" t="str">
        <f>VLOOKUP(B314,'[2]المقيمين النشطين'!$B$2:$Q$980,15,0)</f>
        <v>شركة ريال البركة للتجارة</v>
      </c>
      <c r="F314" s="9" t="str">
        <f>VLOOKUP(B314,'[1]اسماء الموظفين'!$B$8:$O$501,11,0)</f>
        <v>غرناطة</v>
      </c>
      <c r="G314" s="11">
        <f>VLOOKUP(B314,'[3]رواتب الموظفين 2022'!$B$9:$J$1019,9,0)</f>
        <v>4000</v>
      </c>
      <c r="H314" s="11">
        <f>VLOOKUP(B314,'[3]رواتب الموظفين 2022'!$B$9:$E$438,4,0)*12.25%</f>
        <v>490</v>
      </c>
      <c r="I314" s="11"/>
      <c r="J314" s="11"/>
      <c r="K314" s="11">
        <f t="shared" si="83"/>
        <v>233.33333333333334</v>
      </c>
      <c r="L314" s="11">
        <f t="shared" si="84"/>
        <v>166.66666666666666</v>
      </c>
      <c r="M314" s="11"/>
      <c r="O314" s="10"/>
      <c r="P314" s="10"/>
      <c r="Q314" s="10"/>
      <c r="R314" s="10"/>
      <c r="S314" s="10">
        <f t="shared" si="75"/>
        <v>4890</v>
      </c>
      <c r="T314" s="10">
        <f t="shared" si="76"/>
        <v>58680</v>
      </c>
    </row>
    <row r="315" spans="1:20" s="8" customFormat="1" ht="20.100000000000001" customHeight="1" x14ac:dyDescent="0.2">
      <c r="A315" s="9">
        <f t="shared" si="77"/>
        <v>312</v>
      </c>
      <c r="B315" s="9">
        <v>1417</v>
      </c>
      <c r="C315" s="9" t="str">
        <f>VLOOKUP(B315,'[1]اسماء الموظفين'!$B$8:$O$501,2,0)</f>
        <v>مد تنزيل اسلام</v>
      </c>
      <c r="D315" s="9" t="str">
        <f>VLOOKUP(B315,'[1]اسماء الموظفين'!$B$8:$O$501,4,0)</f>
        <v>بنجلاديش</v>
      </c>
      <c r="E315" s="9" t="str">
        <f>VLOOKUP(B315,'[2]المقيمين النشطين'!$B$2:$Q$980,15,0)</f>
        <v>تحت التجربة</v>
      </c>
      <c r="F315" s="9" t="str">
        <f>VLOOKUP(B315,'[1]اسماء الموظفين'!$B$8:$O$501,11,0)</f>
        <v>المصنع</v>
      </c>
      <c r="G315" s="11">
        <f>VLOOKUP(B315,'[3]رواتب الموظفين 2022'!$B$9:$J$1019,9,0)</f>
        <v>1600</v>
      </c>
      <c r="H315" s="11">
        <f>VLOOKUP(B315,'[3]رواتب الموظفين 2022'!$B$9:$E$438,4,0)*0%</f>
        <v>0</v>
      </c>
      <c r="I315" s="11"/>
      <c r="J315" s="11"/>
      <c r="K315" s="11">
        <f t="shared" si="83"/>
        <v>93.333333333333329</v>
      </c>
      <c r="L315" s="11">
        <f t="shared" si="84"/>
        <v>66.666666666666671</v>
      </c>
      <c r="M315" s="11">
        <f t="shared" si="85"/>
        <v>125</v>
      </c>
      <c r="O315" s="10"/>
      <c r="P315" s="10"/>
      <c r="Q315" s="10"/>
      <c r="R315" s="10"/>
      <c r="S315" s="10">
        <f t="shared" si="75"/>
        <v>1885</v>
      </c>
      <c r="T315" s="10">
        <f t="shared" si="76"/>
        <v>22620</v>
      </c>
    </row>
    <row r="316" spans="1:20" s="8" customFormat="1" ht="20.100000000000001" customHeight="1" x14ac:dyDescent="0.2">
      <c r="A316" s="9">
        <f t="shared" si="77"/>
        <v>313</v>
      </c>
      <c r="B316" s="9">
        <v>1418</v>
      </c>
      <c r="C316" s="9" t="str">
        <f>VLOOKUP(B316,'[1]اسماء الموظفين'!$B$8:$O$501,2,0)</f>
        <v>يونس امين اصحيح</v>
      </c>
      <c r="D316" s="9" t="str">
        <f>VLOOKUP(B316,'[1]اسماء الموظفين'!$B$8:$O$501,4,0)</f>
        <v>المغرب</v>
      </c>
      <c r="E316" s="9" t="str">
        <f>VLOOKUP(B316,'[2]المقيمين النشطين'!$B$2:$Q$980,15,0)</f>
        <v>مؤسسة سلطان عبدالرحمن صالح الرزيحي للتجارة</v>
      </c>
      <c r="F316" s="9" t="str">
        <f>VLOOKUP(B316,'[1]اسماء الموظفين'!$B$8:$O$501,11,0)</f>
        <v>هاينس</v>
      </c>
      <c r="G316" s="11">
        <f>VLOOKUP(B316,'[3]رواتب الموظفين 2022'!$B$9:$J$1019,9,0)</f>
        <v>3000</v>
      </c>
      <c r="H316" s="11">
        <f>VLOOKUP(B316,'[3]رواتب الموظفين 2022'!$B$9:$E$438,4,0)*2%</f>
        <v>24</v>
      </c>
      <c r="I316" s="11"/>
      <c r="J316" s="11"/>
      <c r="K316" s="11">
        <f t="shared" si="83"/>
        <v>175</v>
      </c>
      <c r="L316" s="11">
        <f t="shared" si="84"/>
        <v>125</v>
      </c>
      <c r="M316" s="11">
        <f t="shared" si="85"/>
        <v>125</v>
      </c>
      <c r="N316" s="8">
        <f>2000/12</f>
        <v>166.66666666666666</v>
      </c>
      <c r="O316" s="10">
        <f t="shared" si="87"/>
        <v>54.166666666666664</v>
      </c>
      <c r="P316" s="10">
        <f t="shared" ref="P316" si="89">9700/12</f>
        <v>808.33333333333337</v>
      </c>
      <c r="Q316" s="10"/>
      <c r="R316" s="10"/>
      <c r="S316" s="10">
        <f t="shared" si="75"/>
        <v>4478.1666666666661</v>
      </c>
      <c r="T316" s="10">
        <f t="shared" si="76"/>
        <v>53737.999999999993</v>
      </c>
    </row>
    <row r="317" spans="1:20" s="8" customFormat="1" ht="20.100000000000001" customHeight="1" x14ac:dyDescent="0.2">
      <c r="A317" s="9">
        <f t="shared" si="77"/>
        <v>314</v>
      </c>
      <c r="B317" s="9">
        <v>1419</v>
      </c>
      <c r="C317" s="9" t="str">
        <f>VLOOKUP(B317,'[1]اسماء الموظفين'!$B$8:$O$501,2,0)</f>
        <v>عبد الاله تركي محمد الجديعي</v>
      </c>
      <c r="D317" s="9" t="str">
        <f>VLOOKUP(B317,'[1]اسماء الموظفين'!$B$8:$O$501,4,0)</f>
        <v>سعودي</v>
      </c>
      <c r="E317" s="9" t="str">
        <f>VLOOKUP(B317,'[2]المقيمين النشطين'!$B$2:$Q$980,15,0)</f>
        <v>شركة ريال البركة للتجارة</v>
      </c>
      <c r="F317" s="9" t="str">
        <f>VLOOKUP(B317,'[1]اسماء الموظفين'!$B$8:$O$501,11,0)</f>
        <v>وكالة ممكن</v>
      </c>
      <c r="G317" s="11">
        <f>VLOOKUP(B317,'[3]رواتب الموظفين 2022'!$B$9:$J$1019,9,0)</f>
        <v>5500</v>
      </c>
      <c r="H317" s="11">
        <f>VLOOKUP(B317,'[3]رواتب الموظفين 2022'!$B$9:$E$438,4,0)*12.25%</f>
        <v>490</v>
      </c>
      <c r="I317" s="11"/>
      <c r="J317" s="11"/>
      <c r="K317" s="11">
        <f t="shared" si="83"/>
        <v>320.83333333333331</v>
      </c>
      <c r="L317" s="11">
        <f t="shared" si="84"/>
        <v>229.16666666666666</v>
      </c>
      <c r="M317" s="11"/>
      <c r="O317" s="10"/>
      <c r="P317" s="10"/>
      <c r="Q317" s="10"/>
      <c r="R317" s="10"/>
      <c r="S317" s="10">
        <f t="shared" si="75"/>
        <v>6540</v>
      </c>
      <c r="T317" s="10">
        <f t="shared" si="76"/>
        <v>78480</v>
      </c>
    </row>
    <row r="318" spans="1:20" s="8" customFormat="1" ht="20.100000000000001" customHeight="1" x14ac:dyDescent="0.2">
      <c r="A318" s="9">
        <f t="shared" si="77"/>
        <v>315</v>
      </c>
      <c r="B318" s="9">
        <v>1420</v>
      </c>
      <c r="C318" s="9" t="str">
        <f>VLOOKUP(B318,'[1]اسماء الموظفين'!$B$8:$O$501,2,0)</f>
        <v>منيره سعد ناصر اليحي</v>
      </c>
      <c r="D318" s="9" t="str">
        <f>VLOOKUP(B318,'[1]اسماء الموظفين'!$B$8:$O$501,4,0)</f>
        <v>سعودي</v>
      </c>
      <c r="E318" s="9" t="str">
        <f>VLOOKUP(B318,'[2]المقيمين النشطين'!$B$2:$Q$980,15,0)</f>
        <v>شركة ريال البركة للتجارة</v>
      </c>
      <c r="F318" s="9" t="str">
        <f>VLOOKUP(B318,'[1]اسماء الموظفين'!$B$8:$O$501,11,0)</f>
        <v>غرناطة</v>
      </c>
      <c r="G318" s="11">
        <f>VLOOKUP(B318,'[3]رواتب الموظفين 2022'!$B$9:$J$1019,9,0)</f>
        <v>4000</v>
      </c>
      <c r="H318" s="11">
        <f>VLOOKUP(B318,'[3]رواتب الموظفين 2022'!$B$9:$E$438,4,0)*12.25%</f>
        <v>490</v>
      </c>
      <c r="I318" s="11"/>
      <c r="J318" s="11"/>
      <c r="K318" s="11">
        <f t="shared" si="83"/>
        <v>233.33333333333334</v>
      </c>
      <c r="L318" s="11">
        <f t="shared" si="84"/>
        <v>166.66666666666666</v>
      </c>
      <c r="M318" s="11"/>
      <c r="O318" s="10"/>
      <c r="P318" s="10"/>
      <c r="Q318" s="10"/>
      <c r="R318" s="10"/>
      <c r="S318" s="10">
        <f t="shared" si="75"/>
        <v>4890</v>
      </c>
      <c r="T318" s="10">
        <f t="shared" si="76"/>
        <v>58680</v>
      </c>
    </row>
    <row r="319" spans="1:20" s="8" customFormat="1" ht="20.100000000000001" customHeight="1" x14ac:dyDescent="0.2">
      <c r="A319" s="9">
        <f t="shared" si="77"/>
        <v>316</v>
      </c>
      <c r="B319" s="9">
        <v>1421</v>
      </c>
      <c r="C319" s="9" t="str">
        <f>VLOOKUP(B319,'[1]اسماء الموظفين'!$B$8:$O$501,2,0)</f>
        <v>ثامر  عبدالعزيز محمد الادريس</v>
      </c>
      <c r="D319" s="9" t="str">
        <f>VLOOKUP(B319,'[1]اسماء الموظفين'!$B$8:$O$501,4,0)</f>
        <v>سعودي</v>
      </c>
      <c r="E319" s="9" t="str">
        <f>VLOOKUP(B319,'[2]المقيمين النشطين'!$B$2:$Q$980,15,0)</f>
        <v>شركة ريال البركة للتجارة</v>
      </c>
      <c r="F319" s="9" t="str">
        <f>VLOOKUP(B319,'[1]اسماء الموظفين'!$B$8:$O$501,11,0)</f>
        <v>النسيم</v>
      </c>
      <c r="G319" s="11">
        <f>VLOOKUP(B319,'[3]رواتب الموظفين 2022'!$B$9:$J$1019,9,0)</f>
        <v>4000</v>
      </c>
      <c r="H319" s="11">
        <f>VLOOKUP(B319,'[3]رواتب الموظفين 2022'!$B$9:$E$438,4,0)*12.25%</f>
        <v>490</v>
      </c>
      <c r="I319" s="11"/>
      <c r="J319" s="11"/>
      <c r="K319" s="11">
        <f t="shared" si="83"/>
        <v>233.33333333333334</v>
      </c>
      <c r="L319" s="11">
        <f t="shared" si="84"/>
        <v>166.66666666666666</v>
      </c>
      <c r="M319" s="11"/>
      <c r="O319" s="10"/>
      <c r="P319" s="10"/>
      <c r="Q319" s="10"/>
      <c r="R319" s="10"/>
      <c r="S319" s="10">
        <f t="shared" si="75"/>
        <v>4890</v>
      </c>
      <c r="T319" s="10">
        <f t="shared" si="76"/>
        <v>58680</v>
      </c>
    </row>
    <row r="320" spans="1:20" s="8" customFormat="1" ht="20.100000000000001" customHeight="1" x14ac:dyDescent="0.2">
      <c r="A320" s="9">
        <f t="shared" si="77"/>
        <v>317</v>
      </c>
      <c r="B320" s="9">
        <v>1422</v>
      </c>
      <c r="C320" s="9" t="str">
        <f>VLOOKUP(B320,'[1]اسماء الموظفين'!$B$8:$O$501,2,0)</f>
        <v>عبدالملك عبدالمجيد بن عبدالله الدرويش</v>
      </c>
      <c r="D320" s="9" t="str">
        <f>VLOOKUP(B320,'[1]اسماء الموظفين'!$B$8:$O$501,4,0)</f>
        <v>سعودي</v>
      </c>
      <c r="E320" s="9" t="str">
        <f>VLOOKUP(B320,'[2]المقيمين النشطين'!$B$2:$Q$980,15,0)</f>
        <v>مؤسسة سلطان عبدالرحمن صالح الرزيحي للتجارة</v>
      </c>
      <c r="F320" s="9" t="str">
        <f>VLOOKUP(B320,'[1]اسماء الموظفين'!$B$8:$O$501,11,0)</f>
        <v>هاينس</v>
      </c>
      <c r="G320" s="11">
        <f>VLOOKUP(B320,'[3]رواتب الموظفين 2022'!$B$9:$J$1019,9,0)</f>
        <v>4500</v>
      </c>
      <c r="H320" s="11">
        <f>VLOOKUP(B320,'[3]رواتب الموظفين 2022'!$B$9:$E$438,4,0)*12.25%</f>
        <v>490</v>
      </c>
      <c r="I320" s="11"/>
      <c r="J320" s="11"/>
      <c r="K320" s="11">
        <f t="shared" si="83"/>
        <v>262.5</v>
      </c>
      <c r="L320" s="11">
        <f t="shared" si="84"/>
        <v>187.5</v>
      </c>
      <c r="M320" s="11"/>
      <c r="O320" s="10"/>
      <c r="P320" s="10"/>
      <c r="Q320" s="10"/>
      <c r="R320" s="10"/>
      <c r="S320" s="10">
        <f t="shared" si="75"/>
        <v>5440</v>
      </c>
      <c r="T320" s="10">
        <f t="shared" si="76"/>
        <v>65280</v>
      </c>
    </row>
    <row r="321" spans="1:20" s="8" customFormat="1" ht="20.100000000000001" customHeight="1" x14ac:dyDescent="0.2">
      <c r="A321" s="9">
        <f t="shared" si="77"/>
        <v>318</v>
      </c>
      <c r="B321" s="9">
        <v>1423</v>
      </c>
      <c r="C321" s="9" t="str">
        <f>VLOOKUP(B321,'[1]اسماء الموظفين'!$B$8:$O$501,2,0)</f>
        <v>ربيع رشاد عبدالرقيب حسان السروري</v>
      </c>
      <c r="D321" s="9" t="str">
        <f>VLOOKUP(B321,'[1]اسماء الموظفين'!$B$8:$O$501,4,0)</f>
        <v>اليمن</v>
      </c>
      <c r="E321" s="9" t="str">
        <f>VLOOKUP(B321,'[2]المقيمين النشطين'!$B$2:$Q$980,15,0)</f>
        <v>تحت التجربة</v>
      </c>
      <c r="F321" s="9" t="str">
        <f>VLOOKUP(B321,'[1]اسماء الموظفين'!$B$8:$O$501,11,0)</f>
        <v>ورشة أثاث</v>
      </c>
      <c r="G321" s="11">
        <f>VLOOKUP(B321,'[3]رواتب الموظفين 2022'!$B$9:$J$1019,9,0)</f>
        <v>2000</v>
      </c>
      <c r="H321" s="11"/>
      <c r="I321" s="11"/>
      <c r="J321" s="11"/>
      <c r="K321" s="11">
        <f t="shared" si="83"/>
        <v>116.66666666666667</v>
      </c>
      <c r="L321" s="11">
        <f t="shared" si="84"/>
        <v>83.333333333333329</v>
      </c>
      <c r="M321" s="11"/>
      <c r="O321" s="10"/>
      <c r="P321" s="10"/>
      <c r="Q321" s="10"/>
      <c r="R321" s="10"/>
      <c r="S321" s="10">
        <f t="shared" si="75"/>
        <v>2200</v>
      </c>
      <c r="T321" s="10">
        <f t="shared" si="76"/>
        <v>26400</v>
      </c>
    </row>
    <row r="322" spans="1:20" s="8" customFormat="1" ht="20.100000000000001" customHeight="1" x14ac:dyDescent="0.2">
      <c r="A322" s="9">
        <f t="shared" si="77"/>
        <v>319</v>
      </c>
      <c r="B322" s="9">
        <v>1424</v>
      </c>
      <c r="C322" s="9" t="str">
        <f>VLOOKUP(B322,'[1]اسماء الموظفين'!$B$8:$O$501,2,0)</f>
        <v>محمد ناجي غانم سعيد غالب</v>
      </c>
      <c r="D322" s="9" t="str">
        <f>VLOOKUP(B322,'[1]اسماء الموظفين'!$B$8:$O$501,4,0)</f>
        <v>اليمن</v>
      </c>
      <c r="E322" s="9" t="str">
        <f>VLOOKUP(B322,'[2]المقيمين النشطين'!$B$2:$Q$980,15,0)</f>
        <v>تحت التجربة</v>
      </c>
      <c r="F322" s="9" t="str">
        <f>VLOOKUP(B322,'[1]اسماء الموظفين'!$B$8:$O$501,11,0)</f>
        <v>ورشة أثاث</v>
      </c>
      <c r="G322" s="11">
        <f>VLOOKUP(B322,'[3]رواتب الموظفين 2022'!$B$9:$J$1019,9,0)</f>
        <v>2000</v>
      </c>
      <c r="H322" s="11"/>
      <c r="I322" s="11"/>
      <c r="J322" s="11"/>
      <c r="K322" s="11">
        <f t="shared" si="83"/>
        <v>116.66666666666667</v>
      </c>
      <c r="L322" s="11">
        <f t="shared" si="84"/>
        <v>83.333333333333329</v>
      </c>
      <c r="M322" s="11"/>
      <c r="O322" s="10"/>
      <c r="P322" s="10"/>
      <c r="Q322" s="10"/>
      <c r="R322" s="10"/>
      <c r="S322" s="10">
        <f t="shared" si="75"/>
        <v>2200</v>
      </c>
      <c r="T322" s="10">
        <f t="shared" si="76"/>
        <v>26400</v>
      </c>
    </row>
    <row r="323" spans="1:20" s="8" customFormat="1" ht="20.100000000000001" customHeight="1" x14ac:dyDescent="0.2">
      <c r="A323" s="9">
        <f>ROW()-3</f>
        <v>320</v>
      </c>
      <c r="B323" s="9"/>
      <c r="C323" s="9"/>
      <c r="D323" s="9"/>
      <c r="E323" s="9"/>
      <c r="F323" s="9"/>
      <c r="G323" s="11"/>
      <c r="H323" s="11"/>
      <c r="I323" s="11"/>
      <c r="J323" s="11"/>
      <c r="K323" s="11"/>
      <c r="L323" s="11"/>
      <c r="M323" s="11"/>
      <c r="O323" s="10"/>
      <c r="P323" s="10"/>
      <c r="Q323" s="10"/>
      <c r="R323" s="10"/>
      <c r="S323" s="10"/>
      <c r="T323" s="10"/>
    </row>
    <row r="324" spans="1:20" s="8" customFormat="1" ht="20.100000000000001" customHeight="1" x14ac:dyDescent="0.2">
      <c r="A324" s="9" t="s">
        <v>3530</v>
      </c>
      <c r="B324" s="9"/>
      <c r="C324" s="9"/>
      <c r="D324" s="9"/>
      <c r="E324" s="9"/>
      <c r="F324" s="9"/>
      <c r="G324" s="11">
        <f>SUM(G4:G323)</f>
        <v>1130010</v>
      </c>
      <c r="H324" s="11">
        <f>SUM(H4:H323)</f>
        <v>40975.5</v>
      </c>
      <c r="I324" s="11"/>
      <c r="J324" s="11"/>
      <c r="K324" s="11"/>
      <c r="L324" s="11"/>
      <c r="M324" s="11"/>
      <c r="O324" s="10"/>
      <c r="P324" s="10"/>
      <c r="Q324" s="10"/>
      <c r="R324" s="10"/>
      <c r="S324" s="10">
        <f>SUM(S4:S323)</f>
        <v>1580110.3407841248</v>
      </c>
      <c r="T324" s="10"/>
    </row>
    <row r="325" spans="1:20" s="8" customFormat="1" ht="20.100000000000001" customHeight="1" x14ac:dyDescent="0.2">
      <c r="A325" s="9" t="s">
        <v>3531</v>
      </c>
      <c r="B325" s="9"/>
      <c r="C325" s="9"/>
      <c r="D325" s="9"/>
      <c r="E325" s="9"/>
      <c r="F325" s="9"/>
      <c r="G325" s="11">
        <f>G324*12</f>
        <v>13560120</v>
      </c>
      <c r="H325" s="11">
        <f>H324*12</f>
        <v>491706</v>
      </c>
      <c r="I325" s="11">
        <f t="shared" ref="I325:P325" si="90">SUM(I4:I323)</f>
        <v>22773.702499999927</v>
      </c>
      <c r="J325" s="11">
        <f t="shared" si="90"/>
        <v>4762.3708333333316</v>
      </c>
      <c r="K325" s="11">
        <f t="shared" si="90"/>
        <v>55656.41666666681</v>
      </c>
      <c r="L325" s="11">
        <f t="shared" si="90"/>
        <v>39754.583333333358</v>
      </c>
      <c r="M325" s="11">
        <f t="shared" si="90"/>
        <v>20562.5</v>
      </c>
      <c r="N325" s="8">
        <f t="shared" si="90"/>
        <v>10166.666666666666</v>
      </c>
      <c r="O325" s="10">
        <f t="shared" si="90"/>
        <v>8866.666666666677</v>
      </c>
      <c r="P325" s="10">
        <f t="shared" si="90"/>
        <v>100399.9999999998</v>
      </c>
      <c r="Q325" s="10"/>
      <c r="R325" s="10"/>
      <c r="S325" s="10"/>
      <c r="T325" s="10">
        <f>SUM(T4:T323)</f>
        <v>18961324.089409515</v>
      </c>
    </row>
    <row r="327" spans="1:20" x14ac:dyDescent="0.65">
      <c r="S327" s="18">
        <f>SUBTOTAL(9,S21:S266)</f>
        <v>1207179.2037394801</v>
      </c>
    </row>
    <row r="328" spans="1:20" x14ac:dyDescent="0.65">
      <c r="E328" s="14" t="s">
        <v>28</v>
      </c>
      <c r="F328" s="14" t="s">
        <v>3532</v>
      </c>
      <c r="G328" s="39" t="s">
        <v>39</v>
      </c>
      <c r="H328" s="18" t="s">
        <v>3548</v>
      </c>
      <c r="I328" s="18" t="s">
        <v>3549</v>
      </c>
      <c r="J328" s="18" t="s">
        <v>3545</v>
      </c>
      <c r="T328" s="18">
        <f>SUM(T4:T203)</f>
        <v>13290463.57225504</v>
      </c>
    </row>
    <row r="329" spans="1:20" x14ac:dyDescent="0.65">
      <c r="E329" s="25" t="s">
        <v>65</v>
      </c>
      <c r="F329" s="25">
        <f>COUNTIF(E4:E323,$E$329)</f>
        <v>85</v>
      </c>
      <c r="G329" s="47">
        <f>COUNTIFS($D$4:$D$323,$G$328,$E$4:$E$323,E329)</f>
        <v>24</v>
      </c>
      <c r="H329" s="47">
        <f>F329+F330-G329</f>
        <v>61</v>
      </c>
      <c r="I329" s="47">
        <f>'[5]تكاليف السعودة'!F68</f>
        <v>54942.25</v>
      </c>
      <c r="J329" s="47">
        <f>I329/H329</f>
        <v>900.69262295081967</v>
      </c>
      <c r="K329" s="47">
        <f>(I329+I331+I332+I333)/(H329+H331+H332+H333)</f>
        <v>739.31702574525752</v>
      </c>
    </row>
    <row r="330" spans="1:20" x14ac:dyDescent="0.65">
      <c r="E330" s="25" t="s">
        <v>3534</v>
      </c>
      <c r="F330" s="25">
        <f>COUNTIF(E6:E324,$E$330)</f>
        <v>0</v>
      </c>
      <c r="G330" s="47"/>
      <c r="H330" s="47"/>
      <c r="I330" s="47"/>
      <c r="J330" s="47"/>
      <c r="K330" s="47"/>
      <c r="L330" s="18"/>
      <c r="M330" s="40"/>
      <c r="N330" s="19"/>
    </row>
    <row r="331" spans="1:20" x14ac:dyDescent="0.65">
      <c r="E331" s="25" t="s">
        <v>103</v>
      </c>
      <c r="F331" s="25">
        <f>COUNTIF(E7:E325,$E$331)</f>
        <v>62</v>
      </c>
      <c r="G331" s="26">
        <f t="shared" ref="G331:G343" si="91">COUNTIFS($D$4:$D$323,$G$328,$E$4:$E$323,E331)</f>
        <v>15</v>
      </c>
      <c r="H331" s="27">
        <f t="shared" ref="H331:H340" si="92">F331-G331</f>
        <v>47</v>
      </c>
      <c r="I331" s="27">
        <f>'[5]تكاليف السعودة'!F70</f>
        <v>30286.524166666666</v>
      </c>
      <c r="J331" s="27">
        <f>I331/H331</f>
        <v>644.39413120567372</v>
      </c>
      <c r="K331" s="47"/>
    </row>
    <row r="332" spans="1:20" x14ac:dyDescent="0.65">
      <c r="E332" s="25" t="s">
        <v>3535</v>
      </c>
      <c r="F332" s="25">
        <f>COUNTIF(E8:E326,$E$332)</f>
        <v>15</v>
      </c>
      <c r="G332" s="26">
        <f t="shared" si="91"/>
        <v>2</v>
      </c>
      <c r="H332" s="27">
        <f t="shared" si="92"/>
        <v>13</v>
      </c>
      <c r="I332" s="27">
        <f>'[5]تكاليف السعودة'!F71</f>
        <v>5707.22</v>
      </c>
      <c r="J332" s="27">
        <f>I332/H332</f>
        <v>439.01692307692309</v>
      </c>
      <c r="K332" s="47"/>
    </row>
    <row r="333" spans="1:20" x14ac:dyDescent="0.65">
      <c r="E333" s="25" t="s">
        <v>3536</v>
      </c>
      <c r="F333" s="25">
        <f>COUNTIF(E9:E327,E333)</f>
        <v>8</v>
      </c>
      <c r="G333" s="26">
        <f t="shared" si="91"/>
        <v>6</v>
      </c>
      <c r="H333" s="27">
        <f t="shared" si="92"/>
        <v>2</v>
      </c>
      <c r="I333" s="27">
        <v>0</v>
      </c>
      <c r="J333" s="27">
        <v>0</v>
      </c>
      <c r="K333" s="47"/>
    </row>
    <row r="334" spans="1:20" x14ac:dyDescent="0.65">
      <c r="E334" s="14" t="s">
        <v>3506</v>
      </c>
      <c r="F334" s="14">
        <f>COUNTIF(E4:E323,$E$334)</f>
        <v>47</v>
      </c>
      <c r="G334" s="40">
        <f t="shared" si="91"/>
        <v>17</v>
      </c>
      <c r="H334" s="18">
        <f t="shared" si="92"/>
        <v>30</v>
      </c>
      <c r="I334" s="18">
        <f>'[5]تكاليف السعودة'!F73</f>
        <v>17440</v>
      </c>
      <c r="J334" s="18">
        <f>I334/H334</f>
        <v>581.33333333333337</v>
      </c>
    </row>
    <row r="335" spans="1:20" x14ac:dyDescent="0.65">
      <c r="E335" s="14" t="s">
        <v>903</v>
      </c>
      <c r="F335" s="14">
        <f>COUNTIF(E10:E328,$E$335)</f>
        <v>12</v>
      </c>
      <c r="G335" s="40">
        <f t="shared" si="91"/>
        <v>0</v>
      </c>
      <c r="H335" s="18">
        <f t="shared" si="92"/>
        <v>12</v>
      </c>
      <c r="I335" s="18">
        <f>'[5]تكاليف السعودة'!F74</f>
        <v>8400</v>
      </c>
      <c r="J335" s="18">
        <f>I335/H335</f>
        <v>700</v>
      </c>
    </row>
    <row r="336" spans="1:20" x14ac:dyDescent="0.65">
      <c r="E336" s="14" t="s">
        <v>471</v>
      </c>
      <c r="F336" s="14">
        <f>COUNTIF(E4:E327,$E$336)</f>
        <v>22</v>
      </c>
      <c r="G336" s="40">
        <f t="shared" si="91"/>
        <v>14</v>
      </c>
      <c r="H336" s="18">
        <f t="shared" si="92"/>
        <v>8</v>
      </c>
      <c r="I336" s="18">
        <v>0</v>
      </c>
      <c r="J336" s="18">
        <v>0</v>
      </c>
    </row>
    <row r="337" spans="5:14" x14ac:dyDescent="0.65">
      <c r="E337" s="28" t="s">
        <v>3550</v>
      </c>
      <c r="F337" s="28">
        <f>COUNTIF(E4:E327,E337)</f>
        <v>3</v>
      </c>
      <c r="G337" s="41">
        <f t="shared" si="91"/>
        <v>0</v>
      </c>
      <c r="H337" s="29">
        <f t="shared" si="92"/>
        <v>3</v>
      </c>
      <c r="I337" s="29">
        <v>0</v>
      </c>
      <c r="J337" s="29">
        <v>0</v>
      </c>
      <c r="K337" s="42"/>
    </row>
    <row r="338" spans="5:14" x14ac:dyDescent="0.65">
      <c r="E338" s="28" t="s">
        <v>247</v>
      </c>
      <c r="F338" s="28">
        <f>COUNTIF(E4:E327,$E$338)</f>
        <v>2</v>
      </c>
      <c r="G338" s="41">
        <f t="shared" si="91"/>
        <v>0</v>
      </c>
      <c r="H338" s="29">
        <f t="shared" si="92"/>
        <v>2</v>
      </c>
      <c r="I338" s="29">
        <v>0</v>
      </c>
      <c r="J338" s="29">
        <v>0</v>
      </c>
      <c r="K338" s="42"/>
    </row>
    <row r="339" spans="5:14" x14ac:dyDescent="0.65">
      <c r="E339" s="28" t="s">
        <v>3551</v>
      </c>
      <c r="F339" s="28">
        <f>COUNTIF(E4:E327,$E$339)</f>
        <v>1</v>
      </c>
      <c r="G339" s="41">
        <f t="shared" si="91"/>
        <v>0</v>
      </c>
      <c r="H339" s="29">
        <f t="shared" si="92"/>
        <v>1</v>
      </c>
      <c r="I339" s="29">
        <v>0</v>
      </c>
      <c r="J339" s="29">
        <v>0</v>
      </c>
      <c r="K339" s="42"/>
    </row>
    <row r="340" spans="5:14" x14ac:dyDescent="0.65">
      <c r="E340" s="28" t="s">
        <v>3552</v>
      </c>
      <c r="F340" s="28">
        <f>COUNTIF(E4:E328,$E$340)</f>
        <v>1</v>
      </c>
      <c r="G340" s="41">
        <f t="shared" si="91"/>
        <v>0</v>
      </c>
      <c r="H340" s="29">
        <f t="shared" si="92"/>
        <v>1</v>
      </c>
      <c r="I340" s="29">
        <v>0</v>
      </c>
      <c r="J340" s="29">
        <v>0</v>
      </c>
      <c r="K340" s="42"/>
    </row>
    <row r="341" spans="5:14" x14ac:dyDescent="0.65">
      <c r="E341" s="14" t="s">
        <v>125</v>
      </c>
      <c r="F341" s="14">
        <f>COUNTIF(E11:E329,$E$341)</f>
        <v>5</v>
      </c>
      <c r="G341" s="40">
        <f t="shared" si="91"/>
        <v>2</v>
      </c>
      <c r="H341" s="18"/>
    </row>
    <row r="342" spans="5:14" x14ac:dyDescent="0.65">
      <c r="E342" s="14" t="s">
        <v>754</v>
      </c>
      <c r="F342" s="14">
        <f>COUNTIF(E12:E330,$E$342)</f>
        <v>3</v>
      </c>
      <c r="G342" s="40">
        <f t="shared" si="91"/>
        <v>1</v>
      </c>
      <c r="H342" s="18"/>
    </row>
    <row r="343" spans="5:14" x14ac:dyDescent="0.65">
      <c r="E343" s="14" t="s">
        <v>156</v>
      </c>
      <c r="F343" s="14">
        <f>COUNTIF(E3:E327,$E$343)</f>
        <v>49</v>
      </c>
      <c r="G343" s="40">
        <f t="shared" si="91"/>
        <v>2</v>
      </c>
      <c r="H343" s="18">
        <f>F343-G343</f>
        <v>47</v>
      </c>
      <c r="I343" s="18">
        <v>0</v>
      </c>
      <c r="J343" s="18">
        <v>0</v>
      </c>
    </row>
    <row r="344" spans="5:14" x14ac:dyDescent="0.65">
      <c r="E344" s="14"/>
      <c r="F344" s="14"/>
      <c r="G344" s="18"/>
      <c r="H344" s="18"/>
    </row>
    <row r="345" spans="5:14" x14ac:dyDescent="0.65">
      <c r="E345" s="14"/>
      <c r="F345" s="14">
        <f>SUM(F329:F344)</f>
        <v>315</v>
      </c>
      <c r="G345" s="18"/>
      <c r="H345" s="18"/>
      <c r="M345" s="43"/>
      <c r="N345" s="30"/>
    </row>
    <row r="346" spans="5:14" x14ac:dyDescent="0.65">
      <c r="E346" s="14"/>
      <c r="F346" s="14"/>
      <c r="G346" s="18"/>
      <c r="H346" s="18"/>
      <c r="I346" s="38"/>
      <c r="J346" s="31" t="s">
        <v>3553</v>
      </c>
      <c r="K346" s="31" t="s">
        <v>3554</v>
      </c>
    </row>
    <row r="347" spans="5:14" x14ac:dyDescent="0.65">
      <c r="E347" s="14"/>
      <c r="F347" s="14"/>
      <c r="G347" s="18"/>
      <c r="H347" s="18"/>
      <c r="I347" s="38"/>
      <c r="J347" s="31">
        <f>I349/14</f>
        <v>201649.75137202759</v>
      </c>
      <c r="K347" s="31">
        <f>J347/12</f>
        <v>16804.145947668967</v>
      </c>
    </row>
    <row r="348" spans="5:14" x14ac:dyDescent="0.65">
      <c r="E348" s="32" t="s">
        <v>14</v>
      </c>
      <c r="F348" s="32" t="s">
        <v>3532</v>
      </c>
      <c r="G348" s="44" t="s">
        <v>3555</v>
      </c>
      <c r="H348" s="44" t="s">
        <v>3556</v>
      </c>
      <c r="I348" s="44" t="s">
        <v>3557</v>
      </c>
      <c r="J348" s="44" t="s">
        <v>3558</v>
      </c>
      <c r="K348" s="44" t="s">
        <v>3533</v>
      </c>
    </row>
    <row r="349" spans="5:14" x14ac:dyDescent="0.65">
      <c r="E349" s="14" t="s">
        <v>45</v>
      </c>
      <c r="F349" s="14">
        <f>COUNTIF($F$4:$F$323,$E$349)</f>
        <v>13</v>
      </c>
      <c r="G349" s="18">
        <f t="shared" ref="G349:G372" si="93">SUMIFS($T$4:$T$323,$F$4:$F$323,E349)</f>
        <v>2823096.5192083861</v>
      </c>
      <c r="H349" s="18">
        <v>0</v>
      </c>
      <c r="I349" s="18">
        <f t="shared" ref="I349:I356" si="94">SUM(G349:H349)</f>
        <v>2823096.5192083861</v>
      </c>
      <c r="J349" s="18">
        <v>0</v>
      </c>
      <c r="K349" s="33">
        <f>I349+J349</f>
        <v>2823096.5192083861</v>
      </c>
    </row>
    <row r="350" spans="5:14" x14ac:dyDescent="0.65">
      <c r="E350" s="14" t="s">
        <v>203</v>
      </c>
      <c r="F350" s="14">
        <f>COUNTIF($F$4:$F$323,$E$350)</f>
        <v>19</v>
      </c>
      <c r="G350" s="18">
        <f t="shared" si="93"/>
        <v>1006848.2387804878</v>
      </c>
      <c r="H350" s="18">
        <v>660000</v>
      </c>
      <c r="I350" s="18">
        <f t="shared" si="94"/>
        <v>1666848.2387804878</v>
      </c>
      <c r="J350" s="18">
        <f>J347</f>
        <v>201649.75137202759</v>
      </c>
      <c r="K350" s="33">
        <f>I350+J350</f>
        <v>1868497.9901525155</v>
      </c>
    </row>
    <row r="351" spans="5:14" x14ac:dyDescent="0.65">
      <c r="E351" s="14" t="s">
        <v>166</v>
      </c>
      <c r="F351" s="14">
        <f>COUNTIF($F$4:$F$323,$E$351)</f>
        <v>10</v>
      </c>
      <c r="G351" s="18">
        <f t="shared" si="93"/>
        <v>581559.63016260159</v>
      </c>
      <c r="H351" s="18">
        <v>200000</v>
      </c>
      <c r="I351" s="18">
        <f t="shared" si="94"/>
        <v>781559.63016260159</v>
      </c>
      <c r="J351" s="18">
        <f>J347</f>
        <v>201649.75137202759</v>
      </c>
      <c r="K351" s="33">
        <f t="shared" ref="K351:K372" si="95">I351+J351</f>
        <v>983209.38153462915</v>
      </c>
    </row>
    <row r="352" spans="5:14" x14ac:dyDescent="0.65">
      <c r="E352" s="14" t="s">
        <v>222</v>
      </c>
      <c r="F352" s="14">
        <f>COUNTIF($F$4:$F$323,$E$352)</f>
        <v>25</v>
      </c>
      <c r="G352" s="18">
        <f t="shared" si="93"/>
        <v>1052107.9473983739</v>
      </c>
      <c r="H352" s="18">
        <v>80000</v>
      </c>
      <c r="I352" s="18">
        <f t="shared" si="94"/>
        <v>1132107.9473983739</v>
      </c>
      <c r="J352" s="18">
        <f>J347</f>
        <v>201649.75137202759</v>
      </c>
      <c r="K352" s="33">
        <f t="shared" si="95"/>
        <v>1333757.6987704015</v>
      </c>
    </row>
    <row r="353" spans="3:11" x14ac:dyDescent="0.65">
      <c r="E353" s="14" t="s">
        <v>59</v>
      </c>
      <c r="F353" s="14">
        <f>COUNTIF($F$4:$F$323,$E$353)</f>
        <v>5</v>
      </c>
      <c r="G353" s="18">
        <f t="shared" si="93"/>
        <v>272253.96292682923</v>
      </c>
      <c r="H353" s="18">
        <v>120000</v>
      </c>
      <c r="I353" s="18">
        <f t="shared" si="94"/>
        <v>392253.96292682923</v>
      </c>
      <c r="J353" s="18">
        <f>J347</f>
        <v>201649.75137202759</v>
      </c>
      <c r="K353" s="33">
        <f t="shared" si="95"/>
        <v>593903.71429885679</v>
      </c>
    </row>
    <row r="354" spans="3:11" x14ac:dyDescent="0.65">
      <c r="E354" s="14" t="s">
        <v>3559</v>
      </c>
      <c r="F354" s="14">
        <f>COUNTIF($F$4:$F$323,$E$354)</f>
        <v>3</v>
      </c>
      <c r="G354" s="18">
        <f t="shared" si="93"/>
        <v>228051.2886178862</v>
      </c>
      <c r="H354" s="18">
        <v>40000</v>
      </c>
      <c r="I354" s="18">
        <f t="shared" si="94"/>
        <v>268051.2886178862</v>
      </c>
      <c r="J354" s="18">
        <f>J347</f>
        <v>201649.75137202759</v>
      </c>
      <c r="K354" s="33">
        <f t="shared" si="95"/>
        <v>469701.03998991381</v>
      </c>
    </row>
    <row r="355" spans="3:11" x14ac:dyDescent="0.65">
      <c r="E355" s="14" t="s">
        <v>3560</v>
      </c>
      <c r="F355" s="14">
        <f>COUNTIF($F$4:$F$323,$E$355)</f>
        <v>9</v>
      </c>
      <c r="G355" s="18">
        <f t="shared" si="93"/>
        <v>574860.50762943935</v>
      </c>
      <c r="H355" s="18">
        <v>25000</v>
      </c>
      <c r="I355" s="18">
        <f t="shared" si="94"/>
        <v>599860.50762943935</v>
      </c>
      <c r="K355" s="33">
        <f>I355+J355</f>
        <v>599860.50762943935</v>
      </c>
    </row>
    <row r="356" spans="3:11" x14ac:dyDescent="0.65">
      <c r="E356" s="14" t="s">
        <v>292</v>
      </c>
      <c r="F356" s="14">
        <f>COUNTIF($F$4:$F$323,$E$356)</f>
        <v>9</v>
      </c>
      <c r="G356" s="18">
        <f t="shared" si="93"/>
        <v>490122.21723577235</v>
      </c>
      <c r="H356" s="18">
        <v>345000</v>
      </c>
      <c r="I356" s="18">
        <f t="shared" si="94"/>
        <v>835122.2172357724</v>
      </c>
      <c r="J356" s="18">
        <f>J347</f>
        <v>201649.75137202759</v>
      </c>
      <c r="K356" s="33">
        <f t="shared" si="95"/>
        <v>1036771.9686078</v>
      </c>
    </row>
    <row r="357" spans="3:11" x14ac:dyDescent="0.65">
      <c r="C357" s="14" t="s">
        <v>3561</v>
      </c>
      <c r="D357" s="18">
        <f>10000*12</f>
        <v>120000</v>
      </c>
      <c r="E357" s="14" t="s">
        <v>431</v>
      </c>
      <c r="F357" s="14">
        <f>COUNTIF($F$4:$F$323,$E$357)</f>
        <v>63</v>
      </c>
      <c r="G357" s="18">
        <f t="shared" si="93"/>
        <v>3197070.9926016261</v>
      </c>
      <c r="H357" s="18">
        <v>0</v>
      </c>
      <c r="I357" s="18">
        <f>SUM(G357:H357)+D357</f>
        <v>3317070.9926016261</v>
      </c>
      <c r="J357" s="18">
        <f>J347</f>
        <v>201649.75137202759</v>
      </c>
      <c r="K357" s="33">
        <f>I357+J357</f>
        <v>3518720.7439736538</v>
      </c>
    </row>
    <row r="358" spans="3:11" x14ac:dyDescent="0.65">
      <c r="E358" s="14" t="s">
        <v>3562</v>
      </c>
      <c r="F358" s="14">
        <f>COUNTIF($F$4:$F$323,$E$358)</f>
        <v>0</v>
      </c>
      <c r="G358" s="18">
        <f t="shared" si="93"/>
        <v>0</v>
      </c>
      <c r="H358" s="18">
        <v>0</v>
      </c>
      <c r="I358" s="18">
        <f t="shared" ref="I358:I371" si="96">SUM(G358:H358)</f>
        <v>0</v>
      </c>
      <c r="K358" s="33">
        <f t="shared" si="95"/>
        <v>0</v>
      </c>
    </row>
    <row r="359" spans="3:11" x14ac:dyDescent="0.65">
      <c r="E359" s="14" t="s">
        <v>66</v>
      </c>
      <c r="F359" s="14">
        <f>COUNTIF($F$4:$F$323,$E$359)</f>
        <v>19</v>
      </c>
      <c r="G359" s="18">
        <f t="shared" si="93"/>
        <v>1287081.9583183569</v>
      </c>
      <c r="H359" s="18">
        <v>72738</v>
      </c>
      <c r="I359" s="18">
        <f t="shared" si="96"/>
        <v>1359819.9583183569</v>
      </c>
      <c r="K359" s="33">
        <f t="shared" si="95"/>
        <v>1359819.9583183569</v>
      </c>
    </row>
    <row r="360" spans="3:11" x14ac:dyDescent="0.65">
      <c r="E360" s="14" t="s">
        <v>115</v>
      </c>
      <c r="F360" s="14">
        <f>COUNTIF($F$4:$F$323,$E$360)</f>
        <v>2</v>
      </c>
      <c r="G360" s="18">
        <f t="shared" si="93"/>
        <v>79566.608617886173</v>
      </c>
      <c r="H360" s="18">
        <v>100510</v>
      </c>
      <c r="I360" s="18">
        <f t="shared" si="96"/>
        <v>180076.60861788617</v>
      </c>
      <c r="K360" s="33">
        <f t="shared" si="95"/>
        <v>180076.60861788617</v>
      </c>
    </row>
    <row r="361" spans="3:11" x14ac:dyDescent="0.65">
      <c r="E361" s="14" t="s">
        <v>899</v>
      </c>
      <c r="F361" s="14">
        <f>COUNTIF($F$4:$F$323,$E$361)</f>
        <v>27</v>
      </c>
      <c r="G361" s="18">
        <f t="shared" si="93"/>
        <v>1138010.3</v>
      </c>
      <c r="H361" s="18">
        <v>65000</v>
      </c>
      <c r="I361" s="18">
        <f t="shared" si="96"/>
        <v>1203010.3</v>
      </c>
      <c r="J361" s="18">
        <f>J347</f>
        <v>201649.75137202759</v>
      </c>
      <c r="K361" s="33">
        <f t="shared" si="95"/>
        <v>1404660.0513720277</v>
      </c>
    </row>
    <row r="362" spans="3:11" x14ac:dyDescent="0.65">
      <c r="E362" s="14" t="s">
        <v>3563</v>
      </c>
      <c r="F362" s="14">
        <f>COUNTIF($F$4:$F$323,$E$362)</f>
        <v>29</v>
      </c>
      <c r="G362" s="18">
        <f t="shared" si="93"/>
        <v>2039990.9430894305</v>
      </c>
      <c r="H362" s="18">
        <v>50000</v>
      </c>
      <c r="I362" s="18">
        <f t="shared" si="96"/>
        <v>2089990.9430894305</v>
      </c>
      <c r="K362" s="33">
        <f t="shared" si="95"/>
        <v>2089990.9430894305</v>
      </c>
    </row>
    <row r="363" spans="3:11" x14ac:dyDescent="0.65">
      <c r="E363" s="14" t="s">
        <v>135</v>
      </c>
      <c r="F363" s="14">
        <f>COUNTIF($F$4:$F$323,$E$363)</f>
        <v>6</v>
      </c>
      <c r="G363" s="18">
        <f t="shared" si="93"/>
        <v>300790.98049208388</v>
      </c>
      <c r="H363" s="18"/>
      <c r="I363" s="18">
        <f t="shared" si="96"/>
        <v>300790.98049208388</v>
      </c>
      <c r="J363" s="18">
        <f>J347</f>
        <v>201649.75137202759</v>
      </c>
      <c r="K363" s="33">
        <f t="shared" si="95"/>
        <v>502440.7318641115</v>
      </c>
    </row>
    <row r="364" spans="3:11" x14ac:dyDescent="0.65">
      <c r="E364" s="14" t="s">
        <v>306</v>
      </c>
      <c r="F364" s="14">
        <f>COUNTIF($F$4:$F$323,$E$364)</f>
        <v>16</v>
      </c>
      <c r="G364" s="18">
        <f t="shared" si="93"/>
        <v>837294.50285714283</v>
      </c>
      <c r="H364" s="18">
        <v>362250</v>
      </c>
      <c r="I364" s="18">
        <f t="shared" si="96"/>
        <v>1199544.5028571428</v>
      </c>
      <c r="J364" s="18">
        <f>J347</f>
        <v>201649.75137202759</v>
      </c>
      <c r="K364" s="33">
        <f t="shared" si="95"/>
        <v>1401194.2542291705</v>
      </c>
    </row>
    <row r="365" spans="3:11" x14ac:dyDescent="0.65">
      <c r="E365" s="14" t="s">
        <v>722</v>
      </c>
      <c r="F365" s="14">
        <f>COUNTIF($F$4:$F$323,$E$365)</f>
        <v>9</v>
      </c>
      <c r="G365" s="18">
        <f t="shared" si="93"/>
        <v>508400</v>
      </c>
      <c r="H365" s="18">
        <v>100000</v>
      </c>
      <c r="I365" s="18">
        <f t="shared" si="96"/>
        <v>608400</v>
      </c>
      <c r="J365" s="18">
        <f>J347</f>
        <v>201649.75137202759</v>
      </c>
      <c r="K365" s="33">
        <f t="shared" si="95"/>
        <v>810049.75137202756</v>
      </c>
    </row>
    <row r="366" spans="3:11" x14ac:dyDescent="0.65">
      <c r="E366" s="14" t="s">
        <v>744</v>
      </c>
      <c r="F366" s="14">
        <f>COUNTIF($F$4:$F$323,E366)</f>
        <v>11</v>
      </c>
      <c r="G366" s="18">
        <f t="shared" si="93"/>
        <v>586420.36714285705</v>
      </c>
      <c r="H366" s="18">
        <f>186000</f>
        <v>186000</v>
      </c>
      <c r="I366" s="18">
        <f t="shared" si="96"/>
        <v>772420.36714285705</v>
      </c>
      <c r="J366" s="18">
        <f>J347</f>
        <v>201649.75137202759</v>
      </c>
      <c r="K366" s="33">
        <f t="shared" si="95"/>
        <v>974070.11851488461</v>
      </c>
    </row>
    <row r="367" spans="3:11" x14ac:dyDescent="0.65">
      <c r="E367" s="14" t="s">
        <v>466</v>
      </c>
      <c r="F367" s="14">
        <f>COUNTIF($F$4:$F$323,$E$367)</f>
        <v>13</v>
      </c>
      <c r="G367" s="18">
        <f t="shared" si="93"/>
        <v>698752.48764227645</v>
      </c>
      <c r="H367" s="18">
        <v>70000</v>
      </c>
      <c r="I367" s="18">
        <f t="shared" si="96"/>
        <v>768752.48764227645</v>
      </c>
      <c r="J367" s="18">
        <f>J347</f>
        <v>201649.75137202759</v>
      </c>
      <c r="K367" s="33">
        <f t="shared" si="95"/>
        <v>970402.23901430401</v>
      </c>
    </row>
    <row r="368" spans="3:11" x14ac:dyDescent="0.65">
      <c r="E368" s="14" t="s">
        <v>475</v>
      </c>
      <c r="F368" s="14">
        <f>COUNTIF($F$4:$F$323,$E$368)</f>
        <v>12</v>
      </c>
      <c r="G368" s="18">
        <f t="shared" si="93"/>
        <v>707076</v>
      </c>
      <c r="H368" s="18">
        <v>402500</v>
      </c>
      <c r="I368" s="18">
        <f t="shared" si="96"/>
        <v>1109576</v>
      </c>
      <c r="J368" s="18">
        <f>J347</f>
        <v>201649.75137202759</v>
      </c>
      <c r="K368" s="33">
        <f t="shared" si="95"/>
        <v>1311225.7513720277</v>
      </c>
    </row>
    <row r="369" spans="5:11" x14ac:dyDescent="0.65">
      <c r="E369" s="14" t="s">
        <v>3564</v>
      </c>
      <c r="F369" s="14">
        <f>COUNTIF($F$4:$F$323,$E$369)</f>
        <v>1</v>
      </c>
      <c r="G369" s="18">
        <f t="shared" si="93"/>
        <v>12000</v>
      </c>
      <c r="H369" s="18">
        <v>0</v>
      </c>
      <c r="I369" s="18">
        <f t="shared" si="96"/>
        <v>12000</v>
      </c>
      <c r="K369" s="33">
        <f>I369+J369</f>
        <v>12000</v>
      </c>
    </row>
    <row r="370" spans="5:11" x14ac:dyDescent="0.65">
      <c r="E370" s="14" t="s">
        <v>51</v>
      </c>
      <c r="F370" s="14">
        <f>COUNTIF($F$4:$F$323,$E$370)</f>
        <v>5</v>
      </c>
      <c r="G370" s="18">
        <f t="shared" si="93"/>
        <v>86684</v>
      </c>
      <c r="H370" s="18">
        <v>0</v>
      </c>
      <c r="I370" s="18">
        <f t="shared" si="96"/>
        <v>86684</v>
      </c>
      <c r="J370" s="18">
        <v>0</v>
      </c>
      <c r="K370" s="33">
        <f t="shared" si="95"/>
        <v>86684</v>
      </c>
    </row>
    <row r="371" spans="5:11" x14ac:dyDescent="0.65">
      <c r="E371" s="14" t="s">
        <v>3565</v>
      </c>
      <c r="F371" s="14">
        <f>COUNTIF($F$4:$F$323,$E$371)</f>
        <v>1</v>
      </c>
      <c r="G371" s="18">
        <f t="shared" si="93"/>
        <v>25260</v>
      </c>
      <c r="H371" s="18">
        <v>0</v>
      </c>
      <c r="I371" s="18">
        <f t="shared" si="96"/>
        <v>25260</v>
      </c>
      <c r="J371" s="18">
        <v>0</v>
      </c>
      <c r="K371" s="33">
        <f>I371+J371</f>
        <v>25260</v>
      </c>
    </row>
    <row r="372" spans="5:11" x14ac:dyDescent="0.65">
      <c r="E372" s="14" t="s">
        <v>249</v>
      </c>
      <c r="F372" s="14">
        <f>COUNTIF($F$4:$F$323,$E$372)</f>
        <v>2</v>
      </c>
      <c r="G372" s="18">
        <f t="shared" si="93"/>
        <v>29917.894736842107</v>
      </c>
      <c r="H372" s="18">
        <v>0</v>
      </c>
      <c r="I372" s="18">
        <f ca="1">SUM(F372:K372)</f>
        <v>22072.666666666668</v>
      </c>
      <c r="J372" s="18">
        <v>0</v>
      </c>
      <c r="K372" s="33">
        <f t="shared" ca="1" si="95"/>
        <v>22072.666666666668</v>
      </c>
    </row>
    <row r="373" spans="5:11" x14ac:dyDescent="0.65">
      <c r="H373" s="18"/>
    </row>
    <row r="374" spans="5:11" x14ac:dyDescent="0.65">
      <c r="F374" s="14">
        <f>SUM(F349:F373)</f>
        <v>309</v>
      </c>
      <c r="G374" s="18">
        <f>SUM(G349:G373)</f>
        <v>18563217.347458281</v>
      </c>
      <c r="H374" s="18">
        <f>SUM(H349:H373)</f>
        <v>2878998</v>
      </c>
      <c r="I374" s="18" t="e">
        <f ca="1">SUM(I349:I373)</f>
        <v>#N/A</v>
      </c>
      <c r="K374" s="33" t="e">
        <f ca="1">SUM(K349:K373)</f>
        <v>#N/A</v>
      </c>
    </row>
    <row r="375" spans="5:11" x14ac:dyDescent="0.65">
      <c r="I375" s="38"/>
      <c r="J375" s="38"/>
    </row>
    <row r="376" spans="5:11" x14ac:dyDescent="0.65">
      <c r="I376" s="38"/>
      <c r="J376" s="38"/>
    </row>
    <row r="377" spans="5:11" x14ac:dyDescent="0.65">
      <c r="I377" s="38"/>
      <c r="J377" s="38"/>
    </row>
  </sheetData>
  <autoFilter ref="A3:T325" xr:uid="{B648971C-4C1D-4A27-B800-02AAAE39AF44}"/>
  <mergeCells count="6">
    <mergeCell ref="A1:T1"/>
    <mergeCell ref="G329:G330"/>
    <mergeCell ref="H329:H330"/>
    <mergeCell ref="I329:I330"/>
    <mergeCell ref="J329:J330"/>
    <mergeCell ref="K329:K333"/>
  </mergeCells>
  <conditionalFormatting sqref="B4:C4">
    <cfRule type="duplicateValues" dxfId="1" priority="2"/>
  </conditionalFormatting>
  <conditionalFormatting sqref="B5:C325">
    <cfRule type="duplicateValues" dxfId="0" priority="1"/>
  </conditionalFormatting>
  <printOptions horizontalCentered="1"/>
  <pageMargins left="0.7" right="0.7" top="0.75" bottom="0.75" header="0.3" footer="0.3"/>
  <pageSetup paperSize="9" scale="2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6B27-EA9C-4889-9197-9322F6F0F672}">
  <dimension ref="A3:P230"/>
  <sheetViews>
    <sheetView rightToLeft="1" workbookViewId="0">
      <selection activeCell="I36" sqref="I36"/>
    </sheetView>
  </sheetViews>
  <sheetFormatPr defaultRowHeight="15" x14ac:dyDescent="0.25"/>
  <cols>
    <col min="1" max="1" width="14.5" style="35" bestFit="1" customWidth="1"/>
    <col min="2" max="2" width="12.625" style="35" bestFit="1" customWidth="1"/>
    <col min="3" max="3" width="26.5" style="35" bestFit="1" customWidth="1"/>
    <col min="4" max="4" width="16.75" style="35" bestFit="1" customWidth="1"/>
    <col min="5" max="5" width="18.875" style="35" bestFit="1" customWidth="1"/>
    <col min="6" max="6" width="16.25" style="35" bestFit="1" customWidth="1"/>
    <col min="7" max="7" width="16.5" style="35" bestFit="1" customWidth="1"/>
    <col min="8" max="8" width="15.625" style="35" bestFit="1" customWidth="1"/>
    <col min="9" max="9" width="15.625" style="20" bestFit="1" customWidth="1"/>
    <col min="10" max="10" width="13" style="20" bestFit="1" customWidth="1"/>
    <col min="11" max="11" width="16.625" style="20" bestFit="1" customWidth="1"/>
    <col min="12" max="12" width="16.125" style="20" bestFit="1" customWidth="1"/>
    <col min="13" max="13" width="16.25" style="20" bestFit="1" customWidth="1"/>
    <col min="14" max="14" width="21.75" style="20" bestFit="1" customWidth="1"/>
    <col min="15" max="15" width="17.75" style="20" bestFit="1" customWidth="1"/>
    <col min="16" max="16" width="17.25" style="20" bestFit="1" customWidth="1"/>
    <col min="17" max="17" width="17.25" style="35" bestFit="1" customWidth="1"/>
    <col min="18" max="18" width="18.5" style="35" bestFit="1" customWidth="1"/>
    <col min="19" max="19" width="14.625" style="35" bestFit="1" customWidth="1"/>
    <col min="20" max="20" width="15.625" style="35" bestFit="1" customWidth="1"/>
    <col min="21" max="21" width="16.375" style="35" bestFit="1" customWidth="1"/>
    <col min="22" max="22" width="8.625" style="35" bestFit="1" customWidth="1"/>
    <col min="23" max="23" width="9.125" style="35" bestFit="1" customWidth="1"/>
    <col min="24" max="24" width="19.375" style="35" bestFit="1" customWidth="1"/>
    <col min="25" max="25" width="13.875" style="35" bestFit="1" customWidth="1"/>
    <col min="26" max="26" width="7.625" style="35" bestFit="1" customWidth="1"/>
    <col min="27" max="27" width="8.5" style="35" bestFit="1" customWidth="1"/>
    <col min="28" max="28" width="15.875" style="35" bestFit="1" customWidth="1"/>
    <col min="29" max="29" width="16.625" style="35" bestFit="1" customWidth="1"/>
    <col min="30" max="30" width="16.75" style="35" bestFit="1" customWidth="1"/>
    <col min="31" max="31" width="16.25" style="35" bestFit="1" customWidth="1"/>
    <col min="32" max="32" width="13.125" style="35" bestFit="1" customWidth="1"/>
    <col min="33" max="33" width="15.625" style="35" bestFit="1" customWidth="1"/>
    <col min="34" max="34" width="23.375" style="35" bestFit="1" customWidth="1"/>
    <col min="35" max="35" width="15.125" style="35" bestFit="1" customWidth="1"/>
    <col min="36" max="36" width="19.875" style="35" bestFit="1" customWidth="1"/>
    <col min="37" max="37" width="12.5" style="35" bestFit="1" customWidth="1"/>
    <col min="38" max="38" width="7.375" style="35" bestFit="1" customWidth="1"/>
    <col min="39" max="39" width="18" style="35" bestFit="1" customWidth="1"/>
    <col min="40" max="40" width="17.125" style="35" bestFit="1" customWidth="1"/>
    <col min="41" max="41" width="20.625" style="35" bestFit="1" customWidth="1"/>
    <col min="42" max="42" width="8.125" style="35" bestFit="1" customWidth="1"/>
    <col min="43" max="43" width="16.5" style="35" bestFit="1" customWidth="1"/>
    <col min="44" max="44" width="16.875" style="35" bestFit="1" customWidth="1"/>
    <col min="45" max="45" width="18.125" style="35" bestFit="1" customWidth="1"/>
    <col min="46" max="46" width="17" style="35" bestFit="1" customWidth="1"/>
    <col min="47" max="47" width="16.375" style="35" bestFit="1" customWidth="1"/>
    <col min="48" max="48" width="17" style="35" bestFit="1" customWidth="1"/>
    <col min="49" max="49" width="16.375" style="35" bestFit="1" customWidth="1"/>
    <col min="50" max="50" width="11.625" style="35" bestFit="1" customWidth="1"/>
    <col min="51" max="51" width="20.25" style="35" bestFit="1" customWidth="1"/>
    <col min="52" max="52" width="16" style="35" bestFit="1" customWidth="1"/>
    <col min="53" max="53" width="14.875" style="35" bestFit="1" customWidth="1"/>
    <col min="54" max="54" width="9" style="35" bestFit="1" customWidth="1"/>
    <col min="55" max="55" width="16" style="35" bestFit="1" customWidth="1"/>
    <col min="56" max="56" width="16.875" style="35" bestFit="1" customWidth="1"/>
    <col min="57" max="57" width="13.5" style="35" bestFit="1" customWidth="1"/>
    <col min="58" max="58" width="12" style="35" bestFit="1" customWidth="1"/>
    <col min="59" max="59" width="10.75" style="35" bestFit="1" customWidth="1"/>
    <col min="60" max="60" width="13.5" style="35" bestFit="1" customWidth="1"/>
    <col min="61" max="61" width="7.5" style="35" bestFit="1" customWidth="1"/>
    <col min="62" max="62" width="17" style="35" bestFit="1" customWidth="1"/>
    <col min="63" max="63" width="13" style="35" bestFit="1" customWidth="1"/>
    <col min="64" max="64" width="9.25" style="35" bestFit="1" customWidth="1"/>
    <col min="65" max="65" width="13.125" style="35" bestFit="1" customWidth="1"/>
    <col min="66" max="66" width="14.375" style="35" bestFit="1" customWidth="1"/>
    <col min="67" max="67" width="8.5" style="35" bestFit="1" customWidth="1"/>
    <col min="68" max="68" width="8.625" style="35" bestFit="1" customWidth="1"/>
    <col min="69" max="69" width="14.125" style="35" bestFit="1" customWidth="1"/>
    <col min="70" max="70" width="7.625" style="35" bestFit="1" customWidth="1"/>
    <col min="71" max="71" width="16.125" style="35" bestFit="1" customWidth="1"/>
    <col min="72" max="72" width="15.5" style="35" bestFit="1" customWidth="1"/>
    <col min="73" max="73" width="16.25" style="35" bestFit="1" customWidth="1"/>
    <col min="74" max="74" width="19.125" style="35" bestFit="1" customWidth="1"/>
    <col min="75" max="75" width="12" style="35" bestFit="1" customWidth="1"/>
    <col min="76" max="76" width="12.625" style="35" bestFit="1" customWidth="1"/>
    <col min="77" max="77" width="17.125" style="35" bestFit="1" customWidth="1"/>
    <col min="78" max="78" width="22.625" style="35" bestFit="1" customWidth="1"/>
    <col min="79" max="79" width="15.5" style="35" bestFit="1" customWidth="1"/>
    <col min="80" max="80" width="12.5" style="35" bestFit="1" customWidth="1"/>
    <col min="81" max="81" width="12.125" style="35" bestFit="1" customWidth="1"/>
    <col min="82" max="82" width="17.625" style="35" bestFit="1" customWidth="1"/>
    <col min="83" max="83" width="23.375" style="35" bestFit="1" customWidth="1"/>
    <col min="84" max="84" width="6" style="35" bestFit="1" customWidth="1"/>
    <col min="85" max="85" width="10" style="35" bestFit="1" customWidth="1"/>
    <col min="86" max="86" width="17.875" style="35" bestFit="1" customWidth="1"/>
    <col min="87" max="87" width="7.875" style="35" bestFit="1" customWidth="1"/>
    <col min="88" max="88" width="21.75" style="35" bestFit="1" customWidth="1"/>
    <col min="89" max="89" width="11" style="35" bestFit="1" customWidth="1"/>
    <col min="90" max="90" width="7.375" style="35" bestFit="1" customWidth="1"/>
    <col min="91" max="91" width="11.5" style="35" bestFit="1" customWidth="1"/>
    <col min="92" max="92" width="7.125" style="35" bestFit="1" customWidth="1"/>
    <col min="93" max="93" width="17.125" style="35" bestFit="1" customWidth="1"/>
    <col min="94" max="94" width="16.375" style="35" bestFit="1" customWidth="1"/>
    <col min="95" max="95" width="10.5" style="35" bestFit="1" customWidth="1"/>
    <col min="96" max="96" width="8.125" style="35" bestFit="1" customWidth="1"/>
    <col min="97" max="97" width="21.125" style="35" bestFit="1" customWidth="1"/>
    <col min="98" max="98" width="21.625" style="35" bestFit="1" customWidth="1"/>
    <col min="99" max="99" width="13.125" style="35" bestFit="1" customWidth="1"/>
    <col min="100" max="100" width="11.75" style="35" bestFit="1" customWidth="1"/>
    <col min="101" max="101" width="18.25" style="35" bestFit="1" customWidth="1"/>
    <col min="102" max="102" width="23.125" style="35" bestFit="1" customWidth="1"/>
    <col min="103" max="103" width="19.75" style="35" bestFit="1" customWidth="1"/>
    <col min="104" max="104" width="18.125" style="35" bestFit="1" customWidth="1"/>
    <col min="105" max="105" width="18.25" style="35" bestFit="1" customWidth="1"/>
    <col min="106" max="106" width="19.125" style="35" bestFit="1" customWidth="1"/>
    <col min="107" max="107" width="18.75" style="35" bestFit="1" customWidth="1"/>
    <col min="108" max="108" width="18.125" style="35" bestFit="1" customWidth="1"/>
    <col min="109" max="109" width="19.25" style="35" bestFit="1" customWidth="1"/>
    <col min="110" max="110" width="21.25" style="35" bestFit="1" customWidth="1"/>
    <col min="111" max="111" width="19.5" style="35" bestFit="1" customWidth="1"/>
    <col min="112" max="112" width="23.375" style="35" bestFit="1" customWidth="1"/>
    <col min="113" max="113" width="11" style="35" bestFit="1" customWidth="1"/>
    <col min="114" max="114" width="11.125" style="35" bestFit="1" customWidth="1"/>
    <col min="115" max="115" width="9.125" style="35" bestFit="1" customWidth="1"/>
    <col min="116" max="116" width="9.875" style="35" bestFit="1" customWidth="1"/>
    <col min="117" max="117" width="18.875" style="35" bestFit="1" customWidth="1"/>
    <col min="118" max="118" width="10.75" style="35" bestFit="1" customWidth="1"/>
    <col min="119" max="119" width="22.375" style="35" bestFit="1" customWidth="1"/>
    <col min="120" max="120" width="11" style="35" bestFit="1" customWidth="1"/>
    <col min="121" max="121" width="23.875" style="35" bestFit="1" customWidth="1"/>
    <col min="122" max="122" width="14.625" style="35" bestFit="1" customWidth="1"/>
    <col min="123" max="123" width="14.5" style="35" bestFit="1" customWidth="1"/>
    <col min="124" max="124" width="19.25" style="35" bestFit="1" customWidth="1"/>
    <col min="125" max="125" width="16.625" style="35" bestFit="1" customWidth="1"/>
    <col min="126" max="126" width="17.375" style="35" bestFit="1" customWidth="1"/>
    <col min="127" max="127" width="21.875" style="35" bestFit="1" customWidth="1"/>
    <col min="128" max="128" width="19.5" style="35" bestFit="1" customWidth="1"/>
    <col min="129" max="129" width="24.125" style="35" bestFit="1" customWidth="1"/>
    <col min="130" max="130" width="20.125" style="35" bestFit="1" customWidth="1"/>
    <col min="131" max="131" width="18" style="35" bestFit="1" customWidth="1"/>
    <col min="132" max="132" width="13" style="35" bestFit="1" customWidth="1"/>
    <col min="133" max="133" width="8.75" style="35" bestFit="1" customWidth="1"/>
    <col min="134" max="134" width="23.375" style="35" bestFit="1" customWidth="1"/>
    <col min="135" max="135" width="23" style="35" bestFit="1" customWidth="1"/>
    <col min="136" max="136" width="18.25" style="35" bestFit="1" customWidth="1"/>
    <col min="137" max="137" width="22.5" style="35" bestFit="1" customWidth="1"/>
    <col min="138" max="138" width="14.25" style="35" bestFit="1" customWidth="1"/>
    <col min="139" max="139" width="15.875" style="35" bestFit="1" customWidth="1"/>
    <col min="140" max="140" width="8.75" style="35" bestFit="1" customWidth="1"/>
    <col min="141" max="141" width="19" style="35" bestFit="1" customWidth="1"/>
    <col min="142" max="142" width="6.5" style="35" bestFit="1" customWidth="1"/>
    <col min="143" max="143" width="17.75" style="35" bestFit="1" customWidth="1"/>
    <col min="144" max="144" width="17.125" style="35" bestFit="1" customWidth="1"/>
    <col min="145" max="145" width="15.375" style="35" bestFit="1" customWidth="1"/>
    <col min="146" max="146" width="18.875" style="35" bestFit="1" customWidth="1"/>
    <col min="147" max="147" width="19.5" style="35" bestFit="1" customWidth="1"/>
    <col min="148" max="148" width="12.25" style="35" bestFit="1" customWidth="1"/>
    <col min="149" max="149" width="25.375" style="35" bestFit="1" customWidth="1"/>
    <col min="150" max="150" width="16.375" style="35" bestFit="1" customWidth="1"/>
    <col min="151" max="151" width="10.625" style="35" bestFit="1" customWidth="1"/>
    <col min="152" max="152" width="17.625" style="35" bestFit="1" customWidth="1"/>
    <col min="153" max="153" width="20.25" style="35" bestFit="1" customWidth="1"/>
    <col min="154" max="154" width="13.5" style="35" bestFit="1" customWidth="1"/>
    <col min="155" max="155" width="9.625" style="35" bestFit="1" customWidth="1"/>
    <col min="156" max="156" width="20.875" style="35" bestFit="1" customWidth="1"/>
    <col min="157" max="157" width="9.375" style="35" bestFit="1" customWidth="1"/>
    <col min="158" max="158" width="14" style="35" bestFit="1" customWidth="1"/>
    <col min="159" max="159" width="9.625" style="35" bestFit="1" customWidth="1"/>
    <col min="160" max="160" width="13.375" style="35" bestFit="1" customWidth="1"/>
    <col min="161" max="161" width="13.75" style="35" bestFit="1" customWidth="1"/>
    <col min="162" max="162" width="13.125" style="35" bestFit="1" customWidth="1"/>
    <col min="163" max="163" width="11.625" style="35" bestFit="1" customWidth="1"/>
    <col min="164" max="164" width="23.75" style="35" bestFit="1" customWidth="1"/>
    <col min="165" max="165" width="25.75" style="35" bestFit="1" customWidth="1"/>
    <col min="166" max="166" width="23.25" style="35" bestFit="1" customWidth="1"/>
    <col min="167" max="167" width="19.5" style="35" bestFit="1" customWidth="1"/>
    <col min="168" max="168" width="20" style="35" bestFit="1" customWidth="1"/>
    <col min="169" max="169" width="12.375" style="35" bestFit="1" customWidth="1"/>
    <col min="170" max="170" width="12.125" style="35" bestFit="1" customWidth="1"/>
    <col min="171" max="171" width="24.125" style="35" bestFit="1" customWidth="1"/>
    <col min="172" max="172" width="16.25" style="35" bestFit="1" customWidth="1"/>
    <col min="173" max="173" width="17.75" style="35" bestFit="1" customWidth="1"/>
    <col min="174" max="174" width="13.5" style="35" bestFit="1" customWidth="1"/>
    <col min="175" max="175" width="12.875" style="35" bestFit="1" customWidth="1"/>
    <col min="176" max="176" width="9" style="35"/>
    <col min="177" max="177" width="8.375" style="35" bestFit="1" customWidth="1"/>
    <col min="178" max="178" width="13.375" style="35" bestFit="1" customWidth="1"/>
    <col min="179" max="179" width="22.625" style="35" bestFit="1" customWidth="1"/>
    <col min="180" max="180" width="16.75" style="35" bestFit="1" customWidth="1"/>
    <col min="181" max="181" width="18.125" style="35" bestFit="1" customWidth="1"/>
    <col min="182" max="182" width="9.5" style="35" bestFit="1" customWidth="1"/>
    <col min="183" max="183" width="15.625" style="35" bestFit="1" customWidth="1"/>
    <col min="184" max="184" width="4.875" style="35" bestFit="1" customWidth="1"/>
    <col min="185" max="185" width="10.75" style="35" bestFit="1" customWidth="1"/>
    <col min="186" max="186" width="6.25" style="35" bestFit="1" customWidth="1"/>
    <col min="187" max="187" width="12.75" style="35" bestFit="1" customWidth="1"/>
    <col min="188" max="188" width="6.5" style="35" bestFit="1" customWidth="1"/>
    <col min="189" max="189" width="6.25" style="35" bestFit="1" customWidth="1"/>
    <col min="190" max="190" width="6.375" style="35" bestFit="1" customWidth="1"/>
    <col min="191" max="191" width="11.625" style="35" bestFit="1" customWidth="1"/>
    <col min="192" max="192" width="14" style="35" bestFit="1" customWidth="1"/>
    <col min="193" max="193" width="16.75" style="35" bestFit="1" customWidth="1"/>
    <col min="194" max="194" width="17.375" style="35" bestFit="1" customWidth="1"/>
    <col min="195" max="195" width="8.75" style="35" bestFit="1" customWidth="1"/>
    <col min="196" max="196" width="16.375" style="35" bestFit="1" customWidth="1"/>
    <col min="197" max="197" width="19.75" style="35" bestFit="1" customWidth="1"/>
    <col min="198" max="198" width="16.5" style="35" bestFit="1" customWidth="1"/>
    <col min="199" max="199" width="14.75" style="35" bestFit="1" customWidth="1"/>
    <col min="200" max="200" width="12" style="35" bestFit="1" customWidth="1"/>
    <col min="201" max="201" width="14" style="35" bestFit="1" customWidth="1"/>
    <col min="202" max="202" width="17.625" style="35" bestFit="1" customWidth="1"/>
    <col min="203" max="203" width="18.5" style="35" bestFit="1" customWidth="1"/>
    <col min="204" max="204" width="24.125" style="35" bestFit="1" customWidth="1"/>
    <col min="205" max="205" width="11.75" style="35" bestFit="1" customWidth="1"/>
    <col min="206" max="206" width="8.625" style="35" bestFit="1" customWidth="1"/>
    <col min="207" max="207" width="22.125" style="35" bestFit="1" customWidth="1"/>
    <col min="208" max="208" width="18.5" style="35" bestFit="1" customWidth="1"/>
    <col min="209" max="209" width="15.875" style="35" bestFit="1" customWidth="1"/>
    <col min="210" max="210" width="17.5" style="35" bestFit="1" customWidth="1"/>
    <col min="211" max="211" width="9.5" style="35" bestFit="1" customWidth="1"/>
    <col min="212" max="212" width="19.125" style="35" bestFit="1" customWidth="1"/>
    <col min="213" max="213" width="9.5" style="35" bestFit="1" customWidth="1"/>
    <col min="214" max="214" width="16.75" style="35" bestFit="1" customWidth="1"/>
    <col min="215" max="215" width="15.5" style="35" bestFit="1" customWidth="1"/>
    <col min="216" max="216" width="18" style="35" bestFit="1" customWidth="1"/>
    <col min="217" max="217" width="8.875" style="35" bestFit="1" customWidth="1"/>
    <col min="218" max="218" width="16.75" style="35" bestFit="1" customWidth="1"/>
    <col min="219" max="219" width="19.875" style="35" bestFit="1" customWidth="1"/>
    <col min="220" max="220" width="10.25" style="35" bestFit="1" customWidth="1"/>
    <col min="221" max="221" width="22.125" style="35" bestFit="1" customWidth="1"/>
    <col min="222" max="222" width="17.625" style="35" bestFit="1" customWidth="1"/>
    <col min="223" max="223" width="9" style="35" bestFit="1" customWidth="1"/>
    <col min="224" max="224" width="15.625" style="35" bestFit="1" customWidth="1"/>
    <col min="225" max="225" width="7.625" style="35" bestFit="1" customWidth="1"/>
    <col min="226" max="226" width="14.875" style="35" bestFit="1" customWidth="1"/>
    <col min="227" max="227" width="7.875" style="35" bestFit="1" customWidth="1"/>
    <col min="228" max="228" width="26.5" style="35" bestFit="1" customWidth="1"/>
    <col min="229" max="229" width="12.5" style="35" bestFit="1" customWidth="1"/>
    <col min="230" max="230" width="20.625" style="35" bestFit="1" customWidth="1"/>
    <col min="231" max="231" width="13.375" style="35" bestFit="1" customWidth="1"/>
    <col min="232" max="232" width="13.125" style="35" bestFit="1" customWidth="1"/>
    <col min="233" max="233" width="17.375" style="35" bestFit="1" customWidth="1"/>
    <col min="234" max="234" width="8.625" style="35" bestFit="1" customWidth="1"/>
    <col min="235" max="235" width="16.125" style="35" bestFit="1" customWidth="1"/>
    <col min="236" max="236" width="21.5" style="35" bestFit="1" customWidth="1"/>
    <col min="237" max="237" width="18.5" style="35" bestFit="1" customWidth="1"/>
    <col min="238" max="238" width="18.875" style="35" bestFit="1" customWidth="1"/>
    <col min="239" max="239" width="20.625" style="35" bestFit="1" customWidth="1"/>
    <col min="240" max="240" width="25.25" style="35" bestFit="1" customWidth="1"/>
    <col min="241" max="241" width="23.625" style="35" bestFit="1" customWidth="1"/>
    <col min="242" max="242" width="22.625" style="35" bestFit="1" customWidth="1"/>
    <col min="243" max="243" width="10.25" style="35" bestFit="1" customWidth="1"/>
    <col min="244" max="244" width="18.5" style="35" bestFit="1" customWidth="1"/>
    <col min="245" max="245" width="14.625" style="35" bestFit="1" customWidth="1"/>
    <col min="246" max="246" width="15.625" style="35" bestFit="1" customWidth="1"/>
    <col min="247" max="247" width="16.375" style="35" bestFit="1" customWidth="1"/>
    <col min="248" max="248" width="8.625" style="35" bestFit="1" customWidth="1"/>
    <col min="249" max="249" width="9.125" style="35" bestFit="1" customWidth="1"/>
    <col min="250" max="250" width="19.375" style="35" bestFit="1" customWidth="1"/>
    <col min="251" max="251" width="13.875" style="35" bestFit="1" customWidth="1"/>
    <col min="252" max="252" width="7.625" style="35" bestFit="1" customWidth="1"/>
    <col min="253" max="253" width="8.5" style="35" bestFit="1" customWidth="1"/>
    <col min="254" max="254" width="15.875" style="35" bestFit="1" customWidth="1"/>
    <col min="255" max="255" width="16.625" style="35" bestFit="1" customWidth="1"/>
    <col min="256" max="256" width="16.75" style="35" bestFit="1" customWidth="1"/>
    <col min="257" max="257" width="16.25" style="35" bestFit="1" customWidth="1"/>
    <col min="258" max="258" width="13.125" style="35" bestFit="1" customWidth="1"/>
    <col min="259" max="259" width="15.625" style="35" bestFit="1" customWidth="1"/>
    <col min="260" max="260" width="23.375" style="35" bestFit="1" customWidth="1"/>
    <col min="261" max="261" width="15.125" style="35" bestFit="1" customWidth="1"/>
    <col min="262" max="262" width="19.875" style="35" bestFit="1" customWidth="1"/>
    <col min="263" max="263" width="12.5" style="35" bestFit="1" customWidth="1"/>
    <col min="264" max="264" width="7.375" style="35" bestFit="1" customWidth="1"/>
    <col min="265" max="265" width="18" style="35" bestFit="1" customWidth="1"/>
    <col min="266" max="266" width="17.125" style="35" bestFit="1" customWidth="1"/>
    <col min="267" max="267" width="20.625" style="35" bestFit="1" customWidth="1"/>
    <col min="268" max="268" width="8.125" style="35" bestFit="1" customWidth="1"/>
    <col min="269" max="269" width="16.5" style="35" bestFit="1" customWidth="1"/>
    <col min="270" max="270" width="16.875" style="35" bestFit="1" customWidth="1"/>
    <col min="271" max="271" width="18.125" style="35" bestFit="1" customWidth="1"/>
    <col min="272" max="272" width="17" style="35" bestFit="1" customWidth="1"/>
    <col min="273" max="273" width="16.375" style="35" bestFit="1" customWidth="1"/>
    <col min="274" max="274" width="17" style="35" bestFit="1" customWidth="1"/>
    <col min="275" max="275" width="16.375" style="35" bestFit="1" customWidth="1"/>
    <col min="276" max="276" width="11.625" style="35" bestFit="1" customWidth="1"/>
    <col min="277" max="277" width="20.25" style="35" bestFit="1" customWidth="1"/>
    <col min="278" max="278" width="16" style="35" bestFit="1" customWidth="1"/>
    <col min="279" max="279" width="14.875" style="35" bestFit="1" customWidth="1"/>
    <col min="280" max="280" width="9" style="35" bestFit="1" customWidth="1"/>
    <col min="281" max="281" width="16" style="35" bestFit="1" customWidth="1"/>
    <col min="282" max="282" width="16.875" style="35" bestFit="1" customWidth="1"/>
    <col min="283" max="283" width="13.5" style="35" bestFit="1" customWidth="1"/>
    <col min="284" max="284" width="12" style="35" bestFit="1" customWidth="1"/>
    <col min="285" max="285" width="10.75" style="35" bestFit="1" customWidth="1"/>
    <col min="286" max="286" width="13.5" style="35" bestFit="1" customWidth="1"/>
    <col min="287" max="287" width="7.5" style="35" bestFit="1" customWidth="1"/>
    <col min="288" max="288" width="17" style="35" bestFit="1" customWidth="1"/>
    <col min="289" max="289" width="13" style="35" bestFit="1" customWidth="1"/>
    <col min="290" max="290" width="9.25" style="35" bestFit="1" customWidth="1"/>
    <col min="291" max="291" width="13.125" style="35" bestFit="1" customWidth="1"/>
    <col min="292" max="292" width="14.375" style="35" bestFit="1" customWidth="1"/>
    <col min="293" max="293" width="8.5" style="35" bestFit="1" customWidth="1"/>
    <col min="294" max="294" width="8.625" style="35" bestFit="1" customWidth="1"/>
    <col min="295" max="295" width="14.125" style="35" bestFit="1" customWidth="1"/>
    <col min="296" max="296" width="7.625" style="35" bestFit="1" customWidth="1"/>
    <col min="297" max="297" width="16.125" style="35" bestFit="1" customWidth="1"/>
    <col min="298" max="298" width="15.5" style="35" bestFit="1" customWidth="1"/>
    <col min="299" max="299" width="16.25" style="35" bestFit="1" customWidth="1"/>
    <col min="300" max="300" width="19.125" style="35" bestFit="1" customWidth="1"/>
    <col min="301" max="301" width="12" style="35" bestFit="1" customWidth="1"/>
    <col min="302" max="302" width="12.625" style="35" bestFit="1" customWidth="1"/>
    <col min="303" max="303" width="17.125" style="35" bestFit="1" customWidth="1"/>
    <col min="304" max="304" width="22.625" style="35" bestFit="1" customWidth="1"/>
    <col min="305" max="305" width="15.5" style="35" bestFit="1" customWidth="1"/>
    <col min="306" max="306" width="12.5" style="35" bestFit="1" customWidth="1"/>
    <col min="307" max="307" width="12.125" style="35" bestFit="1" customWidth="1"/>
    <col min="308" max="308" width="17.625" style="35" bestFit="1" customWidth="1"/>
    <col min="309" max="309" width="23.375" style="35" bestFit="1" customWidth="1"/>
    <col min="310" max="310" width="6" style="35" bestFit="1" customWidth="1"/>
    <col min="311" max="311" width="10" style="35" bestFit="1" customWidth="1"/>
    <col min="312" max="312" width="17.875" style="35" bestFit="1" customWidth="1"/>
    <col min="313" max="313" width="7.875" style="35" bestFit="1" customWidth="1"/>
    <col min="314" max="314" width="21.75" style="35" bestFit="1" customWidth="1"/>
    <col min="315" max="315" width="11" style="35" bestFit="1" customWidth="1"/>
    <col min="316" max="316" width="7.375" style="35" bestFit="1" customWidth="1"/>
    <col min="317" max="317" width="11.5" style="35" bestFit="1" customWidth="1"/>
    <col min="318" max="318" width="7.125" style="35" bestFit="1" customWidth="1"/>
    <col min="319" max="319" width="17.125" style="35" bestFit="1" customWidth="1"/>
    <col min="320" max="320" width="16.375" style="35" bestFit="1" customWidth="1"/>
    <col min="321" max="321" width="10.5" style="35" bestFit="1" customWidth="1"/>
    <col min="322" max="322" width="8.125" style="35" bestFit="1" customWidth="1"/>
    <col min="323" max="323" width="21.125" style="35" bestFit="1" customWidth="1"/>
    <col min="324" max="324" width="21.625" style="35" bestFit="1" customWidth="1"/>
    <col min="325" max="325" width="13.125" style="35" bestFit="1" customWidth="1"/>
    <col min="326" max="326" width="11.75" style="35" bestFit="1" customWidth="1"/>
    <col min="327" max="327" width="18.25" style="35" bestFit="1" customWidth="1"/>
    <col min="328" max="328" width="23.125" style="35" bestFit="1" customWidth="1"/>
    <col min="329" max="329" width="19.75" style="35" bestFit="1" customWidth="1"/>
    <col min="330" max="330" width="18.125" style="35" bestFit="1" customWidth="1"/>
    <col min="331" max="331" width="18.25" style="35" bestFit="1" customWidth="1"/>
    <col min="332" max="332" width="19.125" style="35" bestFit="1" customWidth="1"/>
    <col min="333" max="333" width="18.75" style="35" bestFit="1" customWidth="1"/>
    <col min="334" max="334" width="18.125" style="35" bestFit="1" customWidth="1"/>
    <col min="335" max="335" width="19.25" style="35" bestFit="1" customWidth="1"/>
    <col min="336" max="336" width="21.25" style="35" bestFit="1" customWidth="1"/>
    <col min="337" max="337" width="19.5" style="35" bestFit="1" customWidth="1"/>
    <col min="338" max="338" width="23.375" style="35" bestFit="1" customWidth="1"/>
    <col min="339" max="339" width="11" style="35" bestFit="1" customWidth="1"/>
    <col min="340" max="340" width="11.125" style="35" bestFit="1" customWidth="1"/>
    <col min="341" max="341" width="9.125" style="35" bestFit="1" customWidth="1"/>
    <col min="342" max="342" width="9.875" style="35" bestFit="1" customWidth="1"/>
    <col min="343" max="343" width="18.875" style="35" bestFit="1" customWidth="1"/>
    <col min="344" max="344" width="10.75" style="35" bestFit="1" customWidth="1"/>
    <col min="345" max="345" width="22.375" style="35" bestFit="1" customWidth="1"/>
    <col min="346" max="346" width="11" style="35" bestFit="1" customWidth="1"/>
    <col min="347" max="347" width="23.875" style="35" bestFit="1" customWidth="1"/>
    <col min="348" max="348" width="14.625" style="35" bestFit="1" customWidth="1"/>
    <col min="349" max="349" width="14.5" style="35" bestFit="1" customWidth="1"/>
    <col min="350" max="350" width="19.25" style="35" bestFit="1" customWidth="1"/>
    <col min="351" max="351" width="16.625" style="35" bestFit="1" customWidth="1"/>
    <col min="352" max="352" width="17.375" style="35" bestFit="1" customWidth="1"/>
    <col min="353" max="353" width="21.875" style="35" bestFit="1" customWidth="1"/>
    <col min="354" max="354" width="19.5" style="35" bestFit="1" customWidth="1"/>
    <col min="355" max="355" width="24.125" style="35" bestFit="1" customWidth="1"/>
    <col min="356" max="356" width="20.125" style="35" bestFit="1" customWidth="1"/>
    <col min="357" max="357" width="18" style="35" bestFit="1" customWidth="1"/>
    <col min="358" max="358" width="13" style="35" bestFit="1" customWidth="1"/>
    <col min="359" max="359" width="8.75" style="35" bestFit="1" customWidth="1"/>
    <col min="360" max="360" width="23.375" style="35" bestFit="1" customWidth="1"/>
    <col min="361" max="361" width="23" style="35" bestFit="1" customWidth="1"/>
    <col min="362" max="362" width="18.25" style="35" bestFit="1" customWidth="1"/>
    <col min="363" max="363" width="22.5" style="35" bestFit="1" customWidth="1"/>
    <col min="364" max="364" width="14.25" style="35" bestFit="1" customWidth="1"/>
    <col min="365" max="365" width="15.875" style="35" bestFit="1" customWidth="1"/>
    <col min="366" max="366" width="8.75" style="35" bestFit="1" customWidth="1"/>
    <col min="367" max="367" width="19" style="35" bestFit="1" customWidth="1"/>
    <col min="368" max="368" width="6.5" style="35" bestFit="1" customWidth="1"/>
    <col min="369" max="369" width="17.75" style="35" bestFit="1" customWidth="1"/>
    <col min="370" max="370" width="17.125" style="35" bestFit="1" customWidth="1"/>
    <col min="371" max="371" width="15.375" style="35" bestFit="1" customWidth="1"/>
    <col min="372" max="372" width="18.875" style="35" bestFit="1" customWidth="1"/>
    <col min="373" max="373" width="19.5" style="35" bestFit="1" customWidth="1"/>
    <col min="374" max="374" width="12.25" style="35" bestFit="1" customWidth="1"/>
    <col min="375" max="375" width="25.375" style="35" bestFit="1" customWidth="1"/>
    <col min="376" max="376" width="16.375" style="35" bestFit="1" customWidth="1"/>
    <col min="377" max="377" width="10.625" style="35" bestFit="1" customWidth="1"/>
    <col min="378" max="378" width="17.625" style="35" bestFit="1" customWidth="1"/>
    <col min="379" max="379" width="20.25" style="35" bestFit="1" customWidth="1"/>
    <col min="380" max="380" width="13.5" style="35" bestFit="1" customWidth="1"/>
    <col min="381" max="381" width="9.625" style="35" bestFit="1" customWidth="1"/>
    <col min="382" max="382" width="20.875" style="35" bestFit="1" customWidth="1"/>
    <col min="383" max="383" width="9.375" style="35" bestFit="1" customWidth="1"/>
    <col min="384" max="384" width="14" style="35" bestFit="1" customWidth="1"/>
    <col min="385" max="385" width="9.625" style="35" bestFit="1" customWidth="1"/>
    <col min="386" max="386" width="13.375" style="35" bestFit="1" customWidth="1"/>
    <col min="387" max="387" width="13.75" style="35" bestFit="1" customWidth="1"/>
    <col min="388" max="388" width="13.125" style="35" bestFit="1" customWidth="1"/>
    <col min="389" max="389" width="11.625" style="35" bestFit="1" customWidth="1"/>
    <col min="390" max="390" width="23.75" style="35" bestFit="1" customWidth="1"/>
    <col min="391" max="391" width="25.75" style="35" bestFit="1" customWidth="1"/>
    <col min="392" max="392" width="23.25" style="35" bestFit="1" customWidth="1"/>
    <col min="393" max="393" width="19.5" style="35" bestFit="1" customWidth="1"/>
    <col min="394" max="394" width="20" style="35" bestFit="1" customWidth="1"/>
    <col min="395" max="395" width="12.375" style="35" bestFit="1" customWidth="1"/>
    <col min="396" max="396" width="12.125" style="35" bestFit="1" customWidth="1"/>
    <col min="397" max="397" width="24.125" style="35" bestFit="1" customWidth="1"/>
    <col min="398" max="398" width="16.25" style="35" bestFit="1" customWidth="1"/>
    <col min="399" max="399" width="17.75" style="35" bestFit="1" customWidth="1"/>
    <col min="400" max="400" width="13.5" style="35" bestFit="1" customWidth="1"/>
    <col min="401" max="401" width="12.875" style="35" bestFit="1" customWidth="1"/>
    <col min="402" max="402" width="9" style="35"/>
    <col min="403" max="403" width="8.375" style="35" bestFit="1" customWidth="1"/>
    <col min="404" max="404" width="13.375" style="35" bestFit="1" customWidth="1"/>
    <col min="405" max="405" width="22.625" style="35" bestFit="1" customWidth="1"/>
    <col min="406" max="406" width="16.75" style="35" bestFit="1" customWidth="1"/>
    <col min="407" max="407" width="18.125" style="35" bestFit="1" customWidth="1"/>
    <col min="408" max="408" width="9.5" style="35" bestFit="1" customWidth="1"/>
    <col min="409" max="409" width="15.625" style="35" bestFit="1" customWidth="1"/>
    <col min="410" max="410" width="4.875" style="35" bestFit="1" customWidth="1"/>
    <col min="411" max="411" width="10.75" style="35" bestFit="1" customWidth="1"/>
    <col min="412" max="412" width="6.25" style="35" bestFit="1" customWidth="1"/>
    <col min="413" max="413" width="12.75" style="35" bestFit="1" customWidth="1"/>
    <col min="414" max="414" width="6.5" style="35" bestFit="1" customWidth="1"/>
    <col min="415" max="415" width="6.25" style="35" bestFit="1" customWidth="1"/>
    <col min="416" max="416" width="6.375" style="35" bestFit="1" customWidth="1"/>
    <col min="417" max="417" width="11.625" style="35" bestFit="1" customWidth="1"/>
    <col min="418" max="418" width="14" style="35" bestFit="1" customWidth="1"/>
    <col min="419" max="419" width="16.75" style="35" bestFit="1" customWidth="1"/>
    <col min="420" max="420" width="17.375" style="35" bestFit="1" customWidth="1"/>
    <col min="421" max="421" width="8.75" style="35" bestFit="1" customWidth="1"/>
    <col min="422" max="422" width="16.375" style="35" bestFit="1" customWidth="1"/>
    <col min="423" max="423" width="19.75" style="35" bestFit="1" customWidth="1"/>
    <col min="424" max="424" width="16.5" style="35" bestFit="1" customWidth="1"/>
    <col min="425" max="425" width="14.75" style="35" bestFit="1" customWidth="1"/>
    <col min="426" max="426" width="12" style="35" bestFit="1" customWidth="1"/>
    <col min="427" max="427" width="14" style="35" bestFit="1" customWidth="1"/>
    <col min="428" max="428" width="17.625" style="35" bestFit="1" customWidth="1"/>
    <col min="429" max="429" width="18.5" style="35" bestFit="1" customWidth="1"/>
    <col min="430" max="430" width="24.125" style="35" bestFit="1" customWidth="1"/>
    <col min="431" max="431" width="11.75" style="35" bestFit="1" customWidth="1"/>
    <col min="432" max="432" width="8.625" style="35" bestFit="1" customWidth="1"/>
    <col min="433" max="433" width="22.125" style="35" bestFit="1" customWidth="1"/>
    <col min="434" max="434" width="18.5" style="35" bestFit="1" customWidth="1"/>
    <col min="435" max="435" width="15.875" style="35" bestFit="1" customWidth="1"/>
    <col min="436" max="436" width="17.5" style="35" bestFit="1" customWidth="1"/>
    <col min="437" max="437" width="9.5" style="35" bestFit="1" customWidth="1"/>
    <col min="438" max="438" width="19.125" style="35" bestFit="1" customWidth="1"/>
    <col min="439" max="439" width="9.5" style="35" bestFit="1" customWidth="1"/>
    <col min="440" max="440" width="16.75" style="35" bestFit="1" customWidth="1"/>
    <col min="441" max="441" width="15.5" style="35" bestFit="1" customWidth="1"/>
    <col min="442" max="442" width="18" style="35" bestFit="1" customWidth="1"/>
    <col min="443" max="443" width="8.875" style="35" bestFit="1" customWidth="1"/>
    <col min="444" max="444" width="16.75" style="35" bestFit="1" customWidth="1"/>
    <col min="445" max="445" width="19.875" style="35" bestFit="1" customWidth="1"/>
    <col min="446" max="446" width="10.25" style="35" bestFit="1" customWidth="1"/>
    <col min="447" max="447" width="22.125" style="35" bestFit="1" customWidth="1"/>
    <col min="448" max="448" width="17.625" style="35" bestFit="1" customWidth="1"/>
    <col min="449" max="449" width="9" style="35" bestFit="1" customWidth="1"/>
    <col min="450" max="450" width="15.625" style="35" bestFit="1" customWidth="1"/>
    <col min="451" max="451" width="7.625" style="35" bestFit="1" customWidth="1"/>
    <col min="452" max="452" width="14.875" style="35" bestFit="1" customWidth="1"/>
    <col min="453" max="453" width="6.125" style="35" bestFit="1" customWidth="1"/>
    <col min="454" max="454" width="25" style="35" bestFit="1" customWidth="1"/>
    <col min="455" max="455" width="12.5" style="35" bestFit="1" customWidth="1"/>
    <col min="456" max="456" width="20.625" style="35" bestFit="1" customWidth="1"/>
    <col min="457" max="457" width="13.375" style="35" bestFit="1" customWidth="1"/>
    <col min="458" max="458" width="13.125" style="35" bestFit="1" customWidth="1"/>
    <col min="459" max="459" width="17.375" style="35" bestFit="1" customWidth="1"/>
    <col min="460" max="460" width="8.625" style="35" bestFit="1" customWidth="1"/>
    <col min="461" max="461" width="16.125" style="35" bestFit="1" customWidth="1"/>
    <col min="462" max="462" width="21.5" style="35" bestFit="1" customWidth="1"/>
    <col min="463" max="463" width="18.5" style="35" bestFit="1" customWidth="1"/>
    <col min="464" max="464" width="18.875" style="35" bestFit="1" customWidth="1"/>
    <col min="465" max="465" width="20.625" style="35" bestFit="1" customWidth="1"/>
    <col min="466" max="466" width="25.25" style="35" bestFit="1" customWidth="1"/>
    <col min="467" max="467" width="23.625" style="35" bestFit="1" customWidth="1"/>
    <col min="468" max="468" width="22.625" style="35" bestFit="1" customWidth="1"/>
    <col min="469" max="469" width="10.5" style="35" bestFit="1" customWidth="1"/>
    <col min="470" max="470" width="18.5" style="35" bestFit="1" customWidth="1"/>
    <col min="471" max="471" width="14.625" style="35" bestFit="1" customWidth="1"/>
    <col min="472" max="472" width="15.625" style="35" bestFit="1" customWidth="1"/>
    <col min="473" max="473" width="16.375" style="35" bestFit="1" customWidth="1"/>
    <col min="474" max="474" width="8.625" style="35" bestFit="1" customWidth="1"/>
    <col min="475" max="475" width="9.125" style="35" bestFit="1" customWidth="1"/>
    <col min="476" max="476" width="19.375" style="35" bestFit="1" customWidth="1"/>
    <col min="477" max="477" width="13.875" style="35" bestFit="1" customWidth="1"/>
    <col min="478" max="479" width="10.5" style="35" bestFit="1" customWidth="1"/>
    <col min="480" max="480" width="15.875" style="35" bestFit="1" customWidth="1"/>
    <col min="481" max="481" width="16.625" style="35" bestFit="1" customWidth="1"/>
    <col min="482" max="482" width="16.75" style="35" bestFit="1" customWidth="1"/>
    <col min="483" max="483" width="16.25" style="35" bestFit="1" customWidth="1"/>
    <col min="484" max="484" width="13.125" style="35" bestFit="1" customWidth="1"/>
    <col min="485" max="485" width="15.625" style="35" bestFit="1" customWidth="1"/>
    <col min="486" max="486" width="23.375" style="35" bestFit="1" customWidth="1"/>
    <col min="487" max="487" width="15.125" style="35" bestFit="1" customWidth="1"/>
    <col min="488" max="488" width="19.875" style="35" bestFit="1" customWidth="1"/>
    <col min="489" max="489" width="12.5" style="35" bestFit="1" customWidth="1"/>
    <col min="490" max="490" width="10.5" style="35" bestFit="1" customWidth="1"/>
    <col min="491" max="491" width="18" style="35" bestFit="1" customWidth="1"/>
    <col min="492" max="492" width="17.125" style="35" bestFit="1" customWidth="1"/>
    <col min="493" max="493" width="20.625" style="35" bestFit="1" customWidth="1"/>
    <col min="494" max="494" width="8.125" style="35" bestFit="1" customWidth="1"/>
    <col min="495" max="495" width="16.5" style="35" bestFit="1" customWidth="1"/>
    <col min="496" max="496" width="16.875" style="35" bestFit="1" customWidth="1"/>
    <col min="497" max="497" width="18.125" style="35" bestFit="1" customWidth="1"/>
    <col min="498" max="498" width="17" style="35" bestFit="1" customWidth="1"/>
    <col min="499" max="499" width="16.375" style="35" bestFit="1" customWidth="1"/>
    <col min="500" max="500" width="17" style="35" bestFit="1" customWidth="1"/>
    <col min="501" max="501" width="16.375" style="35" bestFit="1" customWidth="1"/>
    <col min="502" max="502" width="11.625" style="35" bestFit="1" customWidth="1"/>
    <col min="503" max="503" width="20.25" style="35" bestFit="1" customWidth="1"/>
    <col min="504" max="504" width="16" style="35" bestFit="1" customWidth="1"/>
    <col min="505" max="505" width="14.875" style="35" bestFit="1" customWidth="1"/>
    <col min="506" max="506" width="9" style="35" bestFit="1" customWidth="1"/>
    <col min="507" max="507" width="16" style="35" bestFit="1" customWidth="1"/>
    <col min="508" max="508" width="16.875" style="35" bestFit="1" customWidth="1"/>
    <col min="509" max="509" width="13.5" style="35" bestFit="1" customWidth="1"/>
    <col min="510" max="510" width="12" style="35" bestFit="1" customWidth="1"/>
    <col min="511" max="511" width="10.75" style="35" bestFit="1" customWidth="1"/>
    <col min="512" max="512" width="13.5" style="35" bestFit="1" customWidth="1"/>
    <col min="513" max="513" width="10.5" style="35" bestFit="1" customWidth="1"/>
    <col min="514" max="514" width="17" style="35" bestFit="1" customWidth="1"/>
    <col min="515" max="515" width="13" style="35" bestFit="1" customWidth="1"/>
    <col min="516" max="516" width="10.5" style="35" bestFit="1" customWidth="1"/>
    <col min="517" max="517" width="13.125" style="35" bestFit="1" customWidth="1"/>
    <col min="518" max="518" width="14.375" style="35" bestFit="1" customWidth="1"/>
    <col min="519" max="519" width="8.5" style="35" bestFit="1" customWidth="1"/>
    <col min="520" max="520" width="8.625" style="35" bestFit="1" customWidth="1"/>
    <col min="521" max="521" width="14.125" style="35" bestFit="1" customWidth="1"/>
    <col min="522" max="522" width="7.625" style="35" bestFit="1" customWidth="1"/>
    <col min="523" max="523" width="16.125" style="35" bestFit="1" customWidth="1"/>
    <col min="524" max="524" width="15.5" style="35" bestFit="1" customWidth="1"/>
    <col min="525" max="525" width="16.25" style="35" bestFit="1" customWidth="1"/>
    <col min="526" max="526" width="19.125" style="35" bestFit="1" customWidth="1"/>
    <col min="527" max="527" width="12" style="35" bestFit="1" customWidth="1"/>
    <col min="528" max="528" width="12.625" style="35" bestFit="1" customWidth="1"/>
    <col min="529" max="529" width="17.125" style="35" bestFit="1" customWidth="1"/>
    <col min="530" max="530" width="22.625" style="35" bestFit="1" customWidth="1"/>
    <col min="531" max="531" width="15.5" style="35" bestFit="1" customWidth="1"/>
    <col min="532" max="532" width="12.5" style="35" bestFit="1" customWidth="1"/>
    <col min="533" max="533" width="12.125" style="35" bestFit="1" customWidth="1"/>
    <col min="534" max="534" width="17.625" style="35" bestFit="1" customWidth="1"/>
    <col min="535" max="535" width="23.375" style="35" bestFit="1" customWidth="1"/>
    <col min="536" max="536" width="10.5" style="35" bestFit="1" customWidth="1"/>
    <col min="537" max="537" width="10" style="35" bestFit="1" customWidth="1"/>
    <col min="538" max="538" width="17.875" style="35" bestFit="1" customWidth="1"/>
    <col min="539" max="539" width="7.875" style="35" bestFit="1" customWidth="1"/>
    <col min="540" max="540" width="21.75" style="35" bestFit="1" customWidth="1"/>
    <col min="541" max="541" width="11" style="35" bestFit="1" customWidth="1"/>
    <col min="542" max="542" width="7.375" style="35" bestFit="1" customWidth="1"/>
    <col min="543" max="543" width="11.5" style="35" bestFit="1" customWidth="1"/>
    <col min="544" max="544" width="7.125" style="35" bestFit="1" customWidth="1"/>
    <col min="545" max="545" width="17.125" style="35" bestFit="1" customWidth="1"/>
    <col min="546" max="546" width="16.375" style="35" bestFit="1" customWidth="1"/>
    <col min="547" max="547" width="10.5" style="35" bestFit="1" customWidth="1"/>
    <col min="548" max="548" width="8.125" style="35" bestFit="1" customWidth="1"/>
    <col min="549" max="549" width="21.125" style="35" bestFit="1" customWidth="1"/>
    <col min="550" max="550" width="21.625" style="35" bestFit="1" customWidth="1"/>
    <col min="551" max="551" width="13.125" style="35" bestFit="1" customWidth="1"/>
    <col min="552" max="552" width="11.75" style="35" bestFit="1" customWidth="1"/>
    <col min="553" max="553" width="18.25" style="35" bestFit="1" customWidth="1"/>
    <col min="554" max="554" width="23.125" style="35" bestFit="1" customWidth="1"/>
    <col min="555" max="555" width="19.75" style="35" bestFit="1" customWidth="1"/>
    <col min="556" max="556" width="18.125" style="35" bestFit="1" customWidth="1"/>
    <col min="557" max="557" width="18.25" style="35" bestFit="1" customWidth="1"/>
    <col min="558" max="558" width="19.125" style="35" bestFit="1" customWidth="1"/>
    <col min="559" max="559" width="18.75" style="35" bestFit="1" customWidth="1"/>
    <col min="560" max="560" width="18.125" style="35" bestFit="1" customWidth="1"/>
    <col min="561" max="561" width="19.25" style="35" bestFit="1" customWidth="1"/>
    <col min="562" max="562" width="21.25" style="35" bestFit="1" customWidth="1"/>
    <col min="563" max="563" width="19.5" style="35" bestFit="1" customWidth="1"/>
    <col min="564" max="564" width="23.375" style="35" bestFit="1" customWidth="1"/>
    <col min="565" max="565" width="11" style="35" bestFit="1" customWidth="1"/>
    <col min="566" max="566" width="11.125" style="35" bestFit="1" customWidth="1"/>
    <col min="567" max="567" width="9.125" style="35" bestFit="1" customWidth="1"/>
    <col min="568" max="568" width="9.875" style="35" bestFit="1" customWidth="1"/>
    <col min="569" max="569" width="18.875" style="35" bestFit="1" customWidth="1"/>
    <col min="570" max="570" width="10.75" style="35" bestFit="1" customWidth="1"/>
    <col min="571" max="571" width="22.375" style="35" bestFit="1" customWidth="1"/>
    <col min="572" max="572" width="11" style="35" bestFit="1" customWidth="1"/>
    <col min="573" max="573" width="23.875" style="35" bestFit="1" customWidth="1"/>
    <col min="574" max="574" width="14.625" style="35" bestFit="1" customWidth="1"/>
    <col min="575" max="575" width="14.5" style="35" bestFit="1" customWidth="1"/>
    <col min="576" max="576" width="19.25" style="35" bestFit="1" customWidth="1"/>
    <col min="577" max="577" width="16.625" style="35" bestFit="1" customWidth="1"/>
    <col min="578" max="578" width="17.375" style="35" bestFit="1" customWidth="1"/>
    <col min="579" max="579" width="21.875" style="35" bestFit="1" customWidth="1"/>
    <col min="580" max="580" width="19.5" style="35" bestFit="1" customWidth="1"/>
    <col min="581" max="581" width="24.125" style="35" bestFit="1" customWidth="1"/>
    <col min="582" max="582" width="20.125" style="35" bestFit="1" customWidth="1"/>
    <col min="583" max="583" width="18" style="35" bestFit="1" customWidth="1"/>
    <col min="584" max="584" width="13" style="35" bestFit="1" customWidth="1"/>
    <col min="585" max="585" width="10.5" style="35" bestFit="1" customWidth="1"/>
    <col min="586" max="586" width="23.375" style="35" bestFit="1" customWidth="1"/>
    <col min="587" max="587" width="23" style="35" bestFit="1" customWidth="1"/>
    <col min="588" max="588" width="18.25" style="35" bestFit="1" customWidth="1"/>
    <col min="589" max="589" width="22.5" style="35" bestFit="1" customWidth="1"/>
    <col min="590" max="590" width="14.25" style="35" bestFit="1" customWidth="1"/>
    <col min="591" max="591" width="15.875" style="35" bestFit="1" customWidth="1"/>
    <col min="592" max="592" width="10.5" style="35" bestFit="1" customWidth="1"/>
    <col min="593" max="593" width="19" style="35" bestFit="1" customWidth="1"/>
    <col min="594" max="594" width="10.5" style="35" bestFit="1" customWidth="1"/>
    <col min="595" max="595" width="17.75" style="35" bestFit="1" customWidth="1"/>
    <col min="596" max="596" width="17.125" style="35" bestFit="1" customWidth="1"/>
    <col min="597" max="597" width="15.375" style="35" bestFit="1" customWidth="1"/>
    <col min="598" max="598" width="18.875" style="35" bestFit="1" customWidth="1"/>
    <col min="599" max="599" width="19.5" style="35" bestFit="1" customWidth="1"/>
    <col min="600" max="600" width="12.25" style="35" bestFit="1" customWidth="1"/>
    <col min="601" max="601" width="25.375" style="35" bestFit="1" customWidth="1"/>
    <col min="602" max="602" width="16.375" style="35" bestFit="1" customWidth="1"/>
    <col min="603" max="603" width="10.625" style="35" bestFit="1" customWidth="1"/>
    <col min="604" max="604" width="17.625" style="35" bestFit="1" customWidth="1"/>
    <col min="605" max="605" width="20.25" style="35" bestFit="1" customWidth="1"/>
    <col min="606" max="606" width="13.5" style="35" bestFit="1" customWidth="1"/>
    <col min="607" max="607" width="9.625" style="35" bestFit="1" customWidth="1"/>
    <col min="608" max="608" width="20.875" style="35" bestFit="1" customWidth="1"/>
    <col min="609" max="609" width="10.5" style="35" bestFit="1" customWidth="1"/>
    <col min="610" max="610" width="14" style="35" bestFit="1" customWidth="1"/>
    <col min="611" max="611" width="9.625" style="35" bestFit="1" customWidth="1"/>
    <col min="612" max="612" width="13.375" style="35" bestFit="1" customWidth="1"/>
    <col min="613" max="613" width="13.75" style="35" bestFit="1" customWidth="1"/>
    <col min="614" max="614" width="13.125" style="35" bestFit="1" customWidth="1"/>
    <col min="615" max="615" width="11.625" style="35" bestFit="1" customWidth="1"/>
    <col min="616" max="616" width="23.75" style="35" bestFit="1" customWidth="1"/>
    <col min="617" max="617" width="25.75" style="35" bestFit="1" customWidth="1"/>
    <col min="618" max="618" width="23.25" style="35" bestFit="1" customWidth="1"/>
    <col min="619" max="619" width="19.5" style="35" bestFit="1" customWidth="1"/>
    <col min="620" max="620" width="20" style="35" bestFit="1" customWidth="1"/>
    <col min="621" max="621" width="12.375" style="35" bestFit="1" customWidth="1"/>
    <col min="622" max="622" width="12.125" style="35" bestFit="1" customWidth="1"/>
    <col min="623" max="623" width="24.125" style="35" bestFit="1" customWidth="1"/>
    <col min="624" max="624" width="16.25" style="35" bestFit="1" customWidth="1"/>
    <col min="625" max="625" width="17.75" style="35" bestFit="1" customWidth="1"/>
    <col min="626" max="626" width="13.5" style="35" bestFit="1" customWidth="1"/>
    <col min="627" max="627" width="12.875" style="35" bestFit="1" customWidth="1"/>
    <col min="628" max="628" width="9" style="35"/>
    <col min="629" max="629" width="8.375" style="35" bestFit="1" customWidth="1"/>
    <col min="630" max="630" width="13.375" style="35" bestFit="1" customWidth="1"/>
    <col min="631" max="631" width="22.625" style="35" bestFit="1" customWidth="1"/>
    <col min="632" max="632" width="16.75" style="35" bestFit="1" customWidth="1"/>
    <col min="633" max="633" width="18.125" style="35" bestFit="1" customWidth="1"/>
    <col min="634" max="634" width="9.5" style="35" bestFit="1" customWidth="1"/>
    <col min="635" max="635" width="15.625" style="35" bestFit="1" customWidth="1"/>
    <col min="636" max="636" width="4.875" style="35" bestFit="1" customWidth="1"/>
    <col min="637" max="637" width="10.75" style="35" bestFit="1" customWidth="1"/>
    <col min="638" max="638" width="10.5" style="35" bestFit="1" customWidth="1"/>
    <col min="639" max="639" width="12.75" style="35" bestFit="1" customWidth="1"/>
    <col min="640" max="640" width="6.5" style="35" bestFit="1" customWidth="1"/>
    <col min="641" max="641" width="6.25" style="35" bestFit="1" customWidth="1"/>
    <col min="642" max="642" width="6.375" style="35" bestFit="1" customWidth="1"/>
    <col min="643" max="643" width="11.625" style="35" bestFit="1" customWidth="1"/>
    <col min="644" max="644" width="14" style="35" bestFit="1" customWidth="1"/>
    <col min="645" max="645" width="16.75" style="35" bestFit="1" customWidth="1"/>
    <col min="646" max="646" width="17.375" style="35" bestFit="1" customWidth="1"/>
    <col min="647" max="647" width="8.75" style="35" bestFit="1" customWidth="1"/>
    <col min="648" max="648" width="16.375" style="35" bestFit="1" customWidth="1"/>
    <col min="649" max="649" width="19.75" style="35" bestFit="1" customWidth="1"/>
    <col min="650" max="650" width="16.5" style="35" bestFit="1" customWidth="1"/>
    <col min="651" max="651" width="14.75" style="35" bestFit="1" customWidth="1"/>
    <col min="652" max="652" width="12" style="35" bestFit="1" customWidth="1"/>
    <col min="653" max="653" width="14" style="35" bestFit="1" customWidth="1"/>
    <col min="654" max="654" width="17.625" style="35" bestFit="1" customWidth="1"/>
    <col min="655" max="655" width="18.5" style="35" bestFit="1" customWidth="1"/>
    <col min="656" max="656" width="24.125" style="35" bestFit="1" customWidth="1"/>
    <col min="657" max="657" width="11.75" style="35" bestFit="1" customWidth="1"/>
    <col min="658" max="658" width="10.5" style="35" bestFit="1" customWidth="1"/>
    <col min="659" max="659" width="22.125" style="35" bestFit="1" customWidth="1"/>
    <col min="660" max="660" width="18.5" style="35" bestFit="1" customWidth="1"/>
    <col min="661" max="661" width="15.875" style="35" bestFit="1" customWidth="1"/>
    <col min="662" max="662" width="17.5" style="35" bestFit="1" customWidth="1"/>
    <col min="663" max="663" width="9.5" style="35" bestFit="1" customWidth="1"/>
    <col min="664" max="664" width="19.125" style="35" bestFit="1" customWidth="1"/>
    <col min="665" max="665" width="9.5" style="35" bestFit="1" customWidth="1"/>
    <col min="666" max="666" width="16.75" style="35" bestFit="1" customWidth="1"/>
    <col min="667" max="667" width="15.5" style="35" bestFit="1" customWidth="1"/>
    <col min="668" max="668" width="18" style="35" bestFit="1" customWidth="1"/>
    <col min="669" max="669" width="8.875" style="35" bestFit="1" customWidth="1"/>
    <col min="670" max="670" width="16.75" style="35" bestFit="1" customWidth="1"/>
    <col min="671" max="671" width="19.875" style="35" bestFit="1" customWidth="1"/>
    <col min="672" max="672" width="10.5" style="35" bestFit="1" customWidth="1"/>
    <col min="673" max="673" width="22.125" style="35" bestFit="1" customWidth="1"/>
    <col min="674" max="674" width="17.625" style="35" bestFit="1" customWidth="1"/>
    <col min="675" max="675" width="10.5" style="35" bestFit="1" customWidth="1"/>
    <col min="676" max="676" width="15.625" style="35" bestFit="1" customWidth="1"/>
    <col min="677" max="677" width="7.625" style="35" bestFit="1" customWidth="1"/>
    <col min="678" max="678" width="14.875" style="35" bestFit="1" customWidth="1"/>
    <col min="679" max="679" width="9.625" style="35" bestFit="1" customWidth="1"/>
    <col min="680" max="680" width="25" style="35" bestFit="1" customWidth="1"/>
    <col min="681" max="681" width="12.5" style="35" bestFit="1" customWidth="1"/>
    <col min="682" max="682" width="20.625" style="35" bestFit="1" customWidth="1"/>
    <col min="683" max="683" width="13.375" style="35" bestFit="1" customWidth="1"/>
    <col min="684" max="684" width="13.125" style="35" bestFit="1" customWidth="1"/>
    <col min="685" max="685" width="17.375" style="35" bestFit="1" customWidth="1"/>
    <col min="686" max="686" width="8.625" style="35" bestFit="1" customWidth="1"/>
    <col min="687" max="687" width="16.125" style="35" bestFit="1" customWidth="1"/>
    <col min="688" max="688" width="21.5" style="35" bestFit="1" customWidth="1"/>
    <col min="689" max="689" width="18.5" style="35" bestFit="1" customWidth="1"/>
    <col min="690" max="690" width="18.875" style="35" bestFit="1" customWidth="1"/>
    <col min="691" max="691" width="20.625" style="35" bestFit="1" customWidth="1"/>
    <col min="692" max="692" width="25.25" style="35" bestFit="1" customWidth="1"/>
    <col min="693" max="693" width="23.625" style="35" bestFit="1" customWidth="1"/>
    <col min="694" max="694" width="22.625" style="35" bestFit="1" customWidth="1"/>
    <col min="695" max="695" width="10.25" style="35" bestFit="1" customWidth="1"/>
    <col min="696" max="696" width="18.5" style="35" bestFit="1" customWidth="1"/>
    <col min="697" max="697" width="14.625" style="35" bestFit="1" customWidth="1"/>
    <col min="698" max="698" width="15.625" style="35" bestFit="1" customWidth="1"/>
    <col min="699" max="699" width="16.375" style="35" bestFit="1" customWidth="1"/>
    <col min="700" max="700" width="8.625" style="35" bestFit="1" customWidth="1"/>
    <col min="701" max="701" width="9.125" style="35" bestFit="1" customWidth="1"/>
    <col min="702" max="702" width="19.375" style="35" bestFit="1" customWidth="1"/>
    <col min="703" max="703" width="13.875" style="35" bestFit="1" customWidth="1"/>
    <col min="704" max="704" width="7.625" style="35" bestFit="1" customWidth="1"/>
    <col min="705" max="705" width="8.5" style="35" bestFit="1" customWidth="1"/>
    <col min="706" max="706" width="15.875" style="35" bestFit="1" customWidth="1"/>
    <col min="707" max="707" width="16.625" style="35" bestFit="1" customWidth="1"/>
    <col min="708" max="708" width="16.75" style="35" bestFit="1" customWidth="1"/>
    <col min="709" max="709" width="16.25" style="35" bestFit="1" customWidth="1"/>
    <col min="710" max="710" width="13.125" style="35" bestFit="1" customWidth="1"/>
    <col min="711" max="711" width="15.625" style="35" bestFit="1" customWidth="1"/>
    <col min="712" max="712" width="23.375" style="35" bestFit="1" customWidth="1"/>
    <col min="713" max="713" width="15.125" style="35" bestFit="1" customWidth="1"/>
    <col min="714" max="714" width="19.875" style="35" bestFit="1" customWidth="1"/>
    <col min="715" max="715" width="12.5" style="35" bestFit="1" customWidth="1"/>
    <col min="716" max="716" width="7.375" style="35" bestFit="1" customWidth="1"/>
    <col min="717" max="717" width="18" style="35" bestFit="1" customWidth="1"/>
    <col min="718" max="718" width="17.125" style="35" bestFit="1" customWidth="1"/>
    <col min="719" max="719" width="20.625" style="35" bestFit="1" customWidth="1"/>
    <col min="720" max="720" width="10.5" style="35" bestFit="1" customWidth="1"/>
    <col min="721" max="721" width="16.5" style="35" bestFit="1" customWidth="1"/>
    <col min="722" max="722" width="16.875" style="35" bestFit="1" customWidth="1"/>
    <col min="723" max="723" width="18.125" style="35" bestFit="1" customWidth="1"/>
    <col min="724" max="724" width="17" style="35" bestFit="1" customWidth="1"/>
    <col min="725" max="725" width="16.375" style="35" bestFit="1" customWidth="1"/>
    <col min="726" max="726" width="17" style="35" bestFit="1" customWidth="1"/>
    <col min="727" max="727" width="16.375" style="35" bestFit="1" customWidth="1"/>
    <col min="728" max="728" width="11.625" style="35" bestFit="1" customWidth="1"/>
    <col min="729" max="729" width="20.25" style="35" bestFit="1" customWidth="1"/>
    <col min="730" max="730" width="16" style="35" bestFit="1" customWidth="1"/>
    <col min="731" max="731" width="14.875" style="35" bestFit="1" customWidth="1"/>
    <col min="732" max="732" width="9" style="35" bestFit="1" customWidth="1"/>
    <col min="733" max="733" width="16" style="35" bestFit="1" customWidth="1"/>
    <col min="734" max="734" width="16.875" style="35" bestFit="1" customWidth="1"/>
    <col min="735" max="735" width="13.5" style="35" bestFit="1" customWidth="1"/>
    <col min="736" max="736" width="12" style="35" bestFit="1" customWidth="1"/>
    <col min="737" max="737" width="10.75" style="35" bestFit="1" customWidth="1"/>
    <col min="738" max="738" width="13.5" style="35" bestFit="1" customWidth="1"/>
    <col min="739" max="739" width="10.5" style="35" bestFit="1" customWidth="1"/>
    <col min="740" max="740" width="17" style="35" bestFit="1" customWidth="1"/>
    <col min="741" max="741" width="13" style="35" bestFit="1" customWidth="1"/>
    <col min="742" max="742" width="9.25" style="35" bestFit="1" customWidth="1"/>
    <col min="743" max="743" width="13.125" style="35" bestFit="1" customWidth="1"/>
    <col min="744" max="744" width="14.375" style="35" bestFit="1" customWidth="1"/>
    <col min="745" max="745" width="10.5" style="35" bestFit="1" customWidth="1"/>
    <col min="746" max="746" width="8.625" style="35" bestFit="1" customWidth="1"/>
    <col min="747" max="747" width="14.125" style="35" bestFit="1" customWidth="1"/>
    <col min="748" max="748" width="10.5" style="35" bestFit="1" customWidth="1"/>
    <col min="749" max="749" width="16.125" style="35" bestFit="1" customWidth="1"/>
    <col min="750" max="750" width="15.5" style="35" bestFit="1" customWidth="1"/>
    <col min="751" max="751" width="16.25" style="35" bestFit="1" customWidth="1"/>
    <col min="752" max="752" width="19.125" style="35" bestFit="1" customWidth="1"/>
    <col min="753" max="753" width="12" style="35" bestFit="1" customWidth="1"/>
    <col min="754" max="754" width="12.625" style="35" bestFit="1" customWidth="1"/>
    <col min="755" max="755" width="17.125" style="35" bestFit="1" customWidth="1"/>
    <col min="756" max="756" width="22.625" style="35" bestFit="1" customWidth="1"/>
    <col min="757" max="757" width="15.5" style="35" bestFit="1" customWidth="1"/>
    <col min="758" max="758" width="12.5" style="35" bestFit="1" customWidth="1"/>
    <col min="759" max="759" width="12.125" style="35" bestFit="1" customWidth="1"/>
    <col min="760" max="760" width="17.625" style="35" bestFit="1" customWidth="1"/>
    <col min="761" max="761" width="23.375" style="35" bestFit="1" customWidth="1"/>
    <col min="762" max="762" width="10.5" style="35" bestFit="1" customWidth="1"/>
    <col min="763" max="763" width="10" style="35" bestFit="1" customWidth="1"/>
    <col min="764" max="764" width="17.875" style="35" bestFit="1" customWidth="1"/>
    <col min="765" max="765" width="7.875" style="35" bestFit="1" customWidth="1"/>
    <col min="766" max="766" width="21.75" style="35" bestFit="1" customWidth="1"/>
    <col min="767" max="767" width="11" style="35" bestFit="1" customWidth="1"/>
    <col min="768" max="768" width="7.375" style="35" bestFit="1" customWidth="1"/>
    <col min="769" max="769" width="11.5" style="35" bestFit="1" customWidth="1"/>
    <col min="770" max="770" width="7.125" style="35" bestFit="1" customWidth="1"/>
    <col min="771" max="771" width="17.125" style="35" bestFit="1" customWidth="1"/>
    <col min="772" max="772" width="16.375" style="35" bestFit="1" customWidth="1"/>
    <col min="773" max="773" width="10.5" style="35" bestFit="1" customWidth="1"/>
    <col min="774" max="774" width="8.125" style="35" bestFit="1" customWidth="1"/>
    <col min="775" max="775" width="21.125" style="35" bestFit="1" customWidth="1"/>
    <col min="776" max="776" width="21.625" style="35" bestFit="1" customWidth="1"/>
    <col min="777" max="777" width="13.125" style="35" bestFit="1" customWidth="1"/>
    <col min="778" max="778" width="11.75" style="35" bestFit="1" customWidth="1"/>
    <col min="779" max="779" width="18.25" style="35" bestFit="1" customWidth="1"/>
    <col min="780" max="780" width="23.125" style="35" bestFit="1" customWidth="1"/>
    <col min="781" max="781" width="19.75" style="35" bestFit="1" customWidth="1"/>
    <col min="782" max="782" width="18.125" style="35" bestFit="1" customWidth="1"/>
    <col min="783" max="783" width="18.25" style="35" bestFit="1" customWidth="1"/>
    <col min="784" max="784" width="19.125" style="35" bestFit="1" customWidth="1"/>
    <col min="785" max="785" width="18.75" style="35" bestFit="1" customWidth="1"/>
    <col min="786" max="786" width="18.125" style="35" bestFit="1" customWidth="1"/>
    <col min="787" max="787" width="19.25" style="35" bestFit="1" customWidth="1"/>
    <col min="788" max="788" width="21.25" style="35" bestFit="1" customWidth="1"/>
    <col min="789" max="789" width="19.5" style="35" bestFit="1" customWidth="1"/>
    <col min="790" max="790" width="23.375" style="35" bestFit="1" customWidth="1"/>
    <col min="791" max="791" width="11" style="35" bestFit="1" customWidth="1"/>
    <col min="792" max="792" width="11.125" style="35" bestFit="1" customWidth="1"/>
    <col min="793" max="793" width="9.125" style="35" bestFit="1" customWidth="1"/>
    <col min="794" max="794" width="10.5" style="35" bestFit="1" customWidth="1"/>
    <col min="795" max="795" width="18.875" style="35" bestFit="1" customWidth="1"/>
    <col min="796" max="796" width="10.75" style="35" bestFit="1" customWidth="1"/>
    <col min="797" max="797" width="22.375" style="35" bestFit="1" customWidth="1"/>
    <col min="798" max="798" width="11" style="35" bestFit="1" customWidth="1"/>
    <col min="799" max="799" width="23.875" style="35" bestFit="1" customWidth="1"/>
    <col min="800" max="800" width="14.625" style="35" bestFit="1" customWidth="1"/>
    <col min="801" max="801" width="14.5" style="35" bestFit="1" customWidth="1"/>
    <col min="802" max="802" width="19.25" style="35" bestFit="1" customWidth="1"/>
    <col min="803" max="803" width="16.625" style="35" bestFit="1" customWidth="1"/>
    <col min="804" max="804" width="17.375" style="35" bestFit="1" customWidth="1"/>
    <col min="805" max="805" width="21.875" style="35" bestFit="1" customWidth="1"/>
    <col min="806" max="806" width="19.5" style="35" bestFit="1" customWidth="1"/>
    <col min="807" max="807" width="24.125" style="35" bestFit="1" customWidth="1"/>
    <col min="808" max="808" width="20.125" style="35" bestFit="1" customWidth="1"/>
    <col min="809" max="809" width="18" style="35" bestFit="1" customWidth="1"/>
    <col min="810" max="810" width="13" style="35" bestFit="1" customWidth="1"/>
    <col min="811" max="811" width="10.5" style="35" bestFit="1" customWidth="1"/>
    <col min="812" max="812" width="23.375" style="35" bestFit="1" customWidth="1"/>
    <col min="813" max="813" width="23" style="35" bestFit="1" customWidth="1"/>
    <col min="814" max="814" width="18.25" style="35" bestFit="1" customWidth="1"/>
    <col min="815" max="815" width="22.5" style="35" bestFit="1" customWidth="1"/>
    <col min="816" max="816" width="14.25" style="35" bestFit="1" customWidth="1"/>
    <col min="817" max="817" width="15.875" style="35" bestFit="1" customWidth="1"/>
    <col min="818" max="818" width="8.75" style="35" bestFit="1" customWidth="1"/>
    <col min="819" max="819" width="19" style="35" bestFit="1" customWidth="1"/>
    <col min="820" max="820" width="10.5" style="35" bestFit="1" customWidth="1"/>
    <col min="821" max="821" width="17.75" style="35" bestFit="1" customWidth="1"/>
    <col min="822" max="822" width="17.125" style="35" bestFit="1" customWidth="1"/>
    <col min="823" max="823" width="15.375" style="35" bestFit="1" customWidth="1"/>
    <col min="824" max="824" width="18.875" style="35" bestFit="1" customWidth="1"/>
    <col min="825" max="825" width="19.5" style="35" bestFit="1" customWidth="1"/>
    <col min="826" max="826" width="12.25" style="35" bestFit="1" customWidth="1"/>
    <col min="827" max="827" width="25.375" style="35" bestFit="1" customWidth="1"/>
    <col min="828" max="828" width="16.375" style="35" bestFit="1" customWidth="1"/>
    <col min="829" max="829" width="10.625" style="35" bestFit="1" customWidth="1"/>
    <col min="830" max="830" width="17.625" style="35" bestFit="1" customWidth="1"/>
    <col min="831" max="831" width="20.25" style="35" bestFit="1" customWidth="1"/>
    <col min="832" max="832" width="13.5" style="35" bestFit="1" customWidth="1"/>
    <col min="833" max="833" width="10.5" style="35" bestFit="1" customWidth="1"/>
    <col min="834" max="834" width="20.875" style="35" bestFit="1" customWidth="1"/>
    <col min="835" max="835" width="10.5" style="35" bestFit="1" customWidth="1"/>
    <col min="836" max="836" width="14" style="35" bestFit="1" customWidth="1"/>
    <col min="837" max="837" width="10.5" style="35" bestFit="1" customWidth="1"/>
    <col min="838" max="838" width="13.375" style="35" bestFit="1" customWidth="1"/>
    <col min="839" max="839" width="13.75" style="35" bestFit="1" customWidth="1"/>
    <col min="840" max="840" width="13.125" style="35" bestFit="1" customWidth="1"/>
    <col min="841" max="841" width="11.625" style="35" bestFit="1" customWidth="1"/>
    <col min="842" max="842" width="23.75" style="35" bestFit="1" customWidth="1"/>
    <col min="843" max="843" width="25.75" style="35" bestFit="1" customWidth="1"/>
    <col min="844" max="844" width="23.25" style="35" bestFit="1" customWidth="1"/>
    <col min="845" max="845" width="19.5" style="35" bestFit="1" customWidth="1"/>
    <col min="846" max="846" width="20" style="35" bestFit="1" customWidth="1"/>
    <col min="847" max="847" width="12.375" style="35" bestFit="1" customWidth="1"/>
    <col min="848" max="848" width="12.125" style="35" bestFit="1" customWidth="1"/>
    <col min="849" max="849" width="24.125" style="35" bestFit="1" customWidth="1"/>
    <col min="850" max="850" width="16.25" style="35" bestFit="1" customWidth="1"/>
    <col min="851" max="851" width="17.75" style="35" bestFit="1" customWidth="1"/>
    <col min="852" max="852" width="13.5" style="35" bestFit="1" customWidth="1"/>
    <col min="853" max="853" width="12.875" style="35" bestFit="1" customWidth="1"/>
    <col min="854" max="854" width="9" style="35"/>
    <col min="855" max="855" width="8.375" style="35" bestFit="1" customWidth="1"/>
    <col min="856" max="856" width="13.375" style="35" bestFit="1" customWidth="1"/>
    <col min="857" max="857" width="22.625" style="35" bestFit="1" customWidth="1"/>
    <col min="858" max="858" width="16.75" style="35" bestFit="1" customWidth="1"/>
    <col min="859" max="859" width="18.125" style="35" bestFit="1" customWidth="1"/>
    <col min="860" max="860" width="9.5" style="35" bestFit="1" customWidth="1"/>
    <col min="861" max="861" width="15.625" style="35" bestFit="1" customWidth="1"/>
    <col min="862" max="862" width="10.5" style="35" bestFit="1" customWidth="1"/>
    <col min="863" max="863" width="10.75" style="35" bestFit="1" customWidth="1"/>
    <col min="864" max="864" width="10.5" style="35" bestFit="1" customWidth="1"/>
    <col min="865" max="865" width="12.75" style="35" bestFit="1" customWidth="1"/>
    <col min="866" max="866" width="10.5" style="35" bestFit="1" customWidth="1"/>
    <col min="867" max="867" width="6.25" style="35" bestFit="1" customWidth="1"/>
    <col min="868" max="868" width="6.375" style="35" bestFit="1" customWidth="1"/>
    <col min="869" max="869" width="11.625" style="35" bestFit="1" customWidth="1"/>
    <col min="870" max="870" width="14" style="35" bestFit="1" customWidth="1"/>
    <col min="871" max="871" width="16.75" style="35" bestFit="1" customWidth="1"/>
    <col min="872" max="872" width="17.375" style="35" bestFit="1" customWidth="1"/>
    <col min="873" max="873" width="10.5" style="35" bestFit="1" customWidth="1"/>
    <col min="874" max="874" width="16.375" style="35" bestFit="1" customWidth="1"/>
    <col min="875" max="875" width="19.75" style="35" bestFit="1" customWidth="1"/>
    <col min="876" max="876" width="16.5" style="35" bestFit="1" customWidth="1"/>
    <col min="877" max="877" width="14.75" style="35" bestFit="1" customWidth="1"/>
    <col min="878" max="878" width="12" style="35" bestFit="1" customWidth="1"/>
    <col min="879" max="879" width="14" style="35" bestFit="1" customWidth="1"/>
    <col min="880" max="880" width="17.625" style="35" bestFit="1" customWidth="1"/>
    <col min="881" max="881" width="18.5" style="35" bestFit="1" customWidth="1"/>
    <col min="882" max="882" width="24.125" style="35" bestFit="1" customWidth="1"/>
    <col min="883" max="883" width="11.75" style="35" bestFit="1" customWidth="1"/>
    <col min="884" max="884" width="8.625" style="35" bestFit="1" customWidth="1"/>
    <col min="885" max="885" width="22.125" style="35" bestFit="1" customWidth="1"/>
    <col min="886" max="886" width="18.5" style="35" bestFit="1" customWidth="1"/>
    <col min="887" max="887" width="15.875" style="35" bestFit="1" customWidth="1"/>
    <col min="888" max="888" width="17.5" style="35" bestFit="1" customWidth="1"/>
    <col min="889" max="889" width="9.5" style="35" bestFit="1" customWidth="1"/>
    <col min="890" max="890" width="19.125" style="35" bestFit="1" customWidth="1"/>
    <col min="891" max="891" width="9.5" style="35" bestFit="1" customWidth="1"/>
    <col min="892" max="892" width="16.75" style="35" bestFit="1" customWidth="1"/>
    <col min="893" max="893" width="15.5" style="35" bestFit="1" customWidth="1"/>
    <col min="894" max="894" width="18" style="35" bestFit="1" customWidth="1"/>
    <col min="895" max="895" width="8.875" style="35" bestFit="1" customWidth="1"/>
    <col min="896" max="896" width="16.75" style="35" bestFit="1" customWidth="1"/>
    <col min="897" max="897" width="19.875" style="35" bestFit="1" customWidth="1"/>
    <col min="898" max="898" width="10.5" style="35" bestFit="1" customWidth="1"/>
    <col min="899" max="899" width="22.125" style="35" bestFit="1" customWidth="1"/>
    <col min="900" max="900" width="17.625" style="35" bestFit="1" customWidth="1"/>
    <col min="901" max="901" width="10.5" style="35" bestFit="1" customWidth="1"/>
    <col min="902" max="902" width="15.625" style="35" bestFit="1" customWidth="1"/>
    <col min="903" max="903" width="10.5" style="35" bestFit="1" customWidth="1"/>
    <col min="904" max="904" width="14.875" style="35" bestFit="1" customWidth="1"/>
    <col min="905" max="905" width="10.5" style="35" bestFit="1" customWidth="1"/>
    <col min="906" max="906" width="25" style="35" bestFit="1" customWidth="1"/>
    <col min="907" max="907" width="12.5" style="35" bestFit="1" customWidth="1"/>
    <col min="908" max="908" width="20.625" style="35" bestFit="1" customWidth="1"/>
    <col min="909" max="909" width="13.375" style="35" bestFit="1" customWidth="1"/>
    <col min="910" max="910" width="13.125" style="35" bestFit="1" customWidth="1"/>
    <col min="911" max="911" width="17.375" style="35" bestFit="1" customWidth="1"/>
    <col min="912" max="912" width="8.625" style="35" bestFit="1" customWidth="1"/>
    <col min="913" max="913" width="16.125" style="35" bestFit="1" customWidth="1"/>
    <col min="914" max="914" width="21.5" style="35" bestFit="1" customWidth="1"/>
    <col min="915" max="915" width="18.5" style="35" bestFit="1" customWidth="1"/>
    <col min="916" max="916" width="18.875" style="35" bestFit="1" customWidth="1"/>
    <col min="917" max="917" width="20.625" style="35" bestFit="1" customWidth="1"/>
    <col min="918" max="918" width="25.25" style="35" bestFit="1" customWidth="1"/>
    <col min="919" max="919" width="23.625" style="35" bestFit="1" customWidth="1"/>
    <col min="920" max="920" width="22.625" style="35" bestFit="1" customWidth="1"/>
    <col min="921" max="921" width="10.5" style="35" bestFit="1" customWidth="1"/>
    <col min="922" max="922" width="18.5" style="35" bestFit="1" customWidth="1"/>
    <col min="923" max="923" width="14.625" style="35" bestFit="1" customWidth="1"/>
    <col min="924" max="924" width="15.625" style="35" bestFit="1" customWidth="1"/>
    <col min="925" max="925" width="16.375" style="35" bestFit="1" customWidth="1"/>
    <col min="926" max="927" width="10.5" style="35" bestFit="1" customWidth="1"/>
    <col min="928" max="928" width="19.375" style="35" bestFit="1" customWidth="1"/>
    <col min="929" max="929" width="13.875" style="35" bestFit="1" customWidth="1"/>
    <col min="930" max="930" width="7.625" style="35" bestFit="1" customWidth="1"/>
    <col min="931" max="931" width="10.5" style="35" bestFit="1" customWidth="1"/>
    <col min="932" max="932" width="15.875" style="35" bestFit="1" customWidth="1"/>
    <col min="933" max="933" width="16.625" style="35" bestFit="1" customWidth="1"/>
    <col min="934" max="934" width="16.75" style="35" bestFit="1" customWidth="1"/>
    <col min="935" max="935" width="16.25" style="35" bestFit="1" customWidth="1"/>
    <col min="936" max="936" width="13.125" style="35" bestFit="1" customWidth="1"/>
    <col min="937" max="937" width="15.625" style="35" bestFit="1" customWidth="1"/>
    <col min="938" max="938" width="23.375" style="35" bestFit="1" customWidth="1"/>
    <col min="939" max="939" width="15.125" style="35" bestFit="1" customWidth="1"/>
    <col min="940" max="940" width="19.875" style="35" bestFit="1" customWidth="1"/>
    <col min="941" max="941" width="12.5" style="35" bestFit="1" customWidth="1"/>
    <col min="942" max="942" width="10.5" style="35" bestFit="1" customWidth="1"/>
    <col min="943" max="943" width="18" style="35" bestFit="1" customWidth="1"/>
    <col min="944" max="944" width="17.125" style="35" bestFit="1" customWidth="1"/>
    <col min="945" max="945" width="20.625" style="35" bestFit="1" customWidth="1"/>
    <col min="946" max="946" width="10.5" style="35" bestFit="1" customWidth="1"/>
    <col min="947" max="947" width="16.5" style="35" bestFit="1" customWidth="1"/>
    <col min="948" max="948" width="16.875" style="35" bestFit="1" customWidth="1"/>
    <col min="949" max="949" width="18.125" style="35" bestFit="1" customWidth="1"/>
    <col min="950" max="950" width="17" style="35" bestFit="1" customWidth="1"/>
    <col min="951" max="951" width="16.375" style="35" bestFit="1" customWidth="1"/>
    <col min="952" max="952" width="17" style="35" bestFit="1" customWidth="1"/>
    <col min="953" max="953" width="16.375" style="35" bestFit="1" customWidth="1"/>
    <col min="954" max="954" width="11.625" style="35" bestFit="1" customWidth="1"/>
    <col min="955" max="955" width="20.25" style="35" bestFit="1" customWidth="1"/>
    <col min="956" max="956" width="16" style="35" bestFit="1" customWidth="1"/>
    <col min="957" max="957" width="14.875" style="35" bestFit="1" customWidth="1"/>
    <col min="958" max="958" width="10.5" style="35" bestFit="1" customWidth="1"/>
    <col min="959" max="959" width="16" style="35" bestFit="1" customWidth="1"/>
    <col min="960" max="960" width="16.875" style="35" bestFit="1" customWidth="1"/>
    <col min="961" max="961" width="13.5" style="35" bestFit="1" customWidth="1"/>
    <col min="962" max="962" width="12" style="35" bestFit="1" customWidth="1"/>
    <col min="963" max="963" width="10.75" style="35" bestFit="1" customWidth="1"/>
    <col min="964" max="964" width="13.5" style="35" bestFit="1" customWidth="1"/>
    <col min="965" max="965" width="7.5" style="35" bestFit="1" customWidth="1"/>
    <col min="966" max="966" width="17" style="35" bestFit="1" customWidth="1"/>
    <col min="967" max="967" width="13" style="35" bestFit="1" customWidth="1"/>
    <col min="968" max="968" width="10.5" style="35" bestFit="1" customWidth="1"/>
    <col min="969" max="969" width="13.125" style="35" bestFit="1" customWidth="1"/>
    <col min="970" max="970" width="14.375" style="35" bestFit="1" customWidth="1"/>
    <col min="971" max="971" width="10.5" style="35" bestFit="1" customWidth="1"/>
    <col min="972" max="972" width="8.625" style="35" bestFit="1" customWidth="1"/>
    <col min="973" max="973" width="14.125" style="35" bestFit="1" customWidth="1"/>
    <col min="974" max="974" width="10.5" style="35" bestFit="1" customWidth="1"/>
    <col min="975" max="975" width="16.125" style="35" bestFit="1" customWidth="1"/>
    <col min="976" max="976" width="15.5" style="35" bestFit="1" customWidth="1"/>
    <col min="977" max="977" width="16.25" style="35" bestFit="1" customWidth="1"/>
    <col min="978" max="978" width="19.125" style="35" bestFit="1" customWidth="1"/>
    <col min="979" max="979" width="12" style="35" bestFit="1" customWidth="1"/>
    <col min="980" max="980" width="12.625" style="35" bestFit="1" customWidth="1"/>
    <col min="981" max="981" width="17.125" style="35" bestFit="1" customWidth="1"/>
    <col min="982" max="982" width="22.625" style="35" bestFit="1" customWidth="1"/>
    <col min="983" max="983" width="15.5" style="35" bestFit="1" customWidth="1"/>
    <col min="984" max="984" width="12.5" style="35" bestFit="1" customWidth="1"/>
    <col min="985" max="985" width="12.125" style="35" bestFit="1" customWidth="1"/>
    <col min="986" max="986" width="17.625" style="35" bestFit="1" customWidth="1"/>
    <col min="987" max="987" width="23.375" style="35" bestFit="1" customWidth="1"/>
    <col min="988" max="989" width="10.5" style="35" bestFit="1" customWidth="1"/>
    <col min="990" max="990" width="17.875" style="35" bestFit="1" customWidth="1"/>
    <col min="991" max="991" width="10.5" style="35" bestFit="1" customWidth="1"/>
    <col min="992" max="992" width="21.75" style="35" bestFit="1" customWidth="1"/>
    <col min="993" max="993" width="11" style="35" bestFit="1" customWidth="1"/>
    <col min="994" max="994" width="10.5" style="35" bestFit="1" customWidth="1"/>
    <col min="995" max="995" width="11.5" style="35" bestFit="1" customWidth="1"/>
    <col min="996" max="996" width="7.125" style="35" bestFit="1" customWidth="1"/>
    <col min="997" max="997" width="17.125" style="35" bestFit="1" customWidth="1"/>
    <col min="998" max="998" width="16.375" style="35" bestFit="1" customWidth="1"/>
    <col min="999" max="1000" width="10.5" style="35" bestFit="1" customWidth="1"/>
    <col min="1001" max="1001" width="21.125" style="35" bestFit="1" customWidth="1"/>
    <col min="1002" max="1002" width="21.625" style="35" bestFit="1" customWidth="1"/>
    <col min="1003" max="1003" width="13.125" style="35" bestFit="1" customWidth="1"/>
    <col min="1004" max="1004" width="11.75" style="35" bestFit="1" customWidth="1"/>
    <col min="1005" max="1005" width="18.25" style="35" bestFit="1" customWidth="1"/>
    <col min="1006" max="1006" width="23.125" style="35" bestFit="1" customWidth="1"/>
    <col min="1007" max="1007" width="19.75" style="35" bestFit="1" customWidth="1"/>
    <col min="1008" max="1008" width="18.125" style="35" bestFit="1" customWidth="1"/>
    <col min="1009" max="1009" width="18.25" style="35" bestFit="1" customWidth="1"/>
    <col min="1010" max="1010" width="19.125" style="35" bestFit="1" customWidth="1"/>
    <col min="1011" max="1011" width="18.75" style="35" bestFit="1" customWidth="1"/>
    <col min="1012" max="1012" width="18.125" style="35" bestFit="1" customWidth="1"/>
    <col min="1013" max="1013" width="19.25" style="35" bestFit="1" customWidth="1"/>
    <col min="1014" max="1014" width="21.25" style="35" bestFit="1" customWidth="1"/>
    <col min="1015" max="1015" width="19.5" style="35" bestFit="1" customWidth="1"/>
    <col min="1016" max="1016" width="23.375" style="35" bestFit="1" customWidth="1"/>
    <col min="1017" max="1017" width="11" style="35" bestFit="1" customWidth="1"/>
    <col min="1018" max="1018" width="11.125" style="35" bestFit="1" customWidth="1"/>
    <col min="1019" max="1020" width="10.5" style="35" bestFit="1" customWidth="1"/>
    <col min="1021" max="1021" width="18.875" style="35" bestFit="1" customWidth="1"/>
    <col min="1022" max="1022" width="10.75" style="35" bestFit="1" customWidth="1"/>
    <col min="1023" max="1023" width="22.375" style="35" bestFit="1" customWidth="1"/>
    <col min="1024" max="1024" width="11" style="35" bestFit="1" customWidth="1"/>
    <col min="1025" max="1025" width="23.875" style="35" bestFit="1" customWidth="1"/>
    <col min="1026" max="1026" width="14.625" style="35" bestFit="1" customWidth="1"/>
    <col min="1027" max="1027" width="14.5" style="35" bestFit="1" customWidth="1"/>
    <col min="1028" max="1028" width="19.25" style="35" bestFit="1" customWidth="1"/>
    <col min="1029" max="1029" width="16.625" style="35" bestFit="1" customWidth="1"/>
    <col min="1030" max="1030" width="17.375" style="35" bestFit="1" customWidth="1"/>
    <col min="1031" max="1031" width="21.875" style="35" bestFit="1" customWidth="1"/>
    <col min="1032" max="1032" width="19.5" style="35" bestFit="1" customWidth="1"/>
    <col min="1033" max="1033" width="24.125" style="35" bestFit="1" customWidth="1"/>
    <col min="1034" max="1034" width="20.125" style="35" bestFit="1" customWidth="1"/>
    <col min="1035" max="1035" width="18" style="35" bestFit="1" customWidth="1"/>
    <col min="1036" max="1036" width="13" style="35" bestFit="1" customWidth="1"/>
    <col min="1037" max="1037" width="10.5" style="35" bestFit="1" customWidth="1"/>
    <col min="1038" max="1038" width="23.375" style="35" bestFit="1" customWidth="1"/>
    <col min="1039" max="1039" width="23" style="35" bestFit="1" customWidth="1"/>
    <col min="1040" max="1040" width="18.25" style="35" bestFit="1" customWidth="1"/>
    <col min="1041" max="1041" width="22.5" style="35" bestFit="1" customWidth="1"/>
    <col min="1042" max="1042" width="14.25" style="35" bestFit="1" customWidth="1"/>
    <col min="1043" max="1043" width="15.875" style="35" bestFit="1" customWidth="1"/>
    <col min="1044" max="1044" width="10.5" style="35" bestFit="1" customWidth="1"/>
    <col min="1045" max="1045" width="19" style="35" bestFit="1" customWidth="1"/>
    <col min="1046" max="1046" width="10.5" style="35" bestFit="1" customWidth="1"/>
    <col min="1047" max="1047" width="17.75" style="35" bestFit="1" customWidth="1"/>
    <col min="1048" max="1048" width="17.125" style="35" bestFit="1" customWidth="1"/>
    <col min="1049" max="1049" width="15.375" style="35" bestFit="1" customWidth="1"/>
    <col min="1050" max="1050" width="18.875" style="35" bestFit="1" customWidth="1"/>
    <col min="1051" max="1051" width="19.5" style="35" bestFit="1" customWidth="1"/>
    <col min="1052" max="1052" width="12.25" style="35" bestFit="1" customWidth="1"/>
    <col min="1053" max="1053" width="25.375" style="35" bestFit="1" customWidth="1"/>
    <col min="1054" max="1054" width="16.375" style="35" bestFit="1" customWidth="1"/>
    <col min="1055" max="1055" width="10.625" style="35" bestFit="1" customWidth="1"/>
    <col min="1056" max="1056" width="17.625" style="35" bestFit="1" customWidth="1"/>
    <col min="1057" max="1057" width="20.25" style="35" bestFit="1" customWidth="1"/>
    <col min="1058" max="1058" width="13.5" style="35" bestFit="1" customWidth="1"/>
    <col min="1059" max="1059" width="10.5" style="35" bestFit="1" customWidth="1"/>
    <col min="1060" max="1060" width="20.875" style="35" bestFit="1" customWidth="1"/>
    <col min="1061" max="1061" width="9.375" style="35" bestFit="1" customWidth="1"/>
    <col min="1062" max="1062" width="14" style="35" bestFit="1" customWidth="1"/>
    <col min="1063" max="1063" width="9.625" style="35" bestFit="1" customWidth="1"/>
    <col min="1064" max="1064" width="13.375" style="35" bestFit="1" customWidth="1"/>
    <col min="1065" max="1065" width="13.75" style="35" bestFit="1" customWidth="1"/>
    <col min="1066" max="1066" width="13.125" style="35" bestFit="1" customWidth="1"/>
    <col min="1067" max="1067" width="11.625" style="35" bestFit="1" customWidth="1"/>
    <col min="1068" max="1068" width="23.75" style="35" bestFit="1" customWidth="1"/>
    <col min="1069" max="1069" width="25.75" style="35" bestFit="1" customWidth="1"/>
    <col min="1070" max="1070" width="23.25" style="35" bestFit="1" customWidth="1"/>
    <col min="1071" max="1071" width="19.5" style="35" bestFit="1" customWidth="1"/>
    <col min="1072" max="1072" width="20" style="35" bestFit="1" customWidth="1"/>
    <col min="1073" max="1073" width="12.375" style="35" bestFit="1" customWidth="1"/>
    <col min="1074" max="1074" width="12.125" style="35" bestFit="1" customWidth="1"/>
    <col min="1075" max="1075" width="24.125" style="35" bestFit="1" customWidth="1"/>
    <col min="1076" max="1076" width="16.25" style="35" bestFit="1" customWidth="1"/>
    <col min="1077" max="1077" width="17.75" style="35" bestFit="1" customWidth="1"/>
    <col min="1078" max="1078" width="13.5" style="35" bestFit="1" customWidth="1"/>
    <col min="1079" max="1079" width="12.875" style="35" bestFit="1" customWidth="1"/>
    <col min="1080" max="1080" width="9" style="35"/>
    <col min="1081" max="1081" width="10.5" style="35" bestFit="1" customWidth="1"/>
    <col min="1082" max="1082" width="13.375" style="35" bestFit="1" customWidth="1"/>
    <col min="1083" max="1083" width="22.625" style="35" bestFit="1" customWidth="1"/>
    <col min="1084" max="1084" width="16.75" style="35" bestFit="1" customWidth="1"/>
    <col min="1085" max="1085" width="18.125" style="35" bestFit="1" customWidth="1"/>
    <col min="1086" max="1086" width="10.5" style="35" bestFit="1" customWidth="1"/>
    <col min="1087" max="1087" width="15.625" style="35" bestFit="1" customWidth="1"/>
    <col min="1088" max="1088" width="10.5" style="35" bestFit="1" customWidth="1"/>
    <col min="1089" max="1089" width="10.75" style="35" bestFit="1" customWidth="1"/>
    <col min="1090" max="1090" width="10.5" style="35" bestFit="1" customWidth="1"/>
    <col min="1091" max="1091" width="12.75" style="35" bestFit="1" customWidth="1"/>
    <col min="1092" max="1092" width="6.5" style="35" bestFit="1" customWidth="1"/>
    <col min="1093" max="1094" width="10.5" style="35" bestFit="1" customWidth="1"/>
    <col min="1095" max="1095" width="11.625" style="35" bestFit="1" customWidth="1"/>
    <col min="1096" max="1096" width="14" style="35" bestFit="1" customWidth="1"/>
    <col min="1097" max="1097" width="16.75" style="35" bestFit="1" customWidth="1"/>
    <col min="1098" max="1098" width="17.375" style="35" bestFit="1" customWidth="1"/>
    <col min="1099" max="1099" width="10.5" style="35" bestFit="1" customWidth="1"/>
    <col min="1100" max="1100" width="16.375" style="35" bestFit="1" customWidth="1"/>
    <col min="1101" max="1101" width="19.75" style="35" bestFit="1" customWidth="1"/>
    <col min="1102" max="1102" width="16.5" style="35" bestFit="1" customWidth="1"/>
    <col min="1103" max="1103" width="14.75" style="35" bestFit="1" customWidth="1"/>
    <col min="1104" max="1104" width="12" style="35" bestFit="1" customWidth="1"/>
    <col min="1105" max="1105" width="14" style="35" bestFit="1" customWidth="1"/>
    <col min="1106" max="1106" width="17.625" style="35" bestFit="1" customWidth="1"/>
    <col min="1107" max="1107" width="18.5" style="35" bestFit="1" customWidth="1"/>
    <col min="1108" max="1108" width="24.125" style="35" bestFit="1" customWidth="1"/>
    <col min="1109" max="1109" width="11.75" style="35" bestFit="1" customWidth="1"/>
    <col min="1110" max="1110" width="10.5" style="35" bestFit="1" customWidth="1"/>
    <col min="1111" max="1111" width="22.125" style="35" bestFit="1" customWidth="1"/>
    <col min="1112" max="1112" width="18.5" style="35" bestFit="1" customWidth="1"/>
    <col min="1113" max="1113" width="15.875" style="35" bestFit="1" customWidth="1"/>
    <col min="1114" max="1114" width="17.5" style="35" bestFit="1" customWidth="1"/>
    <col min="1115" max="1115" width="10.5" style="35" bestFit="1" customWidth="1"/>
    <col min="1116" max="1116" width="19.125" style="35" bestFit="1" customWidth="1"/>
    <col min="1117" max="1117" width="10.5" style="35" bestFit="1" customWidth="1"/>
    <col min="1118" max="1118" width="16.75" style="35" bestFit="1" customWidth="1"/>
    <col min="1119" max="1119" width="15.5" style="35" bestFit="1" customWidth="1"/>
    <col min="1120" max="1120" width="18" style="35" bestFit="1" customWidth="1"/>
    <col min="1121" max="1121" width="8.875" style="35" bestFit="1" customWidth="1"/>
    <col min="1122" max="1122" width="16.75" style="35" bestFit="1" customWidth="1"/>
    <col min="1123" max="1123" width="19.875" style="35" bestFit="1" customWidth="1"/>
    <col min="1124" max="1124" width="10.25" style="35" bestFit="1" customWidth="1"/>
    <col min="1125" max="1125" width="22.125" style="35" bestFit="1" customWidth="1"/>
    <col min="1126" max="1126" width="17.625" style="35" bestFit="1" customWidth="1"/>
    <col min="1127" max="1127" width="10.5" style="35" bestFit="1" customWidth="1"/>
    <col min="1128" max="1128" width="15.625" style="35" bestFit="1" customWidth="1"/>
    <col min="1129" max="1129" width="10.5" style="35" bestFit="1" customWidth="1"/>
    <col min="1130" max="1130" width="14.875" style="35" bestFit="1" customWidth="1"/>
    <col min="1131" max="1131" width="10.5" style="35" bestFit="1" customWidth="1"/>
    <col min="1132" max="1132" width="25" style="35" bestFit="1" customWidth="1"/>
    <col min="1133" max="1133" width="12.5" style="35" bestFit="1" customWidth="1"/>
    <col min="1134" max="1134" width="20.625" style="35" bestFit="1" customWidth="1"/>
    <col min="1135" max="1135" width="13.375" style="35" bestFit="1" customWidth="1"/>
    <col min="1136" max="1136" width="13.125" style="35" bestFit="1" customWidth="1"/>
    <col min="1137" max="1137" width="17.375" style="35" bestFit="1" customWidth="1"/>
    <col min="1138" max="1138" width="8.625" style="35" bestFit="1" customWidth="1"/>
    <col min="1139" max="1139" width="16.125" style="35" bestFit="1" customWidth="1"/>
    <col min="1140" max="1140" width="21.5" style="35" bestFit="1" customWidth="1"/>
    <col min="1141" max="1141" width="18.5" style="35" bestFit="1" customWidth="1"/>
    <col min="1142" max="1142" width="18.875" style="35" bestFit="1" customWidth="1"/>
    <col min="1143" max="1143" width="20.625" style="35" bestFit="1" customWidth="1"/>
    <col min="1144" max="1144" width="25.25" style="35" bestFit="1" customWidth="1"/>
    <col min="1145" max="1145" width="23.625" style="35" bestFit="1" customWidth="1"/>
    <col min="1146" max="1146" width="22.625" style="35" bestFit="1" customWidth="1"/>
    <col min="1147" max="1147" width="10.5" style="35" bestFit="1" customWidth="1"/>
    <col min="1148" max="1148" width="18.5" style="35" bestFit="1" customWidth="1"/>
    <col min="1149" max="1149" width="14.625" style="35" bestFit="1" customWidth="1"/>
    <col min="1150" max="1150" width="15.625" style="35" bestFit="1" customWidth="1"/>
    <col min="1151" max="1151" width="16.375" style="35" bestFit="1" customWidth="1"/>
    <col min="1152" max="1153" width="10.5" style="35" bestFit="1" customWidth="1"/>
    <col min="1154" max="1154" width="19.375" style="35" bestFit="1" customWidth="1"/>
    <col min="1155" max="1155" width="13.875" style="35" bestFit="1" customWidth="1"/>
    <col min="1156" max="1156" width="7.625" style="35" bestFit="1" customWidth="1"/>
    <col min="1157" max="1157" width="10.5" style="35" bestFit="1" customWidth="1"/>
    <col min="1158" max="1158" width="15.875" style="35" bestFit="1" customWidth="1"/>
    <col min="1159" max="1159" width="16.625" style="35" bestFit="1" customWidth="1"/>
    <col min="1160" max="1160" width="16.75" style="35" bestFit="1" customWidth="1"/>
    <col min="1161" max="1161" width="16.25" style="35" bestFit="1" customWidth="1"/>
    <col min="1162" max="1162" width="13.125" style="35" bestFit="1" customWidth="1"/>
    <col min="1163" max="1163" width="15.625" style="35" bestFit="1" customWidth="1"/>
    <col min="1164" max="1164" width="23.375" style="35" bestFit="1" customWidth="1"/>
    <col min="1165" max="1165" width="15.125" style="35" bestFit="1" customWidth="1"/>
    <col min="1166" max="1166" width="19.875" style="35" bestFit="1" customWidth="1"/>
    <col min="1167" max="1167" width="12.5" style="35" bestFit="1" customWidth="1"/>
    <col min="1168" max="1168" width="10.5" style="35" bestFit="1" customWidth="1"/>
    <col min="1169" max="1169" width="18" style="35" bestFit="1" customWidth="1"/>
    <col min="1170" max="1170" width="17.125" style="35" bestFit="1" customWidth="1"/>
    <col min="1171" max="1171" width="20.625" style="35" bestFit="1" customWidth="1"/>
    <col min="1172" max="1172" width="10.5" style="35" bestFit="1" customWidth="1"/>
    <col min="1173" max="1173" width="16.5" style="35" bestFit="1" customWidth="1"/>
    <col min="1174" max="1174" width="16.875" style="35" bestFit="1" customWidth="1"/>
    <col min="1175" max="1175" width="18.125" style="35" bestFit="1" customWidth="1"/>
    <col min="1176" max="1176" width="17" style="35" bestFit="1" customWidth="1"/>
    <col min="1177" max="1177" width="16.375" style="35" bestFit="1" customWidth="1"/>
    <col min="1178" max="1178" width="17" style="35" bestFit="1" customWidth="1"/>
    <col min="1179" max="1179" width="16.375" style="35" bestFit="1" customWidth="1"/>
    <col min="1180" max="1180" width="11.625" style="35" bestFit="1" customWidth="1"/>
    <col min="1181" max="1181" width="20.25" style="35" bestFit="1" customWidth="1"/>
    <col min="1182" max="1182" width="16" style="35" bestFit="1" customWidth="1"/>
    <col min="1183" max="1183" width="14.875" style="35" bestFit="1" customWidth="1"/>
    <col min="1184" max="1184" width="10.5" style="35" bestFit="1" customWidth="1"/>
    <col min="1185" max="1185" width="16" style="35" bestFit="1" customWidth="1"/>
    <col min="1186" max="1186" width="16.875" style="35" bestFit="1" customWidth="1"/>
    <col min="1187" max="1187" width="13.5" style="35" bestFit="1" customWidth="1"/>
    <col min="1188" max="1188" width="12" style="35" bestFit="1" customWidth="1"/>
    <col min="1189" max="1189" width="10.75" style="35" bestFit="1" customWidth="1"/>
    <col min="1190" max="1190" width="13.5" style="35" bestFit="1" customWidth="1"/>
    <col min="1191" max="1191" width="7.5" style="35" bestFit="1" customWidth="1"/>
    <col min="1192" max="1192" width="17" style="35" bestFit="1" customWidth="1"/>
    <col min="1193" max="1193" width="13" style="35" bestFit="1" customWidth="1"/>
    <col min="1194" max="1194" width="10.5" style="35" bestFit="1" customWidth="1"/>
    <col min="1195" max="1195" width="13.125" style="35" bestFit="1" customWidth="1"/>
    <col min="1196" max="1196" width="14.375" style="35" bestFit="1" customWidth="1"/>
    <col min="1197" max="1197" width="10.5" style="35" bestFit="1" customWidth="1"/>
    <col min="1198" max="1198" width="8.625" style="35" bestFit="1" customWidth="1"/>
    <col min="1199" max="1199" width="14.125" style="35" bestFit="1" customWidth="1"/>
    <col min="1200" max="1200" width="10.5" style="35" bestFit="1" customWidth="1"/>
    <col min="1201" max="1201" width="16.125" style="35" bestFit="1" customWidth="1"/>
    <col min="1202" max="1202" width="15.5" style="35" bestFit="1" customWidth="1"/>
    <col min="1203" max="1203" width="16.25" style="35" bestFit="1" customWidth="1"/>
    <col min="1204" max="1204" width="19.125" style="35" bestFit="1" customWidth="1"/>
    <col min="1205" max="1205" width="12" style="35" bestFit="1" customWidth="1"/>
    <col min="1206" max="1206" width="12.625" style="35" bestFit="1" customWidth="1"/>
    <col min="1207" max="1207" width="17.125" style="35" bestFit="1" customWidth="1"/>
    <col min="1208" max="1208" width="22.625" style="35" bestFit="1" customWidth="1"/>
    <col min="1209" max="1209" width="15.5" style="35" bestFit="1" customWidth="1"/>
    <col min="1210" max="1210" width="12.5" style="35" bestFit="1" customWidth="1"/>
    <col min="1211" max="1211" width="12.125" style="35" bestFit="1" customWidth="1"/>
    <col min="1212" max="1212" width="17.625" style="35" bestFit="1" customWidth="1"/>
    <col min="1213" max="1213" width="23.375" style="35" bestFit="1" customWidth="1"/>
    <col min="1214" max="1215" width="10.5" style="35" bestFit="1" customWidth="1"/>
    <col min="1216" max="1216" width="17.875" style="35" bestFit="1" customWidth="1"/>
    <col min="1217" max="1217" width="10.5" style="35" bestFit="1" customWidth="1"/>
    <col min="1218" max="1218" width="21.75" style="35" bestFit="1" customWidth="1"/>
    <col min="1219" max="1219" width="11" style="35" bestFit="1" customWidth="1"/>
    <col min="1220" max="1220" width="10.5" style="35" bestFit="1" customWidth="1"/>
    <col min="1221" max="1221" width="11.5" style="35" bestFit="1" customWidth="1"/>
    <col min="1222" max="1222" width="7.125" style="35" bestFit="1" customWidth="1"/>
    <col min="1223" max="1223" width="17.125" style="35" bestFit="1" customWidth="1"/>
    <col min="1224" max="1224" width="16.375" style="35" bestFit="1" customWidth="1"/>
    <col min="1225" max="1226" width="10.5" style="35" bestFit="1" customWidth="1"/>
    <col min="1227" max="1227" width="21.125" style="35" bestFit="1" customWidth="1"/>
    <col min="1228" max="1228" width="21.625" style="35" bestFit="1" customWidth="1"/>
    <col min="1229" max="1229" width="13.125" style="35" bestFit="1" customWidth="1"/>
    <col min="1230" max="1230" width="11.75" style="35" bestFit="1" customWidth="1"/>
    <col min="1231" max="1231" width="18.25" style="35" bestFit="1" customWidth="1"/>
    <col min="1232" max="1232" width="23.125" style="35" bestFit="1" customWidth="1"/>
    <col min="1233" max="1233" width="19.75" style="35" bestFit="1" customWidth="1"/>
    <col min="1234" max="1234" width="18.125" style="35" bestFit="1" customWidth="1"/>
    <col min="1235" max="1235" width="18.25" style="35" bestFit="1" customWidth="1"/>
    <col min="1236" max="1236" width="19.125" style="35" bestFit="1" customWidth="1"/>
    <col min="1237" max="1237" width="18.75" style="35" bestFit="1" customWidth="1"/>
    <col min="1238" max="1238" width="18.125" style="35" bestFit="1" customWidth="1"/>
    <col min="1239" max="1239" width="19.25" style="35" bestFit="1" customWidth="1"/>
    <col min="1240" max="1240" width="21.25" style="35" bestFit="1" customWidth="1"/>
    <col min="1241" max="1241" width="19.5" style="35" bestFit="1" customWidth="1"/>
    <col min="1242" max="1242" width="23.375" style="35" bestFit="1" customWidth="1"/>
    <col min="1243" max="1243" width="11" style="35" bestFit="1" customWidth="1"/>
    <col min="1244" max="1244" width="11.125" style="35" bestFit="1" customWidth="1"/>
    <col min="1245" max="1246" width="10.5" style="35" bestFit="1" customWidth="1"/>
    <col min="1247" max="1247" width="18.875" style="35" bestFit="1" customWidth="1"/>
    <col min="1248" max="1248" width="10.75" style="35" bestFit="1" customWidth="1"/>
    <col min="1249" max="1249" width="22.375" style="35" bestFit="1" customWidth="1"/>
    <col min="1250" max="1250" width="11" style="35" bestFit="1" customWidth="1"/>
    <col min="1251" max="1251" width="23.875" style="35" bestFit="1" customWidth="1"/>
    <col min="1252" max="1252" width="14.625" style="35" bestFit="1" customWidth="1"/>
    <col min="1253" max="1253" width="14.5" style="35" bestFit="1" customWidth="1"/>
    <col min="1254" max="1254" width="19.25" style="35" bestFit="1" customWidth="1"/>
    <col min="1255" max="1255" width="16.625" style="35" bestFit="1" customWidth="1"/>
    <col min="1256" max="1256" width="17.375" style="35" bestFit="1" customWidth="1"/>
    <col min="1257" max="1257" width="21.875" style="35" bestFit="1" customWidth="1"/>
    <col min="1258" max="1258" width="19.5" style="35" bestFit="1" customWidth="1"/>
    <col min="1259" max="1259" width="24.125" style="35" bestFit="1" customWidth="1"/>
    <col min="1260" max="1260" width="20.125" style="35" bestFit="1" customWidth="1"/>
    <col min="1261" max="1261" width="18" style="35" bestFit="1" customWidth="1"/>
    <col min="1262" max="1262" width="13" style="35" bestFit="1" customWidth="1"/>
    <col min="1263" max="1263" width="10.5" style="35" bestFit="1" customWidth="1"/>
    <col min="1264" max="1264" width="23.375" style="35" bestFit="1" customWidth="1"/>
    <col min="1265" max="1265" width="23" style="35" bestFit="1" customWidth="1"/>
    <col min="1266" max="1266" width="18.25" style="35" bestFit="1" customWidth="1"/>
    <col min="1267" max="1267" width="22.5" style="35" bestFit="1" customWidth="1"/>
    <col min="1268" max="1268" width="14.25" style="35" bestFit="1" customWidth="1"/>
    <col min="1269" max="1269" width="15.875" style="35" bestFit="1" customWidth="1"/>
    <col min="1270" max="1270" width="10.5" style="35" bestFit="1" customWidth="1"/>
    <col min="1271" max="1271" width="19" style="35" bestFit="1" customWidth="1"/>
    <col min="1272" max="1272" width="10.5" style="35" bestFit="1" customWidth="1"/>
    <col min="1273" max="1273" width="17.75" style="35" bestFit="1" customWidth="1"/>
    <col min="1274" max="1274" width="17.125" style="35" bestFit="1" customWidth="1"/>
    <col min="1275" max="1275" width="15.375" style="35" bestFit="1" customWidth="1"/>
    <col min="1276" max="1276" width="18.875" style="35" bestFit="1" customWidth="1"/>
    <col min="1277" max="1277" width="19.5" style="35" bestFit="1" customWidth="1"/>
    <col min="1278" max="1278" width="12.25" style="35" bestFit="1" customWidth="1"/>
    <col min="1279" max="1279" width="25.375" style="35" bestFit="1" customWidth="1"/>
    <col min="1280" max="1280" width="16.375" style="35" bestFit="1" customWidth="1"/>
    <col min="1281" max="1281" width="10.625" style="35" bestFit="1" customWidth="1"/>
    <col min="1282" max="1282" width="17.625" style="35" bestFit="1" customWidth="1"/>
    <col min="1283" max="1283" width="20.25" style="35" bestFit="1" customWidth="1"/>
    <col min="1284" max="1284" width="13.5" style="35" bestFit="1" customWidth="1"/>
    <col min="1285" max="1285" width="10.5" style="35" bestFit="1" customWidth="1"/>
    <col min="1286" max="1286" width="20.875" style="35" bestFit="1" customWidth="1"/>
    <col min="1287" max="1287" width="9.375" style="35" bestFit="1" customWidth="1"/>
    <col min="1288" max="1288" width="14" style="35" bestFit="1" customWidth="1"/>
    <col min="1289" max="1289" width="9.625" style="35" bestFit="1" customWidth="1"/>
    <col min="1290" max="1290" width="13.375" style="35" bestFit="1" customWidth="1"/>
    <col min="1291" max="1291" width="13.75" style="35" bestFit="1" customWidth="1"/>
    <col min="1292" max="1292" width="13.125" style="35" bestFit="1" customWidth="1"/>
    <col min="1293" max="1293" width="11.625" style="35" bestFit="1" customWidth="1"/>
    <col min="1294" max="1294" width="23.75" style="35" bestFit="1" customWidth="1"/>
    <col min="1295" max="1295" width="25.75" style="35" bestFit="1" customWidth="1"/>
    <col min="1296" max="1296" width="23.25" style="35" bestFit="1" customWidth="1"/>
    <col min="1297" max="1297" width="19.5" style="35" bestFit="1" customWidth="1"/>
    <col min="1298" max="1298" width="20" style="35" bestFit="1" customWidth="1"/>
    <col min="1299" max="1299" width="12.375" style="35" bestFit="1" customWidth="1"/>
    <col min="1300" max="1300" width="12.125" style="35" bestFit="1" customWidth="1"/>
    <col min="1301" max="1301" width="24.125" style="35" bestFit="1" customWidth="1"/>
    <col min="1302" max="1302" width="16.25" style="35" bestFit="1" customWidth="1"/>
    <col min="1303" max="1303" width="17.75" style="35" bestFit="1" customWidth="1"/>
    <col min="1304" max="1304" width="13.5" style="35" bestFit="1" customWidth="1"/>
    <col min="1305" max="1305" width="12.875" style="35" bestFit="1" customWidth="1"/>
    <col min="1306" max="1306" width="9" style="35"/>
    <col min="1307" max="1307" width="10.5" style="35" bestFit="1" customWidth="1"/>
    <col min="1308" max="1308" width="13.375" style="35" bestFit="1" customWidth="1"/>
    <col min="1309" max="1309" width="22.625" style="35" bestFit="1" customWidth="1"/>
    <col min="1310" max="1310" width="16.75" style="35" bestFit="1" customWidth="1"/>
    <col min="1311" max="1311" width="18.125" style="35" bestFit="1" customWidth="1"/>
    <col min="1312" max="1312" width="10.5" style="35" bestFit="1" customWidth="1"/>
    <col min="1313" max="1313" width="15.625" style="35" bestFit="1" customWidth="1"/>
    <col min="1314" max="1314" width="10.5" style="35" bestFit="1" customWidth="1"/>
    <col min="1315" max="1315" width="10.75" style="35" bestFit="1" customWidth="1"/>
    <col min="1316" max="1316" width="10.5" style="35" bestFit="1" customWidth="1"/>
    <col min="1317" max="1317" width="12.75" style="35" bestFit="1" customWidth="1"/>
    <col min="1318" max="1318" width="6.5" style="35" bestFit="1" customWidth="1"/>
    <col min="1319" max="1320" width="10.5" style="35" bestFit="1" customWidth="1"/>
    <col min="1321" max="1321" width="11.625" style="35" bestFit="1" customWidth="1"/>
    <col min="1322" max="1322" width="14" style="35" bestFit="1" customWidth="1"/>
    <col min="1323" max="1323" width="16.75" style="35" bestFit="1" customWidth="1"/>
    <col min="1324" max="1324" width="17.375" style="35" bestFit="1" customWidth="1"/>
    <col min="1325" max="1325" width="10.5" style="35" bestFit="1" customWidth="1"/>
    <col min="1326" max="1326" width="16.375" style="35" bestFit="1" customWidth="1"/>
    <col min="1327" max="1327" width="19.75" style="35" bestFit="1" customWidth="1"/>
    <col min="1328" max="1328" width="16.5" style="35" bestFit="1" customWidth="1"/>
    <col min="1329" max="1329" width="14.75" style="35" bestFit="1" customWidth="1"/>
    <col min="1330" max="1330" width="12" style="35" bestFit="1" customWidth="1"/>
    <col min="1331" max="1331" width="14" style="35" bestFit="1" customWidth="1"/>
    <col min="1332" max="1332" width="17.625" style="35" bestFit="1" customWidth="1"/>
    <col min="1333" max="1333" width="18.5" style="35" bestFit="1" customWidth="1"/>
    <col min="1334" max="1334" width="24.125" style="35" bestFit="1" customWidth="1"/>
    <col min="1335" max="1335" width="11.75" style="35" bestFit="1" customWidth="1"/>
    <col min="1336" max="1336" width="10.5" style="35" bestFit="1" customWidth="1"/>
    <col min="1337" max="1337" width="22.125" style="35" bestFit="1" customWidth="1"/>
    <col min="1338" max="1338" width="18.5" style="35" bestFit="1" customWidth="1"/>
    <col min="1339" max="1339" width="15.875" style="35" bestFit="1" customWidth="1"/>
    <col min="1340" max="1340" width="17.5" style="35" bestFit="1" customWidth="1"/>
    <col min="1341" max="1341" width="10.5" style="35" bestFit="1" customWidth="1"/>
    <col min="1342" max="1342" width="19.125" style="35" bestFit="1" customWidth="1"/>
    <col min="1343" max="1343" width="10.5" style="35" bestFit="1" customWidth="1"/>
    <col min="1344" max="1344" width="16.75" style="35" bestFit="1" customWidth="1"/>
    <col min="1345" max="1345" width="15.5" style="35" bestFit="1" customWidth="1"/>
    <col min="1346" max="1346" width="18" style="35" bestFit="1" customWidth="1"/>
    <col min="1347" max="1347" width="8.875" style="35" bestFit="1" customWidth="1"/>
    <col min="1348" max="1348" width="16.75" style="35" bestFit="1" customWidth="1"/>
    <col min="1349" max="1349" width="19.875" style="35" bestFit="1" customWidth="1"/>
    <col min="1350" max="1350" width="10.25" style="35" bestFit="1" customWidth="1"/>
    <col min="1351" max="1351" width="22.125" style="35" bestFit="1" customWidth="1"/>
    <col min="1352" max="1352" width="17.625" style="35" bestFit="1" customWidth="1"/>
    <col min="1353" max="1353" width="10.5" style="35" bestFit="1" customWidth="1"/>
    <col min="1354" max="1354" width="15.625" style="35" bestFit="1" customWidth="1"/>
    <col min="1355" max="1355" width="10.5" style="35" bestFit="1" customWidth="1"/>
    <col min="1356" max="1356" width="14.875" style="35" bestFit="1" customWidth="1"/>
    <col min="1357" max="1357" width="10.5" style="35" bestFit="1" customWidth="1"/>
    <col min="1358" max="1358" width="25" style="35" bestFit="1" customWidth="1"/>
    <col min="1359" max="1359" width="12.5" style="35" bestFit="1" customWidth="1"/>
    <col min="1360" max="1360" width="20.625" style="35" bestFit="1" customWidth="1"/>
    <col min="1361" max="1361" width="13.375" style="35" bestFit="1" customWidth="1"/>
    <col min="1362" max="1362" width="13.125" style="35" bestFit="1" customWidth="1"/>
    <col min="1363" max="1363" width="17.375" style="35" bestFit="1" customWidth="1"/>
    <col min="1364" max="1364" width="8.625" style="35" bestFit="1" customWidth="1"/>
    <col min="1365" max="1365" width="16.125" style="35" bestFit="1" customWidth="1"/>
    <col min="1366" max="1366" width="21.5" style="35" bestFit="1" customWidth="1"/>
    <col min="1367" max="1367" width="18.5" style="35" bestFit="1" customWidth="1"/>
    <col min="1368" max="1368" width="18.875" style="35" bestFit="1" customWidth="1"/>
    <col min="1369" max="1369" width="20.625" style="35" bestFit="1" customWidth="1"/>
    <col min="1370" max="1370" width="25.25" style="35" bestFit="1" customWidth="1"/>
    <col min="1371" max="1371" width="23.625" style="35" bestFit="1" customWidth="1"/>
    <col min="1372" max="1372" width="22.625" style="35" bestFit="1" customWidth="1"/>
    <col min="1373" max="1373" width="10.25" style="35" bestFit="1" customWidth="1"/>
    <col min="1374" max="1374" width="18.5" style="35" bestFit="1" customWidth="1"/>
    <col min="1375" max="1375" width="14.625" style="35" bestFit="1" customWidth="1"/>
    <col min="1376" max="1376" width="15.625" style="35" bestFit="1" customWidth="1"/>
    <col min="1377" max="1377" width="16.375" style="35" bestFit="1" customWidth="1"/>
    <col min="1378" max="1378" width="8.625" style="35" bestFit="1" customWidth="1"/>
    <col min="1379" max="1379" width="9.125" style="35" bestFit="1" customWidth="1"/>
    <col min="1380" max="1380" width="19.375" style="35" bestFit="1" customWidth="1"/>
    <col min="1381" max="1381" width="13.875" style="35" bestFit="1" customWidth="1"/>
    <col min="1382" max="1382" width="7.625" style="35" bestFit="1" customWidth="1"/>
    <col min="1383" max="1383" width="8.5" style="35" bestFit="1" customWidth="1"/>
    <col min="1384" max="1384" width="15.875" style="35" bestFit="1" customWidth="1"/>
    <col min="1385" max="1385" width="16.625" style="35" bestFit="1" customWidth="1"/>
    <col min="1386" max="1386" width="16.75" style="35" bestFit="1" customWidth="1"/>
    <col min="1387" max="1387" width="16.25" style="35" bestFit="1" customWidth="1"/>
    <col min="1388" max="1388" width="13.125" style="35" bestFit="1" customWidth="1"/>
    <col min="1389" max="1389" width="15.625" style="35" bestFit="1" customWidth="1"/>
    <col min="1390" max="1390" width="23.375" style="35" bestFit="1" customWidth="1"/>
    <col min="1391" max="1391" width="15.125" style="35" bestFit="1" customWidth="1"/>
    <col min="1392" max="1392" width="19.875" style="35" bestFit="1" customWidth="1"/>
    <col min="1393" max="1393" width="12.5" style="35" bestFit="1" customWidth="1"/>
    <col min="1394" max="1394" width="7.375" style="35" bestFit="1" customWidth="1"/>
    <col min="1395" max="1395" width="18" style="35" bestFit="1" customWidth="1"/>
    <col min="1396" max="1396" width="17.125" style="35" bestFit="1" customWidth="1"/>
    <col min="1397" max="1397" width="20.625" style="35" bestFit="1" customWidth="1"/>
    <col min="1398" max="1398" width="8.125" style="35" bestFit="1" customWidth="1"/>
    <col min="1399" max="1399" width="16.5" style="35" bestFit="1" customWidth="1"/>
    <col min="1400" max="1400" width="16.875" style="35" bestFit="1" customWidth="1"/>
    <col min="1401" max="1401" width="18.125" style="35" bestFit="1" customWidth="1"/>
    <col min="1402" max="1402" width="17" style="35" bestFit="1" customWidth="1"/>
    <col min="1403" max="1403" width="16.375" style="35" bestFit="1" customWidth="1"/>
    <col min="1404" max="1404" width="17" style="35" bestFit="1" customWidth="1"/>
    <col min="1405" max="1405" width="16.375" style="35" bestFit="1" customWidth="1"/>
    <col min="1406" max="1406" width="11.625" style="35" bestFit="1" customWidth="1"/>
    <col min="1407" max="1407" width="20.25" style="35" bestFit="1" customWidth="1"/>
    <col min="1408" max="1408" width="16" style="35" bestFit="1" customWidth="1"/>
    <col min="1409" max="1409" width="14.875" style="35" bestFit="1" customWidth="1"/>
    <col min="1410" max="1410" width="9" style="35" bestFit="1" customWidth="1"/>
    <col min="1411" max="1411" width="16" style="35" bestFit="1" customWidth="1"/>
    <col min="1412" max="1412" width="16.875" style="35" bestFit="1" customWidth="1"/>
    <col min="1413" max="1413" width="13.5" style="35" bestFit="1" customWidth="1"/>
    <col min="1414" max="1414" width="12" style="35" bestFit="1" customWidth="1"/>
    <col min="1415" max="1415" width="10.75" style="35" bestFit="1" customWidth="1"/>
    <col min="1416" max="1416" width="13.5" style="35" bestFit="1" customWidth="1"/>
    <col min="1417" max="1417" width="7.5" style="35" bestFit="1" customWidth="1"/>
    <col min="1418" max="1418" width="17" style="35" bestFit="1" customWidth="1"/>
    <col min="1419" max="1419" width="13" style="35" bestFit="1" customWidth="1"/>
    <col min="1420" max="1420" width="9.25" style="35" bestFit="1" customWidth="1"/>
    <col min="1421" max="1421" width="13.125" style="35" bestFit="1" customWidth="1"/>
    <col min="1422" max="1422" width="14.375" style="35" bestFit="1" customWidth="1"/>
    <col min="1423" max="1423" width="8.5" style="35" bestFit="1" customWidth="1"/>
    <col min="1424" max="1424" width="8.625" style="35" bestFit="1" customWidth="1"/>
    <col min="1425" max="1425" width="14.125" style="35" bestFit="1" customWidth="1"/>
    <col min="1426" max="1426" width="7.625" style="35" bestFit="1" customWidth="1"/>
    <col min="1427" max="1427" width="16.125" style="35" bestFit="1" customWidth="1"/>
    <col min="1428" max="1428" width="15.5" style="35" bestFit="1" customWidth="1"/>
    <col min="1429" max="1429" width="16.25" style="35" bestFit="1" customWidth="1"/>
    <col min="1430" max="1430" width="19.125" style="35" bestFit="1" customWidth="1"/>
    <col min="1431" max="1431" width="12" style="35" bestFit="1" customWidth="1"/>
    <col min="1432" max="1432" width="12.625" style="35" bestFit="1" customWidth="1"/>
    <col min="1433" max="1433" width="17.125" style="35" bestFit="1" customWidth="1"/>
    <col min="1434" max="1434" width="22.625" style="35" bestFit="1" customWidth="1"/>
    <col min="1435" max="1435" width="15.5" style="35" bestFit="1" customWidth="1"/>
    <col min="1436" max="1436" width="12.5" style="35" bestFit="1" customWidth="1"/>
    <col min="1437" max="1437" width="12.125" style="35" bestFit="1" customWidth="1"/>
    <col min="1438" max="1438" width="17.625" style="35" bestFit="1" customWidth="1"/>
    <col min="1439" max="1439" width="23.375" style="35" bestFit="1" customWidth="1"/>
    <col min="1440" max="1440" width="6" style="35" bestFit="1" customWidth="1"/>
    <col min="1441" max="1441" width="10" style="35" bestFit="1" customWidth="1"/>
    <col min="1442" max="1442" width="17.875" style="35" bestFit="1" customWidth="1"/>
    <col min="1443" max="1443" width="7.875" style="35" bestFit="1" customWidth="1"/>
    <col min="1444" max="1444" width="21.75" style="35" bestFit="1" customWidth="1"/>
    <col min="1445" max="1445" width="11" style="35" bestFit="1" customWidth="1"/>
    <col min="1446" max="1446" width="7.375" style="35" bestFit="1" customWidth="1"/>
    <col min="1447" max="1447" width="11.5" style="35" bestFit="1" customWidth="1"/>
    <col min="1448" max="1448" width="7.125" style="35" bestFit="1" customWidth="1"/>
    <col min="1449" max="1449" width="17.125" style="35" bestFit="1" customWidth="1"/>
    <col min="1450" max="1450" width="16.375" style="35" bestFit="1" customWidth="1"/>
    <col min="1451" max="1451" width="10.5" style="35" bestFit="1" customWidth="1"/>
    <col min="1452" max="1452" width="8.125" style="35" bestFit="1" customWidth="1"/>
    <col min="1453" max="1453" width="21.125" style="35" bestFit="1" customWidth="1"/>
    <col min="1454" max="1454" width="21.625" style="35" bestFit="1" customWidth="1"/>
    <col min="1455" max="1455" width="13.125" style="35" bestFit="1" customWidth="1"/>
    <col min="1456" max="1456" width="11.75" style="35" bestFit="1" customWidth="1"/>
    <col min="1457" max="1457" width="18.25" style="35" bestFit="1" customWidth="1"/>
    <col min="1458" max="1458" width="23.125" style="35" bestFit="1" customWidth="1"/>
    <col min="1459" max="1459" width="19.75" style="35" bestFit="1" customWidth="1"/>
    <col min="1460" max="1460" width="18.125" style="35" bestFit="1" customWidth="1"/>
    <col min="1461" max="1461" width="18.25" style="35" bestFit="1" customWidth="1"/>
    <col min="1462" max="1462" width="19.125" style="35" bestFit="1" customWidth="1"/>
    <col min="1463" max="1463" width="18.75" style="35" bestFit="1" customWidth="1"/>
    <col min="1464" max="1464" width="18.125" style="35" bestFit="1" customWidth="1"/>
    <col min="1465" max="1465" width="19.25" style="35" bestFit="1" customWidth="1"/>
    <col min="1466" max="1466" width="21.25" style="35" bestFit="1" customWidth="1"/>
    <col min="1467" max="1467" width="19.5" style="35" bestFit="1" customWidth="1"/>
    <col min="1468" max="1468" width="23.375" style="35" bestFit="1" customWidth="1"/>
    <col min="1469" max="1469" width="11" style="35" bestFit="1" customWidth="1"/>
    <col min="1470" max="1470" width="11.125" style="35" bestFit="1" customWidth="1"/>
    <col min="1471" max="1471" width="9.125" style="35" bestFit="1" customWidth="1"/>
    <col min="1472" max="1472" width="9.875" style="35" bestFit="1" customWidth="1"/>
    <col min="1473" max="1473" width="18.875" style="35" bestFit="1" customWidth="1"/>
    <col min="1474" max="1474" width="10.75" style="35" bestFit="1" customWidth="1"/>
    <col min="1475" max="1475" width="22.375" style="35" bestFit="1" customWidth="1"/>
    <col min="1476" max="1476" width="11" style="35" bestFit="1" customWidth="1"/>
    <col min="1477" max="1477" width="23.875" style="35" bestFit="1" customWidth="1"/>
    <col min="1478" max="1478" width="14.625" style="35" bestFit="1" customWidth="1"/>
    <col min="1479" max="1479" width="14.5" style="35" bestFit="1" customWidth="1"/>
    <col min="1480" max="1480" width="19.25" style="35" bestFit="1" customWidth="1"/>
    <col min="1481" max="1481" width="16.625" style="35" bestFit="1" customWidth="1"/>
    <col min="1482" max="1482" width="17.375" style="35" bestFit="1" customWidth="1"/>
    <col min="1483" max="1483" width="21.875" style="35" bestFit="1" customWidth="1"/>
    <col min="1484" max="1484" width="19.5" style="35" bestFit="1" customWidth="1"/>
    <col min="1485" max="1485" width="24.125" style="35" bestFit="1" customWidth="1"/>
    <col min="1486" max="1486" width="20.125" style="35" bestFit="1" customWidth="1"/>
    <col min="1487" max="1487" width="18" style="35" bestFit="1" customWidth="1"/>
    <col min="1488" max="1488" width="13" style="35" bestFit="1" customWidth="1"/>
    <col min="1489" max="1489" width="8.75" style="35" bestFit="1" customWidth="1"/>
    <col min="1490" max="1490" width="23.375" style="35" bestFit="1" customWidth="1"/>
    <col min="1491" max="1491" width="23" style="35" bestFit="1" customWidth="1"/>
    <col min="1492" max="1492" width="18.25" style="35" bestFit="1" customWidth="1"/>
    <col min="1493" max="1493" width="22.5" style="35" bestFit="1" customWidth="1"/>
    <col min="1494" max="1494" width="14.25" style="35" bestFit="1" customWidth="1"/>
    <col min="1495" max="1495" width="15.875" style="35" bestFit="1" customWidth="1"/>
    <col min="1496" max="1496" width="8.75" style="35" bestFit="1" customWidth="1"/>
    <col min="1497" max="1497" width="19" style="35" bestFit="1" customWidth="1"/>
    <col min="1498" max="1498" width="6.5" style="35" bestFit="1" customWidth="1"/>
    <col min="1499" max="1499" width="17.75" style="35" bestFit="1" customWidth="1"/>
    <col min="1500" max="1500" width="17.125" style="35" bestFit="1" customWidth="1"/>
    <col min="1501" max="1501" width="15.375" style="35" bestFit="1" customWidth="1"/>
    <col min="1502" max="1502" width="18.875" style="35" bestFit="1" customWidth="1"/>
    <col min="1503" max="1503" width="19.5" style="35" bestFit="1" customWidth="1"/>
    <col min="1504" max="1504" width="12.25" style="35" bestFit="1" customWidth="1"/>
    <col min="1505" max="1505" width="25.375" style="35" bestFit="1" customWidth="1"/>
    <col min="1506" max="1506" width="16.375" style="35" bestFit="1" customWidth="1"/>
    <col min="1507" max="1507" width="10.625" style="35" bestFit="1" customWidth="1"/>
    <col min="1508" max="1508" width="17.625" style="35" bestFit="1" customWidth="1"/>
    <col min="1509" max="1509" width="20.25" style="35" bestFit="1" customWidth="1"/>
    <col min="1510" max="1510" width="13.5" style="35" bestFit="1" customWidth="1"/>
    <col min="1511" max="1511" width="9.625" style="35" bestFit="1" customWidth="1"/>
    <col min="1512" max="1512" width="20.875" style="35" bestFit="1" customWidth="1"/>
    <col min="1513" max="1513" width="9.375" style="35" bestFit="1" customWidth="1"/>
    <col min="1514" max="1514" width="14" style="35" bestFit="1" customWidth="1"/>
    <col min="1515" max="1515" width="9.625" style="35" bestFit="1" customWidth="1"/>
    <col min="1516" max="1516" width="13.375" style="35" bestFit="1" customWidth="1"/>
    <col min="1517" max="1517" width="13.75" style="35" bestFit="1" customWidth="1"/>
    <col min="1518" max="1518" width="13.125" style="35" bestFit="1" customWidth="1"/>
    <col min="1519" max="1519" width="11.625" style="35" bestFit="1" customWidth="1"/>
    <col min="1520" max="1520" width="23.75" style="35" bestFit="1" customWidth="1"/>
    <col min="1521" max="1521" width="25.75" style="35" bestFit="1" customWidth="1"/>
    <col min="1522" max="1522" width="23.25" style="35" bestFit="1" customWidth="1"/>
    <col min="1523" max="1523" width="19.5" style="35" bestFit="1" customWidth="1"/>
    <col min="1524" max="1524" width="20" style="35" bestFit="1" customWidth="1"/>
    <col min="1525" max="1525" width="12.375" style="35" bestFit="1" customWidth="1"/>
    <col min="1526" max="1526" width="12.125" style="35" bestFit="1" customWidth="1"/>
    <col min="1527" max="1527" width="24.125" style="35" bestFit="1" customWidth="1"/>
    <col min="1528" max="1528" width="16.25" style="35" bestFit="1" customWidth="1"/>
    <col min="1529" max="1529" width="17.75" style="35" bestFit="1" customWidth="1"/>
    <col min="1530" max="1530" width="13.5" style="35" bestFit="1" customWidth="1"/>
    <col min="1531" max="1531" width="12.875" style="35" bestFit="1" customWidth="1"/>
    <col min="1532" max="1532" width="9" style="35"/>
    <col min="1533" max="1533" width="8.375" style="35" bestFit="1" customWidth="1"/>
    <col min="1534" max="1534" width="13.375" style="35" bestFit="1" customWidth="1"/>
    <col min="1535" max="1535" width="22.625" style="35" bestFit="1" customWidth="1"/>
    <col min="1536" max="1536" width="16.75" style="35" bestFit="1" customWidth="1"/>
    <col min="1537" max="1537" width="18.125" style="35" bestFit="1" customWidth="1"/>
    <col min="1538" max="1538" width="9.5" style="35" bestFit="1" customWidth="1"/>
    <col min="1539" max="1539" width="15.625" style="35" bestFit="1" customWidth="1"/>
    <col min="1540" max="1540" width="4.875" style="35" bestFit="1" customWidth="1"/>
    <col min="1541" max="1541" width="10.75" style="35" bestFit="1" customWidth="1"/>
    <col min="1542" max="1542" width="6.25" style="35" bestFit="1" customWidth="1"/>
    <col min="1543" max="1543" width="12.75" style="35" bestFit="1" customWidth="1"/>
    <col min="1544" max="1544" width="6.5" style="35" bestFit="1" customWidth="1"/>
    <col min="1545" max="1545" width="6.25" style="35" bestFit="1" customWidth="1"/>
    <col min="1546" max="1546" width="6.375" style="35" bestFit="1" customWidth="1"/>
    <col min="1547" max="1547" width="11.625" style="35" bestFit="1" customWidth="1"/>
    <col min="1548" max="1548" width="14" style="35" bestFit="1" customWidth="1"/>
    <col min="1549" max="1549" width="16.75" style="35" bestFit="1" customWidth="1"/>
    <col min="1550" max="1550" width="17.375" style="35" bestFit="1" customWidth="1"/>
    <col min="1551" max="1551" width="8.75" style="35" bestFit="1" customWidth="1"/>
    <col min="1552" max="1552" width="16.375" style="35" bestFit="1" customWidth="1"/>
    <col min="1553" max="1553" width="19.75" style="35" bestFit="1" customWidth="1"/>
    <col min="1554" max="1554" width="16.5" style="35" bestFit="1" customWidth="1"/>
    <col min="1555" max="1555" width="14.75" style="35" bestFit="1" customWidth="1"/>
    <col min="1556" max="1556" width="12" style="35" bestFit="1" customWidth="1"/>
    <col min="1557" max="1557" width="14" style="35" bestFit="1" customWidth="1"/>
    <col min="1558" max="1558" width="17.625" style="35" bestFit="1" customWidth="1"/>
    <col min="1559" max="1559" width="18.5" style="35" bestFit="1" customWidth="1"/>
    <col min="1560" max="1560" width="24.125" style="35" bestFit="1" customWidth="1"/>
    <col min="1561" max="1561" width="11.75" style="35" bestFit="1" customWidth="1"/>
    <col min="1562" max="1562" width="8.625" style="35" bestFit="1" customWidth="1"/>
    <col min="1563" max="1563" width="22.125" style="35" bestFit="1" customWidth="1"/>
    <col min="1564" max="1564" width="18.5" style="35" bestFit="1" customWidth="1"/>
    <col min="1565" max="1565" width="15.875" style="35" bestFit="1" customWidth="1"/>
    <col min="1566" max="1566" width="17.5" style="35" bestFit="1" customWidth="1"/>
    <col min="1567" max="1567" width="9.5" style="35" bestFit="1" customWidth="1"/>
    <col min="1568" max="1568" width="19.125" style="35" bestFit="1" customWidth="1"/>
    <col min="1569" max="1569" width="9.5" style="35" bestFit="1" customWidth="1"/>
    <col min="1570" max="1570" width="16.75" style="35" bestFit="1" customWidth="1"/>
    <col min="1571" max="1571" width="15.5" style="35" bestFit="1" customWidth="1"/>
    <col min="1572" max="1572" width="18" style="35" bestFit="1" customWidth="1"/>
    <col min="1573" max="1573" width="8.875" style="35" bestFit="1" customWidth="1"/>
    <col min="1574" max="1574" width="16.75" style="35" bestFit="1" customWidth="1"/>
    <col min="1575" max="1575" width="19.875" style="35" bestFit="1" customWidth="1"/>
    <col min="1576" max="1576" width="10.25" style="35" bestFit="1" customWidth="1"/>
    <col min="1577" max="1577" width="22.125" style="35" bestFit="1" customWidth="1"/>
    <col min="1578" max="1578" width="17.625" style="35" bestFit="1" customWidth="1"/>
    <col min="1579" max="1579" width="9" style="35" bestFit="1" customWidth="1"/>
    <col min="1580" max="1580" width="15.625" style="35" bestFit="1" customWidth="1"/>
    <col min="1581" max="1581" width="7.625" style="35" bestFit="1" customWidth="1"/>
    <col min="1582" max="1582" width="14.875" style="35" bestFit="1" customWidth="1"/>
    <col min="1583" max="1583" width="7" style="35" bestFit="1" customWidth="1"/>
    <col min="1584" max="1584" width="25" style="35" bestFit="1" customWidth="1"/>
    <col min="1585" max="1585" width="12.5" style="35" bestFit="1" customWidth="1"/>
    <col min="1586" max="1586" width="20.625" style="35" bestFit="1" customWidth="1"/>
    <col min="1587" max="1587" width="13.375" style="35" bestFit="1" customWidth="1"/>
    <col min="1588" max="1588" width="13.125" style="35" bestFit="1" customWidth="1"/>
    <col min="1589" max="1589" width="17.375" style="35" bestFit="1" customWidth="1"/>
    <col min="1590" max="1590" width="8.625" style="35" bestFit="1" customWidth="1"/>
    <col min="1591" max="1591" width="16.125" style="35" bestFit="1" customWidth="1"/>
    <col min="1592" max="1592" width="21.5" style="35" bestFit="1" customWidth="1"/>
    <col min="1593" max="1593" width="18.5" style="35" bestFit="1" customWidth="1"/>
    <col min="1594" max="1594" width="18.875" style="35" bestFit="1" customWidth="1"/>
    <col min="1595" max="1595" width="20.625" style="35" bestFit="1" customWidth="1"/>
    <col min="1596" max="1596" width="25.25" style="35" bestFit="1" customWidth="1"/>
    <col min="1597" max="1597" width="23.625" style="35" bestFit="1" customWidth="1"/>
    <col min="1598" max="1598" width="22.625" style="35" bestFit="1" customWidth="1"/>
    <col min="1599" max="1599" width="10.25" style="35" bestFit="1" customWidth="1"/>
    <col min="1600" max="1600" width="18.5" style="35" bestFit="1" customWidth="1"/>
    <col min="1601" max="1601" width="14.625" style="35" bestFit="1" customWidth="1"/>
    <col min="1602" max="1602" width="15.625" style="35" bestFit="1" customWidth="1"/>
    <col min="1603" max="1603" width="16.375" style="35" bestFit="1" customWidth="1"/>
    <col min="1604" max="1604" width="8.625" style="35" bestFit="1" customWidth="1"/>
    <col min="1605" max="1605" width="9.125" style="35" bestFit="1" customWidth="1"/>
    <col min="1606" max="1606" width="19.375" style="35" bestFit="1" customWidth="1"/>
    <col min="1607" max="1607" width="13.875" style="35" bestFit="1" customWidth="1"/>
    <col min="1608" max="1608" width="7.625" style="35" bestFit="1" customWidth="1"/>
    <col min="1609" max="1609" width="8.5" style="35" bestFit="1" customWidth="1"/>
    <col min="1610" max="1610" width="15.875" style="35" bestFit="1" customWidth="1"/>
    <col min="1611" max="1611" width="16.625" style="35" bestFit="1" customWidth="1"/>
    <col min="1612" max="1612" width="16.75" style="35" bestFit="1" customWidth="1"/>
    <col min="1613" max="1613" width="16.25" style="35" bestFit="1" customWidth="1"/>
    <col min="1614" max="1614" width="13.125" style="35" bestFit="1" customWidth="1"/>
    <col min="1615" max="1615" width="15.625" style="35" bestFit="1" customWidth="1"/>
    <col min="1616" max="1616" width="23.375" style="35" bestFit="1" customWidth="1"/>
    <col min="1617" max="1617" width="15.125" style="35" bestFit="1" customWidth="1"/>
    <col min="1618" max="1618" width="19.875" style="35" bestFit="1" customWidth="1"/>
    <col min="1619" max="1619" width="12.5" style="35" bestFit="1" customWidth="1"/>
    <col min="1620" max="1620" width="7.375" style="35" bestFit="1" customWidth="1"/>
    <col min="1621" max="1621" width="18" style="35" bestFit="1" customWidth="1"/>
    <col min="1622" max="1622" width="17.125" style="35" bestFit="1" customWidth="1"/>
    <col min="1623" max="1623" width="20.625" style="35" bestFit="1" customWidth="1"/>
    <col min="1624" max="1624" width="10.5" style="35" bestFit="1" customWidth="1"/>
    <col min="1625" max="1625" width="16.5" style="35" bestFit="1" customWidth="1"/>
    <col min="1626" max="1626" width="16.875" style="35" bestFit="1" customWidth="1"/>
    <col min="1627" max="1627" width="18.125" style="35" bestFit="1" customWidth="1"/>
    <col min="1628" max="1628" width="17" style="35" bestFit="1" customWidth="1"/>
    <col min="1629" max="1629" width="16.375" style="35" bestFit="1" customWidth="1"/>
    <col min="1630" max="1630" width="17" style="35" bestFit="1" customWidth="1"/>
    <col min="1631" max="1631" width="16.375" style="35" bestFit="1" customWidth="1"/>
    <col min="1632" max="1632" width="11.625" style="35" bestFit="1" customWidth="1"/>
    <col min="1633" max="1633" width="20.25" style="35" bestFit="1" customWidth="1"/>
    <col min="1634" max="1634" width="16" style="35" bestFit="1" customWidth="1"/>
    <col min="1635" max="1635" width="14.875" style="35" bestFit="1" customWidth="1"/>
    <col min="1636" max="1636" width="9" style="35" bestFit="1" customWidth="1"/>
    <col min="1637" max="1637" width="16" style="35" bestFit="1" customWidth="1"/>
    <col min="1638" max="1638" width="16.875" style="35" bestFit="1" customWidth="1"/>
    <col min="1639" max="1639" width="13.5" style="35" bestFit="1" customWidth="1"/>
    <col min="1640" max="1640" width="12" style="35" bestFit="1" customWidth="1"/>
    <col min="1641" max="1641" width="10.75" style="35" bestFit="1" customWidth="1"/>
    <col min="1642" max="1642" width="13.5" style="35" bestFit="1" customWidth="1"/>
    <col min="1643" max="1643" width="7.5" style="35" bestFit="1" customWidth="1"/>
    <col min="1644" max="1644" width="17" style="35" bestFit="1" customWidth="1"/>
    <col min="1645" max="1645" width="13" style="35" bestFit="1" customWidth="1"/>
    <col min="1646" max="1646" width="9.25" style="35" bestFit="1" customWidth="1"/>
    <col min="1647" max="1647" width="13.125" style="35" bestFit="1" customWidth="1"/>
    <col min="1648" max="1648" width="14.375" style="35" bestFit="1" customWidth="1"/>
    <col min="1649" max="1649" width="10.5" style="35" bestFit="1" customWidth="1"/>
    <col min="1650" max="1650" width="8.625" style="35" bestFit="1" customWidth="1"/>
    <col min="1651" max="1651" width="14.125" style="35" bestFit="1" customWidth="1"/>
    <col min="1652" max="1652" width="10.5" style="35" bestFit="1" customWidth="1"/>
    <col min="1653" max="1653" width="16.125" style="35" bestFit="1" customWidth="1"/>
    <col min="1654" max="1654" width="15.5" style="35" bestFit="1" customWidth="1"/>
    <col min="1655" max="1655" width="16.25" style="35" bestFit="1" customWidth="1"/>
    <col min="1656" max="1656" width="19.125" style="35" bestFit="1" customWidth="1"/>
    <col min="1657" max="1657" width="12" style="35" bestFit="1" customWidth="1"/>
    <col min="1658" max="1658" width="12.625" style="35" bestFit="1" customWidth="1"/>
    <col min="1659" max="1659" width="17.125" style="35" bestFit="1" customWidth="1"/>
    <col min="1660" max="1660" width="22.625" style="35" bestFit="1" customWidth="1"/>
    <col min="1661" max="1661" width="15.5" style="35" bestFit="1" customWidth="1"/>
    <col min="1662" max="1662" width="12.5" style="35" bestFit="1" customWidth="1"/>
    <col min="1663" max="1663" width="12.125" style="35" bestFit="1" customWidth="1"/>
    <col min="1664" max="1664" width="17.625" style="35" bestFit="1" customWidth="1"/>
    <col min="1665" max="1665" width="23.375" style="35" bestFit="1" customWidth="1"/>
    <col min="1666" max="1666" width="6" style="35" bestFit="1" customWidth="1"/>
    <col min="1667" max="1667" width="10" style="35" bestFit="1" customWidth="1"/>
    <col min="1668" max="1668" width="17.875" style="35" bestFit="1" customWidth="1"/>
    <col min="1669" max="1669" width="10.5" style="35" bestFit="1" customWidth="1"/>
    <col min="1670" max="1670" width="21.75" style="35" bestFit="1" customWidth="1"/>
    <col min="1671" max="1671" width="11" style="35" bestFit="1" customWidth="1"/>
    <col min="1672" max="1672" width="7.375" style="35" bestFit="1" customWidth="1"/>
    <col min="1673" max="1673" width="11.5" style="35" bestFit="1" customWidth="1"/>
    <col min="1674" max="1674" width="7.125" style="35" bestFit="1" customWidth="1"/>
    <col min="1675" max="1675" width="17.125" style="35" bestFit="1" customWidth="1"/>
    <col min="1676" max="1676" width="16.375" style="35" bestFit="1" customWidth="1"/>
    <col min="1677" max="1677" width="10.5" style="35" bestFit="1" customWidth="1"/>
    <col min="1678" max="1678" width="8.125" style="35" bestFit="1" customWidth="1"/>
    <col min="1679" max="1679" width="21.125" style="35" bestFit="1" customWidth="1"/>
    <col min="1680" max="1680" width="21.625" style="35" bestFit="1" customWidth="1"/>
    <col min="1681" max="1681" width="13.125" style="35" bestFit="1" customWidth="1"/>
    <col min="1682" max="1682" width="11.75" style="35" bestFit="1" customWidth="1"/>
    <col min="1683" max="1683" width="18.25" style="35" bestFit="1" customWidth="1"/>
    <col min="1684" max="1684" width="23.125" style="35" bestFit="1" customWidth="1"/>
    <col min="1685" max="1685" width="19.75" style="35" bestFit="1" customWidth="1"/>
    <col min="1686" max="1686" width="18.125" style="35" bestFit="1" customWidth="1"/>
    <col min="1687" max="1687" width="18.25" style="35" bestFit="1" customWidth="1"/>
    <col min="1688" max="1688" width="19.125" style="35" bestFit="1" customWidth="1"/>
    <col min="1689" max="1689" width="18.75" style="35" bestFit="1" customWidth="1"/>
    <col min="1690" max="1690" width="18.125" style="35" bestFit="1" customWidth="1"/>
    <col min="1691" max="1691" width="19.25" style="35" bestFit="1" customWidth="1"/>
    <col min="1692" max="1692" width="21.25" style="35" bestFit="1" customWidth="1"/>
    <col min="1693" max="1693" width="19.5" style="35" bestFit="1" customWidth="1"/>
    <col min="1694" max="1694" width="23.375" style="35" bestFit="1" customWidth="1"/>
    <col min="1695" max="1695" width="11" style="35" bestFit="1" customWidth="1"/>
    <col min="1696" max="1696" width="11.125" style="35" bestFit="1" customWidth="1"/>
    <col min="1697" max="1697" width="9.125" style="35" bestFit="1" customWidth="1"/>
    <col min="1698" max="1698" width="10.5" style="35" bestFit="1" customWidth="1"/>
    <col min="1699" max="1699" width="18.875" style="35" bestFit="1" customWidth="1"/>
    <col min="1700" max="1700" width="10.75" style="35" bestFit="1" customWidth="1"/>
    <col min="1701" max="1701" width="22.375" style="35" bestFit="1" customWidth="1"/>
    <col min="1702" max="1702" width="11" style="35" bestFit="1" customWidth="1"/>
    <col min="1703" max="1703" width="23.875" style="35" bestFit="1" customWidth="1"/>
    <col min="1704" max="1704" width="14.625" style="35" bestFit="1" customWidth="1"/>
    <col min="1705" max="1705" width="14.5" style="35" bestFit="1" customWidth="1"/>
    <col min="1706" max="1706" width="19.25" style="35" bestFit="1" customWidth="1"/>
    <col min="1707" max="1707" width="16.625" style="35" bestFit="1" customWidth="1"/>
    <col min="1708" max="1708" width="17.375" style="35" bestFit="1" customWidth="1"/>
    <col min="1709" max="1709" width="21.875" style="35" bestFit="1" customWidth="1"/>
    <col min="1710" max="1710" width="19.5" style="35" bestFit="1" customWidth="1"/>
    <col min="1711" max="1711" width="24.125" style="35" bestFit="1" customWidth="1"/>
    <col min="1712" max="1712" width="20.125" style="35" bestFit="1" customWidth="1"/>
    <col min="1713" max="1713" width="18" style="35" bestFit="1" customWidth="1"/>
    <col min="1714" max="1714" width="13" style="35" bestFit="1" customWidth="1"/>
    <col min="1715" max="1715" width="8.75" style="35" bestFit="1" customWidth="1"/>
    <col min="1716" max="1716" width="23.375" style="35" bestFit="1" customWidth="1"/>
    <col min="1717" max="1717" width="23" style="35" bestFit="1" customWidth="1"/>
    <col min="1718" max="1718" width="18.25" style="35" bestFit="1" customWidth="1"/>
    <col min="1719" max="1719" width="22.5" style="35" bestFit="1" customWidth="1"/>
    <col min="1720" max="1720" width="14.25" style="35" bestFit="1" customWidth="1"/>
    <col min="1721" max="1721" width="15.875" style="35" bestFit="1" customWidth="1"/>
    <col min="1722" max="1722" width="8.75" style="35" bestFit="1" customWidth="1"/>
    <col min="1723" max="1723" width="19" style="35" bestFit="1" customWidth="1"/>
    <col min="1724" max="1724" width="10.5" style="35" bestFit="1" customWidth="1"/>
    <col min="1725" max="1725" width="17.75" style="35" bestFit="1" customWidth="1"/>
    <col min="1726" max="1726" width="17.125" style="35" bestFit="1" customWidth="1"/>
    <col min="1727" max="1727" width="15.375" style="35" bestFit="1" customWidth="1"/>
    <col min="1728" max="1728" width="18.875" style="35" bestFit="1" customWidth="1"/>
    <col min="1729" max="1729" width="19.5" style="35" bestFit="1" customWidth="1"/>
    <col min="1730" max="1730" width="12.25" style="35" bestFit="1" customWidth="1"/>
    <col min="1731" max="1731" width="25.375" style="35" bestFit="1" customWidth="1"/>
    <col min="1732" max="1732" width="16.375" style="35" bestFit="1" customWidth="1"/>
    <col min="1733" max="1733" width="10.625" style="35" bestFit="1" customWidth="1"/>
    <col min="1734" max="1734" width="17.625" style="35" bestFit="1" customWidth="1"/>
    <col min="1735" max="1735" width="20.25" style="35" bestFit="1" customWidth="1"/>
    <col min="1736" max="1736" width="13.5" style="35" bestFit="1" customWidth="1"/>
    <col min="1737" max="1737" width="10.5" style="35" bestFit="1" customWidth="1"/>
    <col min="1738" max="1738" width="20.875" style="35" bestFit="1" customWidth="1"/>
    <col min="1739" max="1739" width="9.375" style="35" bestFit="1" customWidth="1"/>
    <col min="1740" max="1740" width="14" style="35" bestFit="1" customWidth="1"/>
    <col min="1741" max="1741" width="9.625" style="35" bestFit="1" customWidth="1"/>
    <col min="1742" max="1742" width="13.375" style="35" bestFit="1" customWidth="1"/>
    <col min="1743" max="1743" width="13.75" style="35" bestFit="1" customWidth="1"/>
    <col min="1744" max="1744" width="13.125" style="35" bestFit="1" customWidth="1"/>
    <col min="1745" max="1745" width="11.625" style="35" bestFit="1" customWidth="1"/>
    <col min="1746" max="1746" width="23.75" style="35" bestFit="1" customWidth="1"/>
    <col min="1747" max="1747" width="25.75" style="35" bestFit="1" customWidth="1"/>
    <col min="1748" max="1748" width="23.25" style="35" bestFit="1" customWidth="1"/>
    <col min="1749" max="1749" width="19.5" style="35" bestFit="1" customWidth="1"/>
    <col min="1750" max="1750" width="20" style="35" bestFit="1" customWidth="1"/>
    <col min="1751" max="1751" width="12.375" style="35" bestFit="1" customWidth="1"/>
    <col min="1752" max="1752" width="12.125" style="35" bestFit="1" customWidth="1"/>
    <col min="1753" max="1753" width="24.125" style="35" bestFit="1" customWidth="1"/>
    <col min="1754" max="1754" width="16.25" style="35" bestFit="1" customWidth="1"/>
    <col min="1755" max="1755" width="17.75" style="35" bestFit="1" customWidth="1"/>
    <col min="1756" max="1756" width="13.5" style="35" bestFit="1" customWidth="1"/>
    <col min="1757" max="1757" width="12.875" style="35" bestFit="1" customWidth="1"/>
    <col min="1758" max="1759" width="10.5" style="35" bestFit="1" customWidth="1"/>
    <col min="1760" max="1760" width="13.375" style="35" bestFit="1" customWidth="1"/>
    <col min="1761" max="1761" width="22.625" style="35" bestFit="1" customWidth="1"/>
    <col min="1762" max="1762" width="16.75" style="35" bestFit="1" customWidth="1"/>
    <col min="1763" max="1763" width="18.125" style="35" bestFit="1" customWidth="1"/>
    <col min="1764" max="1764" width="9.5" style="35" bestFit="1" customWidth="1"/>
    <col min="1765" max="1765" width="15.625" style="35" bestFit="1" customWidth="1"/>
    <col min="1766" max="1766" width="10.5" style="35" bestFit="1" customWidth="1"/>
    <col min="1767" max="1767" width="10.75" style="35" bestFit="1" customWidth="1"/>
    <col min="1768" max="1768" width="10.5" style="35" bestFit="1" customWidth="1"/>
    <col min="1769" max="1769" width="12.75" style="35" bestFit="1" customWidth="1"/>
    <col min="1770" max="1770" width="6.5" style="35" bestFit="1" customWidth="1"/>
    <col min="1771" max="1771" width="10.5" style="35" bestFit="1" customWidth="1"/>
    <col min="1772" max="1772" width="6.375" style="35" bestFit="1" customWidth="1"/>
    <col min="1773" max="1773" width="11.625" style="35" bestFit="1" customWidth="1"/>
    <col min="1774" max="1774" width="14" style="35" bestFit="1" customWidth="1"/>
    <col min="1775" max="1775" width="16.75" style="35" bestFit="1" customWidth="1"/>
    <col min="1776" max="1776" width="17.375" style="35" bestFit="1" customWidth="1"/>
    <col min="1777" max="1777" width="10.5" style="35" bestFit="1" customWidth="1"/>
    <col min="1778" max="1778" width="16.375" style="35" bestFit="1" customWidth="1"/>
    <col min="1779" max="1779" width="19.75" style="35" bestFit="1" customWidth="1"/>
    <col min="1780" max="1780" width="16.5" style="35" bestFit="1" customWidth="1"/>
    <col min="1781" max="1781" width="14.75" style="35" bestFit="1" customWidth="1"/>
    <col min="1782" max="1782" width="12" style="35" bestFit="1" customWidth="1"/>
    <col min="1783" max="1783" width="14" style="35" bestFit="1" customWidth="1"/>
    <col min="1784" max="1784" width="17.625" style="35" bestFit="1" customWidth="1"/>
    <col min="1785" max="1785" width="18.5" style="35" bestFit="1" customWidth="1"/>
    <col min="1786" max="1786" width="24.125" style="35" bestFit="1" customWidth="1"/>
    <col min="1787" max="1787" width="11.75" style="35" bestFit="1" customWidth="1"/>
    <col min="1788" max="1788" width="8.625" style="35" bestFit="1" customWidth="1"/>
    <col min="1789" max="1789" width="22.125" style="35" bestFit="1" customWidth="1"/>
    <col min="1790" max="1790" width="18.5" style="35" bestFit="1" customWidth="1"/>
    <col min="1791" max="1791" width="15.875" style="35" bestFit="1" customWidth="1"/>
    <col min="1792" max="1792" width="17.5" style="35" bestFit="1" customWidth="1"/>
    <col min="1793" max="1793" width="10.5" style="35" bestFit="1" customWidth="1"/>
    <col min="1794" max="1794" width="19.125" style="35" bestFit="1" customWidth="1"/>
    <col min="1795" max="1795" width="9.5" style="35" bestFit="1" customWidth="1"/>
    <col min="1796" max="1796" width="16.75" style="35" bestFit="1" customWidth="1"/>
    <col min="1797" max="1797" width="15.5" style="35" bestFit="1" customWidth="1"/>
    <col min="1798" max="1798" width="18" style="35" bestFit="1" customWidth="1"/>
    <col min="1799" max="1799" width="8.875" style="35" bestFit="1" customWidth="1"/>
    <col min="1800" max="1800" width="16.75" style="35" bestFit="1" customWidth="1"/>
    <col min="1801" max="1801" width="19.875" style="35" bestFit="1" customWidth="1"/>
    <col min="1802" max="1802" width="10.25" style="35" bestFit="1" customWidth="1"/>
    <col min="1803" max="1803" width="22.125" style="35" bestFit="1" customWidth="1"/>
    <col min="1804" max="1804" width="17.625" style="35" bestFit="1" customWidth="1"/>
    <col min="1805" max="1805" width="10.5" style="35" bestFit="1" customWidth="1"/>
    <col min="1806" max="1806" width="15.625" style="35" bestFit="1" customWidth="1"/>
    <col min="1807" max="1807" width="10.5" style="35" bestFit="1" customWidth="1"/>
    <col min="1808" max="1808" width="14.875" style="35" bestFit="1" customWidth="1"/>
    <col min="1809" max="1809" width="10.5" style="35" bestFit="1" customWidth="1"/>
    <col min="1810" max="1810" width="25" style="35" bestFit="1" customWidth="1"/>
    <col min="1811" max="1811" width="12.5" style="35" bestFit="1" customWidth="1"/>
    <col min="1812" max="1812" width="20.625" style="35" bestFit="1" customWidth="1"/>
    <col min="1813" max="1813" width="13.375" style="35" bestFit="1" customWidth="1"/>
    <col min="1814" max="1814" width="13.125" style="35" bestFit="1" customWidth="1"/>
    <col min="1815" max="1815" width="17.375" style="35" bestFit="1" customWidth="1"/>
    <col min="1816" max="1816" width="8.625" style="35" bestFit="1" customWidth="1"/>
    <col min="1817" max="1817" width="16.125" style="35" bestFit="1" customWidth="1"/>
    <col min="1818" max="1818" width="21.5" style="35" bestFit="1" customWidth="1"/>
    <col min="1819" max="1819" width="18.5" style="35" bestFit="1" customWidth="1"/>
    <col min="1820" max="1820" width="18.875" style="35" bestFit="1" customWidth="1"/>
    <col min="1821" max="1821" width="20.625" style="35" bestFit="1" customWidth="1"/>
    <col min="1822" max="1822" width="25.25" style="35" bestFit="1" customWidth="1"/>
    <col min="1823" max="1823" width="23.625" style="35" bestFit="1" customWidth="1"/>
    <col min="1824" max="1824" width="22.625" style="35" bestFit="1" customWidth="1"/>
    <col min="1825" max="1825" width="10.5" style="35" bestFit="1" customWidth="1"/>
    <col min="1826" max="1826" width="18.5" style="35" bestFit="1" customWidth="1"/>
    <col min="1827" max="1827" width="14.625" style="35" bestFit="1" customWidth="1"/>
    <col min="1828" max="1828" width="15.625" style="35" bestFit="1" customWidth="1"/>
    <col min="1829" max="1829" width="16.375" style="35" bestFit="1" customWidth="1"/>
    <col min="1830" max="1831" width="10.5" style="35" bestFit="1" customWidth="1"/>
    <col min="1832" max="1832" width="19.375" style="35" bestFit="1" customWidth="1"/>
    <col min="1833" max="1833" width="13.875" style="35" bestFit="1" customWidth="1"/>
    <col min="1834" max="1835" width="10.5" style="35" bestFit="1" customWidth="1"/>
    <col min="1836" max="1836" width="15.875" style="35" bestFit="1" customWidth="1"/>
    <col min="1837" max="1837" width="16.625" style="35" bestFit="1" customWidth="1"/>
    <col min="1838" max="1838" width="16.75" style="35" bestFit="1" customWidth="1"/>
    <col min="1839" max="1839" width="16.25" style="35" bestFit="1" customWidth="1"/>
    <col min="1840" max="1840" width="13.125" style="35" bestFit="1" customWidth="1"/>
    <col min="1841" max="1841" width="15.625" style="35" bestFit="1" customWidth="1"/>
    <col min="1842" max="1842" width="23.375" style="35" bestFit="1" customWidth="1"/>
    <col min="1843" max="1843" width="15.125" style="35" bestFit="1" customWidth="1"/>
    <col min="1844" max="1844" width="19.875" style="35" bestFit="1" customWidth="1"/>
    <col min="1845" max="1845" width="12.5" style="35" bestFit="1" customWidth="1"/>
    <col min="1846" max="1846" width="10.5" style="35" bestFit="1" customWidth="1"/>
    <col min="1847" max="1847" width="18" style="35" bestFit="1" customWidth="1"/>
    <col min="1848" max="1848" width="17.125" style="35" bestFit="1" customWidth="1"/>
    <col min="1849" max="1849" width="20.625" style="35" bestFit="1" customWidth="1"/>
    <col min="1850" max="1850" width="10.5" style="35" bestFit="1" customWidth="1"/>
    <col min="1851" max="1851" width="16.5" style="35" bestFit="1" customWidth="1"/>
    <col min="1852" max="1852" width="16.875" style="35" bestFit="1" customWidth="1"/>
    <col min="1853" max="1853" width="18.125" style="35" bestFit="1" customWidth="1"/>
    <col min="1854" max="1854" width="17" style="35" bestFit="1" customWidth="1"/>
    <col min="1855" max="1855" width="16.375" style="35" bestFit="1" customWidth="1"/>
    <col min="1856" max="1856" width="17" style="35" bestFit="1" customWidth="1"/>
    <col min="1857" max="1857" width="16.375" style="35" bestFit="1" customWidth="1"/>
    <col min="1858" max="1858" width="11.625" style="35" bestFit="1" customWidth="1"/>
    <col min="1859" max="1859" width="20.25" style="35" bestFit="1" customWidth="1"/>
    <col min="1860" max="1860" width="16" style="35" bestFit="1" customWidth="1"/>
    <col min="1861" max="1861" width="14.875" style="35" bestFit="1" customWidth="1"/>
    <col min="1862" max="1862" width="10.5" style="35" bestFit="1" customWidth="1"/>
    <col min="1863" max="1863" width="16" style="35" bestFit="1" customWidth="1"/>
    <col min="1864" max="1864" width="16.875" style="35" bestFit="1" customWidth="1"/>
    <col min="1865" max="1865" width="13.5" style="35" bestFit="1" customWidth="1"/>
    <col min="1866" max="1866" width="12" style="35" bestFit="1" customWidth="1"/>
    <col min="1867" max="1867" width="10.75" style="35" bestFit="1" customWidth="1"/>
    <col min="1868" max="1868" width="13.5" style="35" bestFit="1" customWidth="1"/>
    <col min="1869" max="1869" width="10.5" style="35" bestFit="1" customWidth="1"/>
    <col min="1870" max="1870" width="17" style="35" bestFit="1" customWidth="1"/>
    <col min="1871" max="1871" width="13" style="35" bestFit="1" customWidth="1"/>
    <col min="1872" max="1872" width="10.5" style="35" bestFit="1" customWidth="1"/>
    <col min="1873" max="1873" width="13.125" style="35" bestFit="1" customWidth="1"/>
    <col min="1874" max="1874" width="14.375" style="35" bestFit="1" customWidth="1"/>
    <col min="1875" max="1875" width="10.5" style="35" bestFit="1" customWidth="1"/>
    <col min="1876" max="1876" width="8.625" style="35" bestFit="1" customWidth="1"/>
    <col min="1877" max="1877" width="14.125" style="35" bestFit="1" customWidth="1"/>
    <col min="1878" max="1878" width="10.5" style="35" bestFit="1" customWidth="1"/>
    <col min="1879" max="1879" width="16.125" style="35" bestFit="1" customWidth="1"/>
    <col min="1880" max="1880" width="15.5" style="35" bestFit="1" customWidth="1"/>
    <col min="1881" max="1881" width="16.25" style="35" bestFit="1" customWidth="1"/>
    <col min="1882" max="1882" width="19.125" style="35" bestFit="1" customWidth="1"/>
    <col min="1883" max="1883" width="12" style="35" bestFit="1" customWidth="1"/>
    <col min="1884" max="1884" width="12.625" style="35" bestFit="1" customWidth="1"/>
    <col min="1885" max="1885" width="17.125" style="35" bestFit="1" customWidth="1"/>
    <col min="1886" max="1886" width="22.625" style="35" bestFit="1" customWidth="1"/>
    <col min="1887" max="1887" width="15.5" style="35" bestFit="1" customWidth="1"/>
    <col min="1888" max="1888" width="12.5" style="35" bestFit="1" customWidth="1"/>
    <col min="1889" max="1889" width="12.125" style="35" bestFit="1" customWidth="1"/>
    <col min="1890" max="1890" width="17.625" style="35" bestFit="1" customWidth="1"/>
    <col min="1891" max="1891" width="23.375" style="35" bestFit="1" customWidth="1"/>
    <col min="1892" max="1893" width="10.5" style="35" bestFit="1" customWidth="1"/>
    <col min="1894" max="1894" width="17.875" style="35" bestFit="1" customWidth="1"/>
    <col min="1895" max="1895" width="10.5" style="35" bestFit="1" customWidth="1"/>
    <col min="1896" max="1896" width="21.75" style="35" bestFit="1" customWidth="1"/>
    <col min="1897" max="1897" width="11" style="35" bestFit="1" customWidth="1"/>
    <col min="1898" max="1898" width="10.5" style="35" bestFit="1" customWidth="1"/>
    <col min="1899" max="1899" width="11.5" style="35" bestFit="1" customWidth="1"/>
    <col min="1900" max="1900" width="7.125" style="35" bestFit="1" customWidth="1"/>
    <col min="1901" max="1901" width="17.125" style="35" bestFit="1" customWidth="1"/>
    <col min="1902" max="1902" width="16.375" style="35" bestFit="1" customWidth="1"/>
    <col min="1903" max="1904" width="10.5" style="35" bestFit="1" customWidth="1"/>
    <col min="1905" max="1905" width="21.125" style="35" bestFit="1" customWidth="1"/>
    <col min="1906" max="1906" width="21.625" style="35" bestFit="1" customWidth="1"/>
    <col min="1907" max="1907" width="13.125" style="35" bestFit="1" customWidth="1"/>
    <col min="1908" max="1908" width="11.75" style="35" bestFit="1" customWidth="1"/>
    <col min="1909" max="1909" width="18.25" style="35" bestFit="1" customWidth="1"/>
    <col min="1910" max="1910" width="23.125" style="35" bestFit="1" customWidth="1"/>
    <col min="1911" max="1911" width="19.75" style="35" bestFit="1" customWidth="1"/>
    <col min="1912" max="1912" width="18.125" style="35" bestFit="1" customWidth="1"/>
    <col min="1913" max="1913" width="18.25" style="35" bestFit="1" customWidth="1"/>
    <col min="1914" max="1914" width="19.125" style="35" bestFit="1" customWidth="1"/>
    <col min="1915" max="1915" width="18.75" style="35" bestFit="1" customWidth="1"/>
    <col min="1916" max="1916" width="18.125" style="35" bestFit="1" customWidth="1"/>
    <col min="1917" max="1917" width="19.25" style="35" bestFit="1" customWidth="1"/>
    <col min="1918" max="1918" width="21.25" style="35" bestFit="1" customWidth="1"/>
    <col min="1919" max="1919" width="19.5" style="35" bestFit="1" customWidth="1"/>
    <col min="1920" max="1920" width="23.375" style="35" bestFit="1" customWidth="1"/>
    <col min="1921" max="1921" width="11" style="35" bestFit="1" customWidth="1"/>
    <col min="1922" max="1922" width="11.125" style="35" bestFit="1" customWidth="1"/>
    <col min="1923" max="1924" width="10.5" style="35" bestFit="1" customWidth="1"/>
    <col min="1925" max="1925" width="18.875" style="35" bestFit="1" customWidth="1"/>
    <col min="1926" max="1926" width="10.75" style="35" bestFit="1" customWidth="1"/>
    <col min="1927" max="1927" width="22.375" style="35" bestFit="1" customWidth="1"/>
    <col min="1928" max="1928" width="11" style="35" bestFit="1" customWidth="1"/>
    <col min="1929" max="1929" width="23.875" style="35" bestFit="1" customWidth="1"/>
    <col min="1930" max="1930" width="14.625" style="35" bestFit="1" customWidth="1"/>
    <col min="1931" max="1931" width="14.5" style="35" bestFit="1" customWidth="1"/>
    <col min="1932" max="1932" width="19.25" style="35" bestFit="1" customWidth="1"/>
    <col min="1933" max="1933" width="16.625" style="35" bestFit="1" customWidth="1"/>
    <col min="1934" max="1934" width="17.375" style="35" bestFit="1" customWidth="1"/>
    <col min="1935" max="1935" width="21.875" style="35" bestFit="1" customWidth="1"/>
    <col min="1936" max="1936" width="19.5" style="35" bestFit="1" customWidth="1"/>
    <col min="1937" max="1937" width="24.125" style="35" bestFit="1" customWidth="1"/>
    <col min="1938" max="1938" width="20.125" style="35" bestFit="1" customWidth="1"/>
    <col min="1939" max="1939" width="18" style="35" bestFit="1" customWidth="1"/>
    <col min="1940" max="1940" width="13" style="35" bestFit="1" customWidth="1"/>
    <col min="1941" max="1941" width="10.5" style="35" bestFit="1" customWidth="1"/>
    <col min="1942" max="1942" width="23.375" style="35" bestFit="1" customWidth="1"/>
    <col min="1943" max="1943" width="23" style="35" bestFit="1" customWidth="1"/>
    <col min="1944" max="1944" width="18.25" style="35" bestFit="1" customWidth="1"/>
    <col min="1945" max="1945" width="22.5" style="35" bestFit="1" customWidth="1"/>
    <col min="1946" max="1946" width="14.25" style="35" bestFit="1" customWidth="1"/>
    <col min="1947" max="1947" width="15.875" style="35" bestFit="1" customWidth="1"/>
    <col min="1948" max="1948" width="10.5" style="35" bestFit="1" customWidth="1"/>
    <col min="1949" max="1949" width="19" style="35" bestFit="1" customWidth="1"/>
    <col min="1950" max="1950" width="10.5" style="35" bestFit="1" customWidth="1"/>
    <col min="1951" max="1951" width="17.75" style="35" bestFit="1" customWidth="1"/>
    <col min="1952" max="1952" width="17.125" style="35" bestFit="1" customWidth="1"/>
    <col min="1953" max="1953" width="15.375" style="35" bestFit="1" customWidth="1"/>
    <col min="1954" max="1954" width="18.875" style="35" bestFit="1" customWidth="1"/>
    <col min="1955" max="1955" width="19.5" style="35" bestFit="1" customWidth="1"/>
    <col min="1956" max="1956" width="12.25" style="35" bestFit="1" customWidth="1"/>
    <col min="1957" max="1957" width="25.375" style="35" bestFit="1" customWidth="1"/>
    <col min="1958" max="1958" width="16.375" style="35" bestFit="1" customWidth="1"/>
    <col min="1959" max="1959" width="10.625" style="35" bestFit="1" customWidth="1"/>
    <col min="1960" max="1960" width="17.625" style="35" bestFit="1" customWidth="1"/>
    <col min="1961" max="1961" width="20.25" style="35" bestFit="1" customWidth="1"/>
    <col min="1962" max="1962" width="13.5" style="35" bestFit="1" customWidth="1"/>
    <col min="1963" max="1963" width="10.5" style="35" bestFit="1" customWidth="1"/>
    <col min="1964" max="1964" width="20.875" style="35" bestFit="1" customWidth="1"/>
    <col min="1965" max="1965" width="10.5" style="35" bestFit="1" customWidth="1"/>
    <col min="1966" max="1966" width="14" style="35" bestFit="1" customWidth="1"/>
    <col min="1967" max="1967" width="10.5" style="35" bestFit="1" customWidth="1"/>
    <col min="1968" max="1968" width="13.375" style="35" bestFit="1" customWidth="1"/>
    <col min="1969" max="1969" width="13.75" style="35" bestFit="1" customWidth="1"/>
    <col min="1970" max="1970" width="13.125" style="35" bestFit="1" customWidth="1"/>
    <col min="1971" max="1971" width="11.625" style="35" bestFit="1" customWidth="1"/>
    <col min="1972" max="1972" width="23.75" style="35" bestFit="1" customWidth="1"/>
    <col min="1973" max="1973" width="25.75" style="35" bestFit="1" customWidth="1"/>
    <col min="1974" max="1974" width="23.25" style="35" bestFit="1" customWidth="1"/>
    <col min="1975" max="1975" width="19.5" style="35" bestFit="1" customWidth="1"/>
    <col min="1976" max="1976" width="20" style="35" bestFit="1" customWidth="1"/>
    <col min="1977" max="1977" width="12.375" style="35" bestFit="1" customWidth="1"/>
    <col min="1978" max="1978" width="12.125" style="35" bestFit="1" customWidth="1"/>
    <col min="1979" max="1979" width="24.125" style="35" bestFit="1" customWidth="1"/>
    <col min="1980" max="1980" width="16.25" style="35" bestFit="1" customWidth="1"/>
    <col min="1981" max="1981" width="17.75" style="35" bestFit="1" customWidth="1"/>
    <col min="1982" max="1982" width="13.5" style="35" bestFit="1" customWidth="1"/>
    <col min="1983" max="1983" width="12.875" style="35" bestFit="1" customWidth="1"/>
    <col min="1984" max="1984" width="9" style="35"/>
    <col min="1985" max="1985" width="10.5" style="35" bestFit="1" customWidth="1"/>
    <col min="1986" max="1986" width="13.375" style="35" bestFit="1" customWidth="1"/>
    <col min="1987" max="1987" width="22.625" style="35" bestFit="1" customWidth="1"/>
    <col min="1988" max="1988" width="16.75" style="35" bestFit="1" customWidth="1"/>
    <col min="1989" max="1989" width="18.125" style="35" bestFit="1" customWidth="1"/>
    <col min="1990" max="1990" width="9.5" style="35" bestFit="1" customWidth="1"/>
    <col min="1991" max="1991" width="15.625" style="35" bestFit="1" customWidth="1"/>
    <col min="1992" max="1992" width="10.5" style="35" bestFit="1" customWidth="1"/>
    <col min="1993" max="1993" width="10.75" style="35" bestFit="1" customWidth="1"/>
    <col min="1994" max="1994" width="10.5" style="35" bestFit="1" customWidth="1"/>
    <col min="1995" max="1995" width="12.75" style="35" bestFit="1" customWidth="1"/>
    <col min="1996" max="1997" width="10.5" style="35" bestFit="1" customWidth="1"/>
    <col min="1998" max="1998" width="6.375" style="35" bestFit="1" customWidth="1"/>
    <col min="1999" max="1999" width="11.625" style="35" bestFit="1" customWidth="1"/>
    <col min="2000" max="2000" width="14" style="35" bestFit="1" customWidth="1"/>
    <col min="2001" max="2001" width="16.75" style="35" bestFit="1" customWidth="1"/>
    <col min="2002" max="2002" width="17.375" style="35" bestFit="1" customWidth="1"/>
    <col min="2003" max="2003" width="10.5" style="35" bestFit="1" customWidth="1"/>
    <col min="2004" max="2004" width="16.375" style="35" bestFit="1" customWidth="1"/>
    <col min="2005" max="2005" width="19.75" style="35" bestFit="1" customWidth="1"/>
    <col min="2006" max="2006" width="16.5" style="35" bestFit="1" customWidth="1"/>
    <col min="2007" max="2007" width="14.75" style="35" bestFit="1" customWidth="1"/>
    <col min="2008" max="2008" width="12" style="35" bestFit="1" customWidth="1"/>
    <col min="2009" max="2009" width="14" style="35" bestFit="1" customWidth="1"/>
    <col min="2010" max="2010" width="17.625" style="35" bestFit="1" customWidth="1"/>
    <col min="2011" max="2011" width="18.5" style="35" bestFit="1" customWidth="1"/>
    <col min="2012" max="2012" width="24.125" style="35" bestFit="1" customWidth="1"/>
    <col min="2013" max="2013" width="11.75" style="35" bestFit="1" customWidth="1"/>
    <col min="2014" max="2014" width="10.5" style="35" bestFit="1" customWidth="1"/>
    <col min="2015" max="2015" width="22.125" style="35" bestFit="1" customWidth="1"/>
    <col min="2016" max="2016" width="18.5" style="35" bestFit="1" customWidth="1"/>
    <col min="2017" max="2017" width="15.875" style="35" bestFit="1" customWidth="1"/>
    <col min="2018" max="2018" width="17.5" style="35" bestFit="1" customWidth="1"/>
    <col min="2019" max="2019" width="10.5" style="35" bestFit="1" customWidth="1"/>
    <col min="2020" max="2020" width="19.125" style="35" bestFit="1" customWidth="1"/>
    <col min="2021" max="2021" width="10.5" style="35" bestFit="1" customWidth="1"/>
    <col min="2022" max="2022" width="16.75" style="35" bestFit="1" customWidth="1"/>
    <col min="2023" max="2023" width="15.5" style="35" bestFit="1" customWidth="1"/>
    <col min="2024" max="2024" width="18" style="35" bestFit="1" customWidth="1"/>
    <col min="2025" max="2025" width="8.875" style="35" bestFit="1" customWidth="1"/>
    <col min="2026" max="2026" width="16.75" style="35" bestFit="1" customWidth="1"/>
    <col min="2027" max="2027" width="19.875" style="35" bestFit="1" customWidth="1"/>
    <col min="2028" max="2028" width="10.5" style="35" bestFit="1" customWidth="1"/>
    <col min="2029" max="2029" width="22.125" style="35" bestFit="1" customWidth="1"/>
    <col min="2030" max="2030" width="17.625" style="35" bestFit="1" customWidth="1"/>
    <col min="2031" max="2031" width="10.5" style="35" bestFit="1" customWidth="1"/>
    <col min="2032" max="2032" width="15.625" style="35" bestFit="1" customWidth="1"/>
    <col min="2033" max="2033" width="10.5" style="35" bestFit="1" customWidth="1"/>
    <col min="2034" max="2034" width="14.875" style="35" bestFit="1" customWidth="1"/>
    <col min="2035" max="2035" width="10.5" style="35" bestFit="1" customWidth="1"/>
    <col min="2036" max="2036" width="25" style="35" bestFit="1" customWidth="1"/>
    <col min="2037" max="2037" width="12.5" style="35" bestFit="1" customWidth="1"/>
    <col min="2038" max="2038" width="20.625" style="35" bestFit="1" customWidth="1"/>
    <col min="2039" max="2039" width="13.375" style="35" bestFit="1" customWidth="1"/>
    <col min="2040" max="2040" width="13.125" style="35" bestFit="1" customWidth="1"/>
    <col min="2041" max="2041" width="17.375" style="35" bestFit="1" customWidth="1"/>
    <col min="2042" max="2042" width="8.625" style="35" bestFit="1" customWidth="1"/>
    <col min="2043" max="2043" width="16.125" style="35" bestFit="1" customWidth="1"/>
    <col min="2044" max="2044" width="21.5" style="35" bestFit="1" customWidth="1"/>
    <col min="2045" max="2045" width="18.5" style="35" bestFit="1" customWidth="1"/>
    <col min="2046" max="2046" width="18.875" style="35" bestFit="1" customWidth="1"/>
    <col min="2047" max="2047" width="20.625" style="35" bestFit="1" customWidth="1"/>
    <col min="2048" max="2048" width="25.25" style="35" bestFit="1" customWidth="1"/>
    <col min="2049" max="2049" width="23.625" style="35" bestFit="1" customWidth="1"/>
    <col min="2050" max="2050" width="22.625" style="35" bestFit="1" customWidth="1"/>
    <col min="2051" max="2051" width="10.5" style="35" bestFit="1" customWidth="1"/>
    <col min="2052" max="2052" width="18.5" style="35" bestFit="1" customWidth="1"/>
    <col min="2053" max="2053" width="14.625" style="35" bestFit="1" customWidth="1"/>
    <col min="2054" max="2054" width="15.625" style="35" bestFit="1" customWidth="1"/>
    <col min="2055" max="2055" width="16.375" style="35" bestFit="1" customWidth="1"/>
    <col min="2056" max="2057" width="10.5" style="35" bestFit="1" customWidth="1"/>
    <col min="2058" max="2058" width="19.375" style="35" bestFit="1" customWidth="1"/>
    <col min="2059" max="2059" width="13.875" style="35" bestFit="1" customWidth="1"/>
    <col min="2060" max="2061" width="10.5" style="35" bestFit="1" customWidth="1"/>
    <col min="2062" max="2062" width="15.875" style="35" bestFit="1" customWidth="1"/>
    <col min="2063" max="2063" width="16.625" style="35" bestFit="1" customWidth="1"/>
    <col min="2064" max="2064" width="16.75" style="35" bestFit="1" customWidth="1"/>
    <col min="2065" max="2065" width="16.25" style="35" bestFit="1" customWidth="1"/>
    <col min="2066" max="2066" width="13.125" style="35" bestFit="1" customWidth="1"/>
    <col min="2067" max="2067" width="15.625" style="35" bestFit="1" customWidth="1"/>
    <col min="2068" max="2068" width="23.375" style="35" bestFit="1" customWidth="1"/>
    <col min="2069" max="2069" width="15.125" style="35" bestFit="1" customWidth="1"/>
    <col min="2070" max="2070" width="19.875" style="35" bestFit="1" customWidth="1"/>
    <col min="2071" max="2071" width="12.5" style="35" bestFit="1" customWidth="1"/>
    <col min="2072" max="2072" width="10.5" style="35" bestFit="1" customWidth="1"/>
    <col min="2073" max="2073" width="18" style="35" bestFit="1" customWidth="1"/>
    <col min="2074" max="2074" width="17.125" style="35" bestFit="1" customWidth="1"/>
    <col min="2075" max="2075" width="20.625" style="35" bestFit="1" customWidth="1"/>
    <col min="2076" max="2076" width="10.5" style="35" bestFit="1" customWidth="1"/>
    <col min="2077" max="2077" width="16.5" style="35" bestFit="1" customWidth="1"/>
    <col min="2078" max="2078" width="16.875" style="35" bestFit="1" customWidth="1"/>
    <col min="2079" max="2079" width="18.125" style="35" bestFit="1" customWidth="1"/>
    <col min="2080" max="2080" width="17" style="35" bestFit="1" customWidth="1"/>
    <col min="2081" max="2081" width="16.375" style="35" bestFit="1" customWidth="1"/>
    <col min="2082" max="2082" width="17" style="35" bestFit="1" customWidth="1"/>
    <col min="2083" max="2083" width="16.375" style="35" bestFit="1" customWidth="1"/>
    <col min="2084" max="2084" width="11.625" style="35" bestFit="1" customWidth="1"/>
    <col min="2085" max="2085" width="20.25" style="35" bestFit="1" customWidth="1"/>
    <col min="2086" max="2086" width="16" style="35" bestFit="1" customWidth="1"/>
    <col min="2087" max="2087" width="14.875" style="35" bestFit="1" customWidth="1"/>
    <col min="2088" max="2088" width="10.5" style="35" bestFit="1" customWidth="1"/>
    <col min="2089" max="2089" width="16" style="35" bestFit="1" customWidth="1"/>
    <col min="2090" max="2090" width="16.875" style="35" bestFit="1" customWidth="1"/>
    <col min="2091" max="2091" width="13.5" style="35" bestFit="1" customWidth="1"/>
    <col min="2092" max="2092" width="12" style="35" bestFit="1" customWidth="1"/>
    <col min="2093" max="2093" width="10.75" style="35" bestFit="1" customWidth="1"/>
    <col min="2094" max="2094" width="13.5" style="35" bestFit="1" customWidth="1"/>
    <col min="2095" max="2095" width="10.5" style="35" bestFit="1" customWidth="1"/>
    <col min="2096" max="2096" width="17" style="35" bestFit="1" customWidth="1"/>
    <col min="2097" max="2097" width="13" style="35" bestFit="1" customWidth="1"/>
    <col min="2098" max="2098" width="10.5" style="35" bestFit="1" customWidth="1"/>
    <col min="2099" max="2099" width="13.125" style="35" bestFit="1" customWidth="1"/>
    <col min="2100" max="2100" width="14.375" style="35" bestFit="1" customWidth="1"/>
    <col min="2101" max="2101" width="10.5" style="35" bestFit="1" customWidth="1"/>
    <col min="2102" max="2102" width="8.625" style="35" bestFit="1" customWidth="1"/>
    <col min="2103" max="2103" width="14.125" style="35" bestFit="1" customWidth="1"/>
    <col min="2104" max="2104" width="10.5" style="35" bestFit="1" customWidth="1"/>
    <col min="2105" max="2105" width="16.125" style="35" bestFit="1" customWidth="1"/>
    <col min="2106" max="2106" width="15.5" style="35" bestFit="1" customWidth="1"/>
    <col min="2107" max="2107" width="16.25" style="35" bestFit="1" customWidth="1"/>
    <col min="2108" max="2108" width="19.125" style="35" bestFit="1" customWidth="1"/>
    <col min="2109" max="2109" width="12" style="35" bestFit="1" customWidth="1"/>
    <col min="2110" max="2110" width="12.625" style="35" bestFit="1" customWidth="1"/>
    <col min="2111" max="2111" width="17.125" style="35" bestFit="1" customWidth="1"/>
    <col min="2112" max="2112" width="22.625" style="35" bestFit="1" customWidth="1"/>
    <col min="2113" max="2113" width="15.5" style="35" bestFit="1" customWidth="1"/>
    <col min="2114" max="2114" width="12.5" style="35" bestFit="1" customWidth="1"/>
    <col min="2115" max="2115" width="12.125" style="35" bestFit="1" customWidth="1"/>
    <col min="2116" max="2116" width="17.625" style="35" bestFit="1" customWidth="1"/>
    <col min="2117" max="2117" width="23.375" style="35" bestFit="1" customWidth="1"/>
    <col min="2118" max="2119" width="10.5" style="35" bestFit="1" customWidth="1"/>
    <col min="2120" max="2120" width="17.875" style="35" bestFit="1" customWidth="1"/>
    <col min="2121" max="2121" width="10.5" style="35" bestFit="1" customWidth="1"/>
    <col min="2122" max="2122" width="21.75" style="35" bestFit="1" customWidth="1"/>
    <col min="2123" max="2123" width="11" style="35" bestFit="1" customWidth="1"/>
    <col min="2124" max="2124" width="10.5" style="35" bestFit="1" customWidth="1"/>
    <col min="2125" max="2125" width="11.5" style="35" bestFit="1" customWidth="1"/>
    <col min="2126" max="2126" width="7.125" style="35" bestFit="1" customWidth="1"/>
    <col min="2127" max="2127" width="17.125" style="35" bestFit="1" customWidth="1"/>
    <col min="2128" max="2128" width="16.375" style="35" bestFit="1" customWidth="1"/>
    <col min="2129" max="2130" width="10.5" style="35" bestFit="1" customWidth="1"/>
    <col min="2131" max="2131" width="21.125" style="35" bestFit="1" customWidth="1"/>
    <col min="2132" max="2132" width="21.625" style="35" bestFit="1" customWidth="1"/>
    <col min="2133" max="2133" width="13.125" style="35" bestFit="1" customWidth="1"/>
    <col min="2134" max="2134" width="11.75" style="35" bestFit="1" customWidth="1"/>
    <col min="2135" max="2135" width="18.25" style="35" bestFit="1" customWidth="1"/>
    <col min="2136" max="2136" width="23.125" style="35" bestFit="1" customWidth="1"/>
    <col min="2137" max="2137" width="19.75" style="35" bestFit="1" customWidth="1"/>
    <col min="2138" max="2138" width="18.125" style="35" bestFit="1" customWidth="1"/>
    <col min="2139" max="2139" width="18.25" style="35" bestFit="1" customWidth="1"/>
    <col min="2140" max="2140" width="19.125" style="35" bestFit="1" customWidth="1"/>
    <col min="2141" max="2141" width="18.75" style="35" bestFit="1" customWidth="1"/>
    <col min="2142" max="2142" width="18.125" style="35" bestFit="1" customWidth="1"/>
    <col min="2143" max="2143" width="19.25" style="35" bestFit="1" customWidth="1"/>
    <col min="2144" max="2144" width="21.25" style="35" bestFit="1" customWidth="1"/>
    <col min="2145" max="2145" width="19.5" style="35" bestFit="1" customWidth="1"/>
    <col min="2146" max="2146" width="23.375" style="35" bestFit="1" customWidth="1"/>
    <col min="2147" max="2147" width="11" style="35" bestFit="1" customWidth="1"/>
    <col min="2148" max="2148" width="11.125" style="35" bestFit="1" customWidth="1"/>
    <col min="2149" max="2150" width="10.5" style="35" bestFit="1" customWidth="1"/>
    <col min="2151" max="2151" width="18.875" style="35" bestFit="1" customWidth="1"/>
    <col min="2152" max="2152" width="10.75" style="35" bestFit="1" customWidth="1"/>
    <col min="2153" max="2153" width="22.375" style="35" bestFit="1" customWidth="1"/>
    <col min="2154" max="2154" width="11" style="35" bestFit="1" customWidth="1"/>
    <col min="2155" max="2155" width="23.875" style="35" bestFit="1" customWidth="1"/>
    <col min="2156" max="2156" width="14.625" style="35" bestFit="1" customWidth="1"/>
    <col min="2157" max="2157" width="14.5" style="35" bestFit="1" customWidth="1"/>
    <col min="2158" max="2158" width="19.25" style="35" bestFit="1" customWidth="1"/>
    <col min="2159" max="2159" width="16.625" style="35" bestFit="1" customWidth="1"/>
    <col min="2160" max="2160" width="17.375" style="35" bestFit="1" customWidth="1"/>
    <col min="2161" max="2161" width="21.875" style="35" bestFit="1" customWidth="1"/>
    <col min="2162" max="2162" width="19.5" style="35" bestFit="1" customWidth="1"/>
    <col min="2163" max="2163" width="24.125" style="35" bestFit="1" customWidth="1"/>
    <col min="2164" max="2164" width="20.125" style="35" bestFit="1" customWidth="1"/>
    <col min="2165" max="2165" width="18" style="35" bestFit="1" customWidth="1"/>
    <col min="2166" max="2166" width="13" style="35" bestFit="1" customWidth="1"/>
    <col min="2167" max="2167" width="10.5" style="35" bestFit="1" customWidth="1"/>
    <col min="2168" max="2168" width="23.375" style="35" bestFit="1" customWidth="1"/>
    <col min="2169" max="2169" width="23" style="35" bestFit="1" customWidth="1"/>
    <col min="2170" max="2170" width="18.25" style="35" bestFit="1" customWidth="1"/>
    <col min="2171" max="2171" width="22.5" style="35" bestFit="1" customWidth="1"/>
    <col min="2172" max="2172" width="14.25" style="35" bestFit="1" customWidth="1"/>
    <col min="2173" max="2173" width="15.875" style="35" bestFit="1" customWidth="1"/>
    <col min="2174" max="2174" width="10.5" style="35" bestFit="1" customWidth="1"/>
    <col min="2175" max="2175" width="19" style="35" bestFit="1" customWidth="1"/>
    <col min="2176" max="2176" width="10.5" style="35" bestFit="1" customWidth="1"/>
    <col min="2177" max="2177" width="17.75" style="35" bestFit="1" customWidth="1"/>
    <col min="2178" max="2178" width="17.125" style="35" bestFit="1" customWidth="1"/>
    <col min="2179" max="2179" width="15.375" style="35" bestFit="1" customWidth="1"/>
    <col min="2180" max="2180" width="18.875" style="35" bestFit="1" customWidth="1"/>
    <col min="2181" max="2181" width="19.5" style="35" bestFit="1" customWidth="1"/>
    <col min="2182" max="2182" width="12.25" style="35" bestFit="1" customWidth="1"/>
    <col min="2183" max="2183" width="25.375" style="35" bestFit="1" customWidth="1"/>
    <col min="2184" max="2184" width="16.375" style="35" bestFit="1" customWidth="1"/>
    <col min="2185" max="2185" width="10.625" style="35" bestFit="1" customWidth="1"/>
    <col min="2186" max="2186" width="17.625" style="35" bestFit="1" customWidth="1"/>
    <col min="2187" max="2187" width="20.25" style="35" bestFit="1" customWidth="1"/>
    <col min="2188" max="2188" width="13.5" style="35" bestFit="1" customWidth="1"/>
    <col min="2189" max="2189" width="10.5" style="35" bestFit="1" customWidth="1"/>
    <col min="2190" max="2190" width="20.875" style="35" bestFit="1" customWidth="1"/>
    <col min="2191" max="2191" width="10.5" style="35" bestFit="1" customWidth="1"/>
    <col min="2192" max="2192" width="14" style="35" bestFit="1" customWidth="1"/>
    <col min="2193" max="2193" width="10.5" style="35" bestFit="1" customWidth="1"/>
    <col min="2194" max="2194" width="13.375" style="35" bestFit="1" customWidth="1"/>
    <col min="2195" max="2195" width="13.75" style="35" bestFit="1" customWidth="1"/>
    <col min="2196" max="2196" width="13.125" style="35" bestFit="1" customWidth="1"/>
    <col min="2197" max="2197" width="11.625" style="35" bestFit="1" customWidth="1"/>
    <col min="2198" max="2198" width="23.75" style="35" bestFit="1" customWidth="1"/>
    <col min="2199" max="2199" width="25.75" style="35" bestFit="1" customWidth="1"/>
    <col min="2200" max="2200" width="23.25" style="35" bestFit="1" customWidth="1"/>
    <col min="2201" max="2201" width="19.5" style="35" bestFit="1" customWidth="1"/>
    <col min="2202" max="2202" width="20" style="35" bestFit="1" customWidth="1"/>
    <col min="2203" max="2203" width="12.375" style="35" bestFit="1" customWidth="1"/>
    <col min="2204" max="2204" width="12.125" style="35" bestFit="1" customWidth="1"/>
    <col min="2205" max="2205" width="24.125" style="35" bestFit="1" customWidth="1"/>
    <col min="2206" max="2206" width="16.25" style="35" bestFit="1" customWidth="1"/>
    <col min="2207" max="2207" width="17.75" style="35" bestFit="1" customWidth="1"/>
    <col min="2208" max="2208" width="13.5" style="35" bestFit="1" customWidth="1"/>
    <col min="2209" max="2209" width="12.875" style="35" bestFit="1" customWidth="1"/>
    <col min="2210" max="2210" width="9" style="35"/>
    <col min="2211" max="2211" width="10.5" style="35" bestFit="1" customWidth="1"/>
    <col min="2212" max="2212" width="13.375" style="35" bestFit="1" customWidth="1"/>
    <col min="2213" max="2213" width="22.625" style="35" bestFit="1" customWidth="1"/>
    <col min="2214" max="2214" width="16.75" style="35" bestFit="1" customWidth="1"/>
    <col min="2215" max="2215" width="18.125" style="35" bestFit="1" customWidth="1"/>
    <col min="2216" max="2216" width="9.5" style="35" bestFit="1" customWidth="1"/>
    <col min="2217" max="2217" width="15.625" style="35" bestFit="1" customWidth="1"/>
    <col min="2218" max="2218" width="10.5" style="35" bestFit="1" customWidth="1"/>
    <col min="2219" max="2219" width="10.75" style="35" bestFit="1" customWidth="1"/>
    <col min="2220" max="2220" width="10.5" style="35" bestFit="1" customWidth="1"/>
    <col min="2221" max="2221" width="12.75" style="35" bestFit="1" customWidth="1"/>
    <col min="2222" max="2223" width="10.5" style="35" bestFit="1" customWidth="1"/>
    <col min="2224" max="2224" width="6.375" style="35" bestFit="1" customWidth="1"/>
    <col min="2225" max="2225" width="11.625" style="35" bestFit="1" customWidth="1"/>
    <col min="2226" max="2226" width="14" style="35" bestFit="1" customWidth="1"/>
    <col min="2227" max="2227" width="16.75" style="35" bestFit="1" customWidth="1"/>
    <col min="2228" max="2228" width="17.375" style="35" bestFit="1" customWidth="1"/>
    <col min="2229" max="2229" width="10.5" style="35" bestFit="1" customWidth="1"/>
    <col min="2230" max="2230" width="16.375" style="35" bestFit="1" customWidth="1"/>
    <col min="2231" max="2231" width="19.75" style="35" bestFit="1" customWidth="1"/>
    <col min="2232" max="2232" width="16.5" style="35" bestFit="1" customWidth="1"/>
    <col min="2233" max="2233" width="14.75" style="35" bestFit="1" customWidth="1"/>
    <col min="2234" max="2234" width="12" style="35" bestFit="1" customWidth="1"/>
    <col min="2235" max="2235" width="14" style="35" bestFit="1" customWidth="1"/>
    <col min="2236" max="2236" width="17.625" style="35" bestFit="1" customWidth="1"/>
    <col min="2237" max="2237" width="18.5" style="35" bestFit="1" customWidth="1"/>
    <col min="2238" max="2238" width="24.125" style="35" bestFit="1" customWidth="1"/>
    <col min="2239" max="2239" width="11.75" style="35" bestFit="1" customWidth="1"/>
    <col min="2240" max="2240" width="10.5" style="35" bestFit="1" customWidth="1"/>
    <col min="2241" max="2241" width="22.125" style="35" bestFit="1" customWidth="1"/>
    <col min="2242" max="2242" width="18.5" style="35" bestFit="1" customWidth="1"/>
    <col min="2243" max="2243" width="15.875" style="35" bestFit="1" customWidth="1"/>
    <col min="2244" max="2244" width="17.5" style="35" bestFit="1" customWidth="1"/>
    <col min="2245" max="2245" width="10.5" style="35" bestFit="1" customWidth="1"/>
    <col min="2246" max="2246" width="19.125" style="35" bestFit="1" customWidth="1"/>
    <col min="2247" max="2247" width="10.5" style="35" bestFit="1" customWidth="1"/>
    <col min="2248" max="2248" width="16.75" style="35" bestFit="1" customWidth="1"/>
    <col min="2249" max="2249" width="15.5" style="35" bestFit="1" customWidth="1"/>
    <col min="2250" max="2250" width="18" style="35" bestFit="1" customWidth="1"/>
    <col min="2251" max="2251" width="8.875" style="35" bestFit="1" customWidth="1"/>
    <col min="2252" max="2252" width="16.75" style="35" bestFit="1" customWidth="1"/>
    <col min="2253" max="2253" width="19.875" style="35" bestFit="1" customWidth="1"/>
    <col min="2254" max="2254" width="10.5" style="35" bestFit="1" customWidth="1"/>
    <col min="2255" max="2255" width="22.125" style="35" bestFit="1" customWidth="1"/>
    <col min="2256" max="2256" width="17.625" style="35" bestFit="1" customWidth="1"/>
    <col min="2257" max="2257" width="10.5" style="35" bestFit="1" customWidth="1"/>
    <col min="2258" max="2258" width="15.625" style="35" bestFit="1" customWidth="1"/>
    <col min="2259" max="2259" width="10.5" style="35" bestFit="1" customWidth="1"/>
    <col min="2260" max="2260" width="14.875" style="35" bestFit="1" customWidth="1"/>
    <col min="2261" max="2261" width="6.125" style="35" bestFit="1" customWidth="1"/>
    <col min="2262" max="2262" width="25" style="35" bestFit="1" customWidth="1"/>
    <col min="2263" max="2263" width="12.5" style="35" bestFit="1" customWidth="1"/>
    <col min="2264" max="2264" width="20.625" style="35" bestFit="1" customWidth="1"/>
    <col min="2265" max="2265" width="13.375" style="35" bestFit="1" customWidth="1"/>
    <col min="2266" max="2266" width="13.125" style="35" bestFit="1" customWidth="1"/>
    <col min="2267" max="2267" width="17.375" style="35" bestFit="1" customWidth="1"/>
    <col min="2268" max="2268" width="8.625" style="35" bestFit="1" customWidth="1"/>
    <col min="2269" max="2269" width="16.125" style="35" bestFit="1" customWidth="1"/>
    <col min="2270" max="2270" width="21.5" style="35" bestFit="1" customWidth="1"/>
    <col min="2271" max="2271" width="18.5" style="35" bestFit="1" customWidth="1"/>
    <col min="2272" max="2272" width="18.875" style="35" bestFit="1" customWidth="1"/>
    <col min="2273" max="2273" width="20.625" style="35" bestFit="1" customWidth="1"/>
    <col min="2274" max="2274" width="25.25" style="35" bestFit="1" customWidth="1"/>
    <col min="2275" max="2275" width="23.625" style="35" bestFit="1" customWidth="1"/>
    <col min="2276" max="2276" width="22.625" style="35" bestFit="1" customWidth="1"/>
    <col min="2277" max="2277" width="10.5" style="35" bestFit="1" customWidth="1"/>
    <col min="2278" max="2278" width="18.5" style="35" bestFit="1" customWidth="1"/>
    <col min="2279" max="2279" width="14.625" style="35" bestFit="1" customWidth="1"/>
    <col min="2280" max="2280" width="15.625" style="35" bestFit="1" customWidth="1"/>
    <col min="2281" max="2281" width="16.375" style="35" bestFit="1" customWidth="1"/>
    <col min="2282" max="2282" width="8.625" style="35" bestFit="1" customWidth="1"/>
    <col min="2283" max="2283" width="9.125" style="35" bestFit="1" customWidth="1"/>
    <col min="2284" max="2284" width="19.375" style="35" bestFit="1" customWidth="1"/>
    <col min="2285" max="2285" width="13.875" style="35" bestFit="1" customWidth="1"/>
    <col min="2286" max="2287" width="10.5" style="35" bestFit="1" customWidth="1"/>
    <col min="2288" max="2288" width="15.875" style="35" bestFit="1" customWidth="1"/>
    <col min="2289" max="2289" width="16.625" style="35" bestFit="1" customWidth="1"/>
    <col min="2290" max="2290" width="16.75" style="35" bestFit="1" customWidth="1"/>
    <col min="2291" max="2291" width="16.25" style="35" bestFit="1" customWidth="1"/>
    <col min="2292" max="2292" width="13.125" style="35" bestFit="1" customWidth="1"/>
    <col min="2293" max="2293" width="15.625" style="35" bestFit="1" customWidth="1"/>
    <col min="2294" max="2294" width="23.375" style="35" bestFit="1" customWidth="1"/>
    <col min="2295" max="2295" width="15.125" style="35" bestFit="1" customWidth="1"/>
    <col min="2296" max="2296" width="19.875" style="35" bestFit="1" customWidth="1"/>
    <col min="2297" max="2297" width="12.5" style="35" bestFit="1" customWidth="1"/>
    <col min="2298" max="2298" width="7.375" style="35" bestFit="1" customWidth="1"/>
    <col min="2299" max="2299" width="18" style="35" bestFit="1" customWidth="1"/>
    <col min="2300" max="2300" width="17.125" style="35" bestFit="1" customWidth="1"/>
    <col min="2301" max="2301" width="20.625" style="35" bestFit="1" customWidth="1"/>
    <col min="2302" max="2302" width="10.5" style="35" bestFit="1" customWidth="1"/>
    <col min="2303" max="2303" width="16.5" style="35" bestFit="1" customWidth="1"/>
    <col min="2304" max="2304" width="16.875" style="35" bestFit="1" customWidth="1"/>
    <col min="2305" max="2305" width="18.125" style="35" bestFit="1" customWidth="1"/>
    <col min="2306" max="2306" width="17" style="35" bestFit="1" customWidth="1"/>
    <col min="2307" max="2307" width="16.375" style="35" bestFit="1" customWidth="1"/>
    <col min="2308" max="2308" width="17" style="35" bestFit="1" customWidth="1"/>
    <col min="2309" max="2309" width="16.375" style="35" bestFit="1" customWidth="1"/>
    <col min="2310" max="2310" width="11.625" style="35" bestFit="1" customWidth="1"/>
    <col min="2311" max="2311" width="20.25" style="35" bestFit="1" customWidth="1"/>
    <col min="2312" max="2312" width="16" style="35" bestFit="1" customWidth="1"/>
    <col min="2313" max="2313" width="14.875" style="35" bestFit="1" customWidth="1"/>
    <col min="2314" max="2314" width="9" style="35" bestFit="1" customWidth="1"/>
    <col min="2315" max="2315" width="16" style="35" bestFit="1" customWidth="1"/>
    <col min="2316" max="2316" width="16.875" style="35" bestFit="1" customWidth="1"/>
    <col min="2317" max="2317" width="13.5" style="35" bestFit="1" customWidth="1"/>
    <col min="2318" max="2318" width="12" style="35" bestFit="1" customWidth="1"/>
    <col min="2319" max="2319" width="10.75" style="35" bestFit="1" customWidth="1"/>
    <col min="2320" max="2320" width="13.5" style="35" bestFit="1" customWidth="1"/>
    <col min="2321" max="2321" width="10.5" style="35" bestFit="1" customWidth="1"/>
    <col min="2322" max="2322" width="17" style="35" bestFit="1" customWidth="1"/>
    <col min="2323" max="2323" width="13" style="35" bestFit="1" customWidth="1"/>
    <col min="2324" max="2324" width="9.25" style="35" bestFit="1" customWidth="1"/>
    <col min="2325" max="2325" width="13.125" style="35" bestFit="1" customWidth="1"/>
    <col min="2326" max="2326" width="14.375" style="35" bestFit="1" customWidth="1"/>
    <col min="2327" max="2327" width="10.5" style="35" bestFit="1" customWidth="1"/>
    <col min="2328" max="2328" width="8.625" style="35" bestFit="1" customWidth="1"/>
    <col min="2329" max="2329" width="14.125" style="35" bestFit="1" customWidth="1"/>
    <col min="2330" max="2330" width="10.5" style="35" bestFit="1" customWidth="1"/>
    <col min="2331" max="2331" width="16.125" style="35" bestFit="1" customWidth="1"/>
    <col min="2332" max="2332" width="15.5" style="35" bestFit="1" customWidth="1"/>
    <col min="2333" max="2333" width="16.25" style="35" bestFit="1" customWidth="1"/>
    <col min="2334" max="2334" width="19.125" style="35" bestFit="1" customWidth="1"/>
    <col min="2335" max="2335" width="12" style="35" bestFit="1" customWidth="1"/>
    <col min="2336" max="2336" width="12.625" style="35" bestFit="1" customWidth="1"/>
    <col min="2337" max="2337" width="17.125" style="35" bestFit="1" customWidth="1"/>
    <col min="2338" max="2338" width="22.625" style="35" bestFit="1" customWidth="1"/>
    <col min="2339" max="2339" width="15.5" style="35" bestFit="1" customWidth="1"/>
    <col min="2340" max="2340" width="12.5" style="35" bestFit="1" customWidth="1"/>
    <col min="2341" max="2341" width="12.125" style="35" bestFit="1" customWidth="1"/>
    <col min="2342" max="2342" width="17.625" style="35" bestFit="1" customWidth="1"/>
    <col min="2343" max="2343" width="23.375" style="35" bestFit="1" customWidth="1"/>
    <col min="2344" max="2344" width="6.125" style="35" bestFit="1" customWidth="1"/>
    <col min="2345" max="2345" width="10" style="35" bestFit="1" customWidth="1"/>
    <col min="2346" max="2346" width="17.875" style="35" bestFit="1" customWidth="1"/>
    <col min="2347" max="2347" width="10.5" style="35" bestFit="1" customWidth="1"/>
    <col min="2348" max="2348" width="21.75" style="35" bestFit="1" customWidth="1"/>
    <col min="2349" max="2349" width="11" style="35" bestFit="1" customWidth="1"/>
    <col min="2350" max="2350" width="7.375" style="35" bestFit="1" customWidth="1"/>
    <col min="2351" max="2351" width="11.5" style="35" bestFit="1" customWidth="1"/>
    <col min="2352" max="2352" width="7.125" style="35" bestFit="1" customWidth="1"/>
    <col min="2353" max="2353" width="17.125" style="35" bestFit="1" customWidth="1"/>
    <col min="2354" max="2354" width="16.375" style="35" bestFit="1" customWidth="1"/>
    <col min="2355" max="2356" width="10.5" style="35" bestFit="1" customWidth="1"/>
    <col min="2357" max="2357" width="21.125" style="35" bestFit="1" customWidth="1"/>
    <col min="2358" max="2358" width="21.625" style="35" bestFit="1" customWidth="1"/>
    <col min="2359" max="2359" width="13.125" style="35" bestFit="1" customWidth="1"/>
    <col min="2360" max="2360" width="11.75" style="35" bestFit="1" customWidth="1"/>
    <col min="2361" max="2361" width="18.25" style="35" bestFit="1" customWidth="1"/>
    <col min="2362" max="2362" width="23.125" style="35" bestFit="1" customWidth="1"/>
    <col min="2363" max="2363" width="19.75" style="35" bestFit="1" customWidth="1"/>
    <col min="2364" max="2364" width="18.125" style="35" bestFit="1" customWidth="1"/>
    <col min="2365" max="2365" width="18.25" style="35" bestFit="1" customWidth="1"/>
    <col min="2366" max="2366" width="19.125" style="35" bestFit="1" customWidth="1"/>
    <col min="2367" max="2367" width="18.75" style="35" bestFit="1" customWidth="1"/>
    <col min="2368" max="2368" width="18.125" style="35" bestFit="1" customWidth="1"/>
    <col min="2369" max="2369" width="19.25" style="35" bestFit="1" customWidth="1"/>
    <col min="2370" max="2370" width="21.25" style="35" bestFit="1" customWidth="1"/>
    <col min="2371" max="2371" width="19.5" style="35" bestFit="1" customWidth="1"/>
    <col min="2372" max="2372" width="23.375" style="35" bestFit="1" customWidth="1"/>
    <col min="2373" max="2373" width="11" style="35" bestFit="1" customWidth="1"/>
    <col min="2374" max="2374" width="11.125" style="35" bestFit="1" customWidth="1"/>
    <col min="2375" max="2376" width="10.5" style="35" bestFit="1" customWidth="1"/>
    <col min="2377" max="2377" width="18.875" style="35" bestFit="1" customWidth="1"/>
    <col min="2378" max="2378" width="10.75" style="35" bestFit="1" customWidth="1"/>
    <col min="2379" max="2379" width="22.375" style="35" bestFit="1" customWidth="1"/>
    <col min="2380" max="2380" width="11" style="35" bestFit="1" customWidth="1"/>
    <col min="2381" max="2381" width="23.875" style="35" bestFit="1" customWidth="1"/>
    <col min="2382" max="2382" width="14.625" style="35" bestFit="1" customWidth="1"/>
    <col min="2383" max="2383" width="14.5" style="35" bestFit="1" customWidth="1"/>
    <col min="2384" max="2384" width="19.25" style="35" bestFit="1" customWidth="1"/>
    <col min="2385" max="2385" width="16.625" style="35" bestFit="1" customWidth="1"/>
    <col min="2386" max="2386" width="17.375" style="35" bestFit="1" customWidth="1"/>
    <col min="2387" max="2387" width="21.875" style="35" bestFit="1" customWidth="1"/>
    <col min="2388" max="2388" width="19.5" style="35" bestFit="1" customWidth="1"/>
    <col min="2389" max="2389" width="24.125" style="35" bestFit="1" customWidth="1"/>
    <col min="2390" max="2390" width="20.125" style="35" bestFit="1" customWidth="1"/>
    <col min="2391" max="2391" width="18" style="35" bestFit="1" customWidth="1"/>
    <col min="2392" max="2392" width="13" style="35" bestFit="1" customWidth="1"/>
    <col min="2393" max="2393" width="10.5" style="35" bestFit="1" customWidth="1"/>
    <col min="2394" max="2394" width="23.375" style="35" bestFit="1" customWidth="1"/>
    <col min="2395" max="2395" width="23" style="35" bestFit="1" customWidth="1"/>
    <col min="2396" max="2396" width="18.25" style="35" bestFit="1" customWidth="1"/>
    <col min="2397" max="2397" width="22.5" style="35" bestFit="1" customWidth="1"/>
    <col min="2398" max="2398" width="14.25" style="35" bestFit="1" customWidth="1"/>
    <col min="2399" max="2399" width="15.875" style="35" bestFit="1" customWidth="1"/>
    <col min="2400" max="2400" width="8.75" style="35" bestFit="1" customWidth="1"/>
    <col min="2401" max="2401" width="19" style="35" bestFit="1" customWidth="1"/>
    <col min="2402" max="2402" width="10.5" style="35" bestFit="1" customWidth="1"/>
    <col min="2403" max="2403" width="17.75" style="35" bestFit="1" customWidth="1"/>
    <col min="2404" max="2404" width="17.125" style="35" bestFit="1" customWidth="1"/>
    <col min="2405" max="2405" width="15.375" style="35" bestFit="1" customWidth="1"/>
    <col min="2406" max="2406" width="18.875" style="35" bestFit="1" customWidth="1"/>
    <col min="2407" max="2407" width="19.5" style="35" bestFit="1" customWidth="1"/>
    <col min="2408" max="2408" width="12.25" style="35" bestFit="1" customWidth="1"/>
    <col min="2409" max="2409" width="25.375" style="35" bestFit="1" customWidth="1"/>
    <col min="2410" max="2410" width="16.375" style="35" bestFit="1" customWidth="1"/>
    <col min="2411" max="2411" width="10.625" style="35" bestFit="1" customWidth="1"/>
    <col min="2412" max="2412" width="17.625" style="35" bestFit="1" customWidth="1"/>
    <col min="2413" max="2413" width="20.25" style="35" bestFit="1" customWidth="1"/>
    <col min="2414" max="2414" width="13.5" style="35" bestFit="1" customWidth="1"/>
    <col min="2415" max="2415" width="10.5" style="35" bestFit="1" customWidth="1"/>
    <col min="2416" max="2416" width="20.875" style="35" bestFit="1" customWidth="1"/>
    <col min="2417" max="2417" width="9.375" style="35" bestFit="1" customWidth="1"/>
    <col min="2418" max="2418" width="14" style="35" bestFit="1" customWidth="1"/>
    <col min="2419" max="2419" width="10.5" style="35" bestFit="1" customWidth="1"/>
    <col min="2420" max="2420" width="13.375" style="35" bestFit="1" customWidth="1"/>
    <col min="2421" max="2421" width="13.75" style="35" bestFit="1" customWidth="1"/>
    <col min="2422" max="2422" width="13.125" style="35" bestFit="1" customWidth="1"/>
    <col min="2423" max="2423" width="11.625" style="35" bestFit="1" customWidth="1"/>
    <col min="2424" max="2424" width="23.75" style="35" bestFit="1" customWidth="1"/>
    <col min="2425" max="2425" width="25.75" style="35" bestFit="1" customWidth="1"/>
    <col min="2426" max="2426" width="23.25" style="35" bestFit="1" customWidth="1"/>
    <col min="2427" max="2427" width="19.5" style="35" bestFit="1" customWidth="1"/>
    <col min="2428" max="2428" width="20" style="35" bestFit="1" customWidth="1"/>
    <col min="2429" max="2429" width="12.375" style="35" bestFit="1" customWidth="1"/>
    <col min="2430" max="2430" width="12.125" style="35" bestFit="1" customWidth="1"/>
    <col min="2431" max="2431" width="24.125" style="35" bestFit="1" customWidth="1"/>
    <col min="2432" max="2432" width="16.25" style="35" bestFit="1" customWidth="1"/>
    <col min="2433" max="2433" width="17.75" style="35" bestFit="1" customWidth="1"/>
    <col min="2434" max="2434" width="13.5" style="35" bestFit="1" customWidth="1"/>
    <col min="2435" max="2435" width="12.875" style="35" bestFit="1" customWidth="1"/>
    <col min="2436" max="2437" width="10.5" style="35" bestFit="1" customWidth="1"/>
    <col min="2438" max="2438" width="13.375" style="35" bestFit="1" customWidth="1"/>
    <col min="2439" max="2439" width="22.625" style="35" bestFit="1" customWidth="1"/>
    <col min="2440" max="2440" width="16.75" style="35" bestFit="1" customWidth="1"/>
    <col min="2441" max="2441" width="18.125" style="35" bestFit="1" customWidth="1"/>
    <col min="2442" max="2442" width="10.5" style="35" bestFit="1" customWidth="1"/>
    <col min="2443" max="2443" width="15.625" style="35" bestFit="1" customWidth="1"/>
    <col min="2444" max="2444" width="10.5" style="35" bestFit="1" customWidth="1"/>
    <col min="2445" max="2445" width="10.75" style="35" bestFit="1" customWidth="1"/>
    <col min="2446" max="2446" width="10.5" style="35" bestFit="1" customWidth="1"/>
    <col min="2447" max="2447" width="12.75" style="35" bestFit="1" customWidth="1"/>
    <col min="2448" max="2448" width="6.5" style="35" bestFit="1" customWidth="1"/>
    <col min="2449" max="2450" width="10.5" style="35" bestFit="1" customWidth="1"/>
    <col min="2451" max="2451" width="11.625" style="35" bestFit="1" customWidth="1"/>
    <col min="2452" max="2452" width="14" style="35" bestFit="1" customWidth="1"/>
    <col min="2453" max="2453" width="16.75" style="35" bestFit="1" customWidth="1"/>
    <col min="2454" max="2454" width="17.375" style="35" bestFit="1" customWidth="1"/>
    <col min="2455" max="2455" width="10.5" style="35" bestFit="1" customWidth="1"/>
    <col min="2456" max="2456" width="16.375" style="35" bestFit="1" customWidth="1"/>
    <col min="2457" max="2457" width="19.75" style="35" bestFit="1" customWidth="1"/>
    <col min="2458" max="2458" width="16.5" style="35" bestFit="1" customWidth="1"/>
    <col min="2459" max="2459" width="14.75" style="35" bestFit="1" customWidth="1"/>
    <col min="2460" max="2460" width="12" style="35" bestFit="1" customWidth="1"/>
    <col min="2461" max="2461" width="14" style="35" bestFit="1" customWidth="1"/>
    <col min="2462" max="2462" width="17.625" style="35" bestFit="1" customWidth="1"/>
    <col min="2463" max="2463" width="18.5" style="35" bestFit="1" customWidth="1"/>
    <col min="2464" max="2464" width="24.125" style="35" bestFit="1" customWidth="1"/>
    <col min="2465" max="2465" width="11.75" style="35" bestFit="1" customWidth="1"/>
    <col min="2466" max="2466" width="10.5" style="35" bestFit="1" customWidth="1"/>
    <col min="2467" max="2467" width="22.125" style="35" bestFit="1" customWidth="1"/>
    <col min="2468" max="2468" width="18.5" style="35" bestFit="1" customWidth="1"/>
    <col min="2469" max="2469" width="15.875" style="35" bestFit="1" customWidth="1"/>
    <col min="2470" max="2470" width="17.5" style="35" bestFit="1" customWidth="1"/>
    <col min="2471" max="2471" width="10.5" style="35" bestFit="1" customWidth="1"/>
    <col min="2472" max="2472" width="19.125" style="35" bestFit="1" customWidth="1"/>
    <col min="2473" max="2473" width="9.5" style="35" bestFit="1" customWidth="1"/>
    <col min="2474" max="2474" width="16.75" style="35" bestFit="1" customWidth="1"/>
    <col min="2475" max="2475" width="15.5" style="35" bestFit="1" customWidth="1"/>
    <col min="2476" max="2476" width="18" style="35" bestFit="1" customWidth="1"/>
    <col min="2477" max="2477" width="8.875" style="35" bestFit="1" customWidth="1"/>
    <col min="2478" max="2478" width="16.75" style="35" bestFit="1" customWidth="1"/>
    <col min="2479" max="2479" width="19.875" style="35" bestFit="1" customWidth="1"/>
    <col min="2480" max="2480" width="10.5" style="35" bestFit="1" customWidth="1"/>
    <col min="2481" max="2481" width="22.125" style="35" bestFit="1" customWidth="1"/>
    <col min="2482" max="2482" width="17.625" style="35" bestFit="1" customWidth="1"/>
    <col min="2483" max="2483" width="10.5" style="35" bestFit="1" customWidth="1"/>
    <col min="2484" max="2484" width="15.625" style="35" bestFit="1" customWidth="1"/>
    <col min="2485" max="2485" width="10.5" style="35" bestFit="1" customWidth="1"/>
    <col min="2486" max="2486" width="14.875" style="35" bestFit="1" customWidth="1"/>
    <col min="2487" max="2487" width="4.75" style="35" bestFit="1" customWidth="1"/>
    <col min="2488" max="2488" width="25" style="35" bestFit="1" customWidth="1"/>
    <col min="2489" max="2489" width="12.5" style="35" bestFit="1" customWidth="1"/>
    <col min="2490" max="2490" width="20.625" style="35" bestFit="1" customWidth="1"/>
    <col min="2491" max="2491" width="13.375" style="35" bestFit="1" customWidth="1"/>
    <col min="2492" max="2492" width="13.125" style="35" bestFit="1" customWidth="1"/>
    <col min="2493" max="2493" width="17.375" style="35" bestFit="1" customWidth="1"/>
    <col min="2494" max="2494" width="8.625" style="35" bestFit="1" customWidth="1"/>
    <col min="2495" max="2495" width="16.125" style="35" bestFit="1" customWidth="1"/>
    <col min="2496" max="2496" width="21.5" style="35" bestFit="1" customWidth="1"/>
    <col min="2497" max="2497" width="18.5" style="35" bestFit="1" customWidth="1"/>
    <col min="2498" max="2498" width="18.875" style="35" bestFit="1" customWidth="1"/>
    <col min="2499" max="2499" width="20.625" style="35" bestFit="1" customWidth="1"/>
    <col min="2500" max="2500" width="25.25" style="35" bestFit="1" customWidth="1"/>
    <col min="2501" max="2501" width="23.625" style="35" bestFit="1" customWidth="1"/>
    <col min="2502" max="2502" width="22.625" style="35" bestFit="1" customWidth="1"/>
    <col min="2503" max="2503" width="10.5" style="35" bestFit="1" customWidth="1"/>
    <col min="2504" max="2504" width="18.5" style="35" bestFit="1" customWidth="1"/>
    <col min="2505" max="2505" width="14.625" style="35" bestFit="1" customWidth="1"/>
    <col min="2506" max="2506" width="15.625" style="35" bestFit="1" customWidth="1"/>
    <col min="2507" max="2507" width="16.375" style="35" bestFit="1" customWidth="1"/>
    <col min="2508" max="2508" width="8.625" style="35" bestFit="1" customWidth="1"/>
    <col min="2509" max="2509" width="9.125" style="35" bestFit="1" customWidth="1"/>
    <col min="2510" max="2510" width="19.375" style="35" bestFit="1" customWidth="1"/>
    <col min="2511" max="2511" width="13.875" style="35" bestFit="1" customWidth="1"/>
    <col min="2512" max="2513" width="10.5" style="35" bestFit="1" customWidth="1"/>
    <col min="2514" max="2514" width="15.875" style="35" bestFit="1" customWidth="1"/>
    <col min="2515" max="2515" width="16.625" style="35" bestFit="1" customWidth="1"/>
    <col min="2516" max="2516" width="16.75" style="35" bestFit="1" customWidth="1"/>
    <col min="2517" max="2517" width="16.25" style="35" bestFit="1" customWidth="1"/>
    <col min="2518" max="2518" width="13.125" style="35" bestFit="1" customWidth="1"/>
    <col min="2519" max="2519" width="15.625" style="35" bestFit="1" customWidth="1"/>
    <col min="2520" max="2520" width="23.375" style="35" bestFit="1" customWidth="1"/>
    <col min="2521" max="2521" width="15.125" style="35" bestFit="1" customWidth="1"/>
    <col min="2522" max="2522" width="19.875" style="35" bestFit="1" customWidth="1"/>
    <col min="2523" max="2523" width="12.5" style="35" bestFit="1" customWidth="1"/>
    <col min="2524" max="2524" width="7.375" style="35" bestFit="1" customWidth="1"/>
    <col min="2525" max="2525" width="18" style="35" bestFit="1" customWidth="1"/>
    <col min="2526" max="2526" width="17.125" style="35" bestFit="1" customWidth="1"/>
    <col min="2527" max="2527" width="20.625" style="35" bestFit="1" customWidth="1"/>
    <col min="2528" max="2528" width="10.5" style="35" bestFit="1" customWidth="1"/>
    <col min="2529" max="2529" width="16.5" style="35" bestFit="1" customWidth="1"/>
    <col min="2530" max="2530" width="16.875" style="35" bestFit="1" customWidth="1"/>
    <col min="2531" max="2531" width="18.125" style="35" bestFit="1" customWidth="1"/>
    <col min="2532" max="2532" width="17" style="35" bestFit="1" customWidth="1"/>
    <col min="2533" max="2533" width="16.375" style="35" bestFit="1" customWidth="1"/>
    <col min="2534" max="2534" width="17" style="35" bestFit="1" customWidth="1"/>
    <col min="2535" max="2535" width="16.375" style="35" bestFit="1" customWidth="1"/>
    <col min="2536" max="2536" width="11.625" style="35" bestFit="1" customWidth="1"/>
    <col min="2537" max="2537" width="20.25" style="35" bestFit="1" customWidth="1"/>
    <col min="2538" max="2538" width="16" style="35" bestFit="1" customWidth="1"/>
    <col min="2539" max="2539" width="14.875" style="35" bestFit="1" customWidth="1"/>
    <col min="2540" max="2540" width="9" style="35" bestFit="1" customWidth="1"/>
    <col min="2541" max="2541" width="16" style="35" bestFit="1" customWidth="1"/>
    <col min="2542" max="2542" width="16.875" style="35" bestFit="1" customWidth="1"/>
    <col min="2543" max="2543" width="13.5" style="35" bestFit="1" customWidth="1"/>
    <col min="2544" max="2544" width="12" style="35" bestFit="1" customWidth="1"/>
    <col min="2545" max="2545" width="10.75" style="35" bestFit="1" customWidth="1"/>
    <col min="2546" max="2546" width="13.5" style="35" bestFit="1" customWidth="1"/>
    <col min="2547" max="2547" width="10.5" style="35" bestFit="1" customWidth="1"/>
    <col min="2548" max="2548" width="17" style="35" bestFit="1" customWidth="1"/>
    <col min="2549" max="2549" width="13" style="35" bestFit="1" customWidth="1"/>
    <col min="2550" max="2550" width="9.25" style="35" bestFit="1" customWidth="1"/>
    <col min="2551" max="2551" width="13.125" style="35" bestFit="1" customWidth="1"/>
    <col min="2552" max="2552" width="14.375" style="35" bestFit="1" customWidth="1"/>
    <col min="2553" max="2553" width="10.5" style="35" bestFit="1" customWidth="1"/>
    <col min="2554" max="2554" width="8.625" style="35" bestFit="1" customWidth="1"/>
    <col min="2555" max="2555" width="14.125" style="35" bestFit="1" customWidth="1"/>
    <col min="2556" max="2556" width="10.5" style="35" bestFit="1" customWidth="1"/>
    <col min="2557" max="2557" width="16.125" style="35" bestFit="1" customWidth="1"/>
    <col min="2558" max="2558" width="15.5" style="35" bestFit="1" customWidth="1"/>
    <col min="2559" max="2559" width="16.25" style="35" bestFit="1" customWidth="1"/>
    <col min="2560" max="2560" width="19.125" style="35" bestFit="1" customWidth="1"/>
    <col min="2561" max="2561" width="12" style="35" bestFit="1" customWidth="1"/>
    <col min="2562" max="2562" width="12.625" style="35" bestFit="1" customWidth="1"/>
    <col min="2563" max="2563" width="17.125" style="35" bestFit="1" customWidth="1"/>
    <col min="2564" max="2564" width="22.625" style="35" bestFit="1" customWidth="1"/>
    <col min="2565" max="2565" width="15.5" style="35" bestFit="1" customWidth="1"/>
    <col min="2566" max="2566" width="12.5" style="35" bestFit="1" customWidth="1"/>
    <col min="2567" max="2567" width="12.125" style="35" bestFit="1" customWidth="1"/>
    <col min="2568" max="2568" width="17.625" style="35" bestFit="1" customWidth="1"/>
    <col min="2569" max="2569" width="23.375" style="35" bestFit="1" customWidth="1"/>
    <col min="2570" max="2570" width="7" style="35" bestFit="1" customWidth="1"/>
    <col min="2571" max="2571" width="10" style="35" bestFit="1" customWidth="1"/>
    <col min="2572" max="2572" width="17.875" style="35" bestFit="1" customWidth="1"/>
    <col min="2573" max="2573" width="10.5" style="35" bestFit="1" customWidth="1"/>
    <col min="2574" max="2574" width="21.75" style="35" bestFit="1" customWidth="1"/>
    <col min="2575" max="2575" width="11" style="35" bestFit="1" customWidth="1"/>
    <col min="2576" max="2576" width="7.375" style="35" bestFit="1" customWidth="1"/>
    <col min="2577" max="2577" width="11.5" style="35" bestFit="1" customWidth="1"/>
    <col min="2578" max="2578" width="7.125" style="35" bestFit="1" customWidth="1"/>
    <col min="2579" max="2579" width="17.125" style="35" bestFit="1" customWidth="1"/>
    <col min="2580" max="2580" width="16.375" style="35" bestFit="1" customWidth="1"/>
    <col min="2581" max="2582" width="10.5" style="35" bestFit="1" customWidth="1"/>
    <col min="2583" max="2583" width="21.125" style="35" bestFit="1" customWidth="1"/>
    <col min="2584" max="2584" width="21.625" style="35" bestFit="1" customWidth="1"/>
    <col min="2585" max="2585" width="13.125" style="35" bestFit="1" customWidth="1"/>
    <col min="2586" max="2586" width="11.75" style="35" bestFit="1" customWidth="1"/>
    <col min="2587" max="2587" width="18.25" style="35" bestFit="1" customWidth="1"/>
    <col min="2588" max="2588" width="23.125" style="35" bestFit="1" customWidth="1"/>
    <col min="2589" max="2589" width="19.75" style="35" bestFit="1" customWidth="1"/>
    <col min="2590" max="2590" width="18.125" style="35" bestFit="1" customWidth="1"/>
    <col min="2591" max="2591" width="18.25" style="35" bestFit="1" customWidth="1"/>
    <col min="2592" max="2592" width="19.125" style="35" bestFit="1" customWidth="1"/>
    <col min="2593" max="2593" width="18.75" style="35" bestFit="1" customWidth="1"/>
    <col min="2594" max="2594" width="18.125" style="35" bestFit="1" customWidth="1"/>
    <col min="2595" max="2595" width="19.25" style="35" bestFit="1" customWidth="1"/>
    <col min="2596" max="2596" width="21.25" style="35" bestFit="1" customWidth="1"/>
    <col min="2597" max="2597" width="19.5" style="35" bestFit="1" customWidth="1"/>
    <col min="2598" max="2598" width="23.375" style="35" bestFit="1" customWidth="1"/>
    <col min="2599" max="2599" width="11" style="35" bestFit="1" customWidth="1"/>
    <col min="2600" max="2600" width="11.125" style="35" bestFit="1" customWidth="1"/>
    <col min="2601" max="2602" width="10.5" style="35" bestFit="1" customWidth="1"/>
    <col min="2603" max="2603" width="18.875" style="35" bestFit="1" customWidth="1"/>
    <col min="2604" max="2604" width="10.75" style="35" bestFit="1" customWidth="1"/>
    <col min="2605" max="2605" width="22.375" style="35" bestFit="1" customWidth="1"/>
    <col min="2606" max="2606" width="11" style="35" bestFit="1" customWidth="1"/>
    <col min="2607" max="2607" width="23.875" style="35" bestFit="1" customWidth="1"/>
    <col min="2608" max="2608" width="14.625" style="35" bestFit="1" customWidth="1"/>
    <col min="2609" max="2609" width="14.5" style="35" bestFit="1" customWidth="1"/>
    <col min="2610" max="2610" width="19.25" style="35" bestFit="1" customWidth="1"/>
    <col min="2611" max="2611" width="16.625" style="35" bestFit="1" customWidth="1"/>
    <col min="2612" max="2612" width="17.375" style="35" bestFit="1" customWidth="1"/>
    <col min="2613" max="2613" width="21.875" style="35" bestFit="1" customWidth="1"/>
    <col min="2614" max="2614" width="19.5" style="35" bestFit="1" customWidth="1"/>
    <col min="2615" max="2615" width="24.125" style="35" bestFit="1" customWidth="1"/>
    <col min="2616" max="2616" width="20.125" style="35" bestFit="1" customWidth="1"/>
    <col min="2617" max="2617" width="18" style="35" bestFit="1" customWidth="1"/>
    <col min="2618" max="2618" width="13" style="35" bestFit="1" customWidth="1"/>
    <col min="2619" max="2619" width="10.5" style="35" bestFit="1" customWidth="1"/>
    <col min="2620" max="2620" width="23.375" style="35" bestFit="1" customWidth="1"/>
    <col min="2621" max="2621" width="23" style="35" bestFit="1" customWidth="1"/>
    <col min="2622" max="2622" width="18.25" style="35" bestFit="1" customWidth="1"/>
    <col min="2623" max="2623" width="22.5" style="35" bestFit="1" customWidth="1"/>
    <col min="2624" max="2624" width="14.25" style="35" bestFit="1" customWidth="1"/>
    <col min="2625" max="2625" width="15.875" style="35" bestFit="1" customWidth="1"/>
    <col min="2626" max="2626" width="8.75" style="35" bestFit="1" customWidth="1"/>
    <col min="2627" max="2627" width="19" style="35" bestFit="1" customWidth="1"/>
    <col min="2628" max="2628" width="10.5" style="35" bestFit="1" customWidth="1"/>
    <col min="2629" max="2629" width="17.75" style="35" bestFit="1" customWidth="1"/>
    <col min="2630" max="2630" width="17.125" style="35" bestFit="1" customWidth="1"/>
    <col min="2631" max="2631" width="15.375" style="35" bestFit="1" customWidth="1"/>
    <col min="2632" max="2632" width="18.875" style="35" bestFit="1" customWidth="1"/>
    <col min="2633" max="2633" width="19.5" style="35" bestFit="1" customWidth="1"/>
    <col min="2634" max="2634" width="12.25" style="35" bestFit="1" customWidth="1"/>
    <col min="2635" max="2635" width="25.375" style="35" bestFit="1" customWidth="1"/>
    <col min="2636" max="2636" width="16.375" style="35" bestFit="1" customWidth="1"/>
    <col min="2637" max="2637" width="10.625" style="35" bestFit="1" customWidth="1"/>
    <col min="2638" max="2638" width="17.625" style="35" bestFit="1" customWidth="1"/>
    <col min="2639" max="2639" width="20.25" style="35" bestFit="1" customWidth="1"/>
    <col min="2640" max="2640" width="13.5" style="35" bestFit="1" customWidth="1"/>
    <col min="2641" max="2641" width="10.5" style="35" bestFit="1" customWidth="1"/>
    <col min="2642" max="2642" width="20.875" style="35" bestFit="1" customWidth="1"/>
    <col min="2643" max="2643" width="9.375" style="35" bestFit="1" customWidth="1"/>
    <col min="2644" max="2644" width="14" style="35" bestFit="1" customWidth="1"/>
    <col min="2645" max="2645" width="10.5" style="35" bestFit="1" customWidth="1"/>
    <col min="2646" max="2646" width="13.375" style="35" bestFit="1" customWidth="1"/>
    <col min="2647" max="2647" width="13.75" style="35" bestFit="1" customWidth="1"/>
    <col min="2648" max="2648" width="13.125" style="35" bestFit="1" customWidth="1"/>
    <col min="2649" max="2649" width="11.625" style="35" bestFit="1" customWidth="1"/>
    <col min="2650" max="2650" width="23.75" style="35" bestFit="1" customWidth="1"/>
    <col min="2651" max="2651" width="25.75" style="35" bestFit="1" customWidth="1"/>
    <col min="2652" max="2652" width="23.25" style="35" bestFit="1" customWidth="1"/>
    <col min="2653" max="2653" width="19.5" style="35" bestFit="1" customWidth="1"/>
    <col min="2654" max="2654" width="20" style="35" bestFit="1" customWidth="1"/>
    <col min="2655" max="2655" width="12.375" style="35" bestFit="1" customWidth="1"/>
    <col min="2656" max="2656" width="12.125" style="35" bestFit="1" customWidth="1"/>
    <col min="2657" max="2657" width="24.125" style="35" bestFit="1" customWidth="1"/>
    <col min="2658" max="2658" width="16.25" style="35" bestFit="1" customWidth="1"/>
    <col min="2659" max="2659" width="17.75" style="35" bestFit="1" customWidth="1"/>
    <col min="2660" max="2660" width="13.5" style="35" bestFit="1" customWidth="1"/>
    <col min="2661" max="2661" width="12.875" style="35" bestFit="1" customWidth="1"/>
    <col min="2662" max="2663" width="10.5" style="35" bestFit="1" customWidth="1"/>
    <col min="2664" max="2664" width="13.375" style="35" bestFit="1" customWidth="1"/>
    <col min="2665" max="2665" width="22.625" style="35" bestFit="1" customWidth="1"/>
    <col min="2666" max="2666" width="16.75" style="35" bestFit="1" customWidth="1"/>
    <col min="2667" max="2667" width="18.125" style="35" bestFit="1" customWidth="1"/>
    <col min="2668" max="2668" width="10.5" style="35" bestFit="1" customWidth="1"/>
    <col min="2669" max="2669" width="15.625" style="35" bestFit="1" customWidth="1"/>
    <col min="2670" max="2670" width="10.5" style="35" bestFit="1" customWidth="1"/>
    <col min="2671" max="2671" width="10.75" style="35" bestFit="1" customWidth="1"/>
    <col min="2672" max="2672" width="10.5" style="35" bestFit="1" customWidth="1"/>
    <col min="2673" max="2673" width="12.75" style="35" bestFit="1" customWidth="1"/>
    <col min="2674" max="2674" width="7" style="35" bestFit="1" customWidth="1"/>
    <col min="2675" max="2676" width="10.5" style="35" bestFit="1" customWidth="1"/>
    <col min="2677" max="2677" width="11.625" style="35" bestFit="1" customWidth="1"/>
    <col min="2678" max="2678" width="14" style="35" bestFit="1" customWidth="1"/>
    <col min="2679" max="2679" width="16.75" style="35" bestFit="1" customWidth="1"/>
    <col min="2680" max="2680" width="17.375" style="35" bestFit="1" customWidth="1"/>
    <col min="2681" max="2681" width="10.5" style="35" bestFit="1" customWidth="1"/>
    <col min="2682" max="2682" width="16.375" style="35" bestFit="1" customWidth="1"/>
    <col min="2683" max="2683" width="19.75" style="35" bestFit="1" customWidth="1"/>
    <col min="2684" max="2684" width="16.5" style="35" bestFit="1" customWidth="1"/>
    <col min="2685" max="2685" width="14.75" style="35" bestFit="1" customWidth="1"/>
    <col min="2686" max="2686" width="12" style="35" bestFit="1" customWidth="1"/>
    <col min="2687" max="2687" width="14" style="35" bestFit="1" customWidth="1"/>
    <col min="2688" max="2688" width="17.625" style="35" bestFit="1" customWidth="1"/>
    <col min="2689" max="2689" width="18.5" style="35" bestFit="1" customWidth="1"/>
    <col min="2690" max="2690" width="24.125" style="35" bestFit="1" customWidth="1"/>
    <col min="2691" max="2691" width="11.75" style="35" bestFit="1" customWidth="1"/>
    <col min="2692" max="2692" width="10.5" style="35" bestFit="1" customWidth="1"/>
    <col min="2693" max="2693" width="22.125" style="35" bestFit="1" customWidth="1"/>
    <col min="2694" max="2694" width="18.5" style="35" bestFit="1" customWidth="1"/>
    <col min="2695" max="2695" width="15.875" style="35" bestFit="1" customWidth="1"/>
    <col min="2696" max="2696" width="17.5" style="35" bestFit="1" customWidth="1"/>
    <col min="2697" max="2697" width="10.5" style="35" bestFit="1" customWidth="1"/>
    <col min="2698" max="2698" width="19.125" style="35" bestFit="1" customWidth="1"/>
    <col min="2699" max="2699" width="9.5" style="35" bestFit="1" customWidth="1"/>
    <col min="2700" max="2700" width="16.75" style="35" bestFit="1" customWidth="1"/>
    <col min="2701" max="2701" width="15.5" style="35" bestFit="1" customWidth="1"/>
    <col min="2702" max="2702" width="18" style="35" bestFit="1" customWidth="1"/>
    <col min="2703" max="2703" width="8.875" style="35" bestFit="1" customWidth="1"/>
    <col min="2704" max="2704" width="16.75" style="35" bestFit="1" customWidth="1"/>
    <col min="2705" max="2705" width="19.875" style="35" bestFit="1" customWidth="1"/>
    <col min="2706" max="2706" width="10.5" style="35" bestFit="1" customWidth="1"/>
    <col min="2707" max="2707" width="22.125" style="35" bestFit="1" customWidth="1"/>
    <col min="2708" max="2708" width="17.625" style="35" bestFit="1" customWidth="1"/>
    <col min="2709" max="2709" width="10.5" style="35" bestFit="1" customWidth="1"/>
    <col min="2710" max="2710" width="15.625" style="35" bestFit="1" customWidth="1"/>
    <col min="2711" max="2711" width="10.5" style="35" bestFit="1" customWidth="1"/>
    <col min="2712" max="2712" width="14.875" style="35" bestFit="1" customWidth="1"/>
    <col min="2713" max="2713" width="4.75" style="35" bestFit="1" customWidth="1"/>
    <col min="2714" max="2714" width="25" style="35" bestFit="1" customWidth="1"/>
    <col min="2715" max="2715" width="12.5" style="35" bestFit="1" customWidth="1"/>
    <col min="2716" max="2716" width="20.625" style="35" bestFit="1" customWidth="1"/>
    <col min="2717" max="2717" width="13.375" style="35" bestFit="1" customWidth="1"/>
    <col min="2718" max="2718" width="13.125" style="35" bestFit="1" customWidth="1"/>
    <col min="2719" max="2719" width="17.375" style="35" bestFit="1" customWidth="1"/>
    <col min="2720" max="2720" width="8.625" style="35" bestFit="1" customWidth="1"/>
    <col min="2721" max="2721" width="16.125" style="35" bestFit="1" customWidth="1"/>
    <col min="2722" max="2722" width="21.5" style="35" bestFit="1" customWidth="1"/>
    <col min="2723" max="2723" width="18.5" style="35" bestFit="1" customWidth="1"/>
    <col min="2724" max="2724" width="18.875" style="35" bestFit="1" customWidth="1"/>
    <col min="2725" max="2725" width="20.625" style="35" bestFit="1" customWidth="1"/>
    <col min="2726" max="2726" width="25.25" style="35" bestFit="1" customWidth="1"/>
    <col min="2727" max="2727" width="23.625" style="35" bestFit="1" customWidth="1"/>
    <col min="2728" max="2728" width="22.625" style="35" bestFit="1" customWidth="1"/>
    <col min="2729" max="2729" width="10.5" style="35" bestFit="1" customWidth="1"/>
    <col min="2730" max="2730" width="18.5" style="35" bestFit="1" customWidth="1"/>
    <col min="2731" max="2731" width="14.625" style="35" bestFit="1" customWidth="1"/>
    <col min="2732" max="2732" width="15.625" style="35" bestFit="1" customWidth="1"/>
    <col min="2733" max="2733" width="16.375" style="35" bestFit="1" customWidth="1"/>
    <col min="2734" max="2734" width="8.625" style="35" bestFit="1" customWidth="1"/>
    <col min="2735" max="2735" width="9.125" style="35" bestFit="1" customWidth="1"/>
    <col min="2736" max="2736" width="19.375" style="35" bestFit="1" customWidth="1"/>
    <col min="2737" max="2737" width="13.875" style="35" bestFit="1" customWidth="1"/>
    <col min="2738" max="2739" width="10.5" style="35" bestFit="1" customWidth="1"/>
    <col min="2740" max="2740" width="15.875" style="35" bestFit="1" customWidth="1"/>
    <col min="2741" max="2741" width="16.625" style="35" bestFit="1" customWidth="1"/>
    <col min="2742" max="2742" width="16.75" style="35" bestFit="1" customWidth="1"/>
    <col min="2743" max="2743" width="16.25" style="35" bestFit="1" customWidth="1"/>
    <col min="2744" max="2744" width="13.125" style="35" bestFit="1" customWidth="1"/>
    <col min="2745" max="2745" width="15.625" style="35" bestFit="1" customWidth="1"/>
    <col min="2746" max="2746" width="23.375" style="35" bestFit="1" customWidth="1"/>
    <col min="2747" max="2747" width="15.125" style="35" bestFit="1" customWidth="1"/>
    <col min="2748" max="2748" width="19.875" style="35" bestFit="1" customWidth="1"/>
    <col min="2749" max="2749" width="12.5" style="35" bestFit="1" customWidth="1"/>
    <col min="2750" max="2750" width="10.5" style="35" bestFit="1" customWidth="1"/>
    <col min="2751" max="2751" width="18" style="35" bestFit="1" customWidth="1"/>
    <col min="2752" max="2752" width="17.125" style="35" bestFit="1" customWidth="1"/>
    <col min="2753" max="2753" width="20.625" style="35" bestFit="1" customWidth="1"/>
    <col min="2754" max="2754" width="10.5" style="35" bestFit="1" customWidth="1"/>
    <col min="2755" max="2755" width="16.5" style="35" bestFit="1" customWidth="1"/>
    <col min="2756" max="2756" width="16.875" style="35" bestFit="1" customWidth="1"/>
    <col min="2757" max="2757" width="18.125" style="35" bestFit="1" customWidth="1"/>
    <col min="2758" max="2758" width="17" style="35" bestFit="1" customWidth="1"/>
    <col min="2759" max="2759" width="16.375" style="35" bestFit="1" customWidth="1"/>
    <col min="2760" max="2760" width="17" style="35" bestFit="1" customWidth="1"/>
    <col min="2761" max="2761" width="16.375" style="35" bestFit="1" customWidth="1"/>
    <col min="2762" max="2762" width="11.625" style="35" bestFit="1" customWidth="1"/>
    <col min="2763" max="2763" width="20.25" style="35" bestFit="1" customWidth="1"/>
    <col min="2764" max="2764" width="16" style="35" bestFit="1" customWidth="1"/>
    <col min="2765" max="2765" width="14.875" style="35" bestFit="1" customWidth="1"/>
    <col min="2766" max="2766" width="10.5" style="35" bestFit="1" customWidth="1"/>
    <col min="2767" max="2767" width="16" style="35" bestFit="1" customWidth="1"/>
    <col min="2768" max="2768" width="16.875" style="35" bestFit="1" customWidth="1"/>
    <col min="2769" max="2769" width="13.5" style="35" bestFit="1" customWidth="1"/>
    <col min="2770" max="2770" width="12" style="35" bestFit="1" customWidth="1"/>
    <col min="2771" max="2771" width="10.75" style="35" bestFit="1" customWidth="1"/>
    <col min="2772" max="2772" width="13.5" style="35" bestFit="1" customWidth="1"/>
    <col min="2773" max="2773" width="10.5" style="35" bestFit="1" customWidth="1"/>
    <col min="2774" max="2774" width="17" style="35" bestFit="1" customWidth="1"/>
    <col min="2775" max="2775" width="13" style="35" bestFit="1" customWidth="1"/>
    <col min="2776" max="2776" width="10.5" style="35" bestFit="1" customWidth="1"/>
    <col min="2777" max="2777" width="13.125" style="35" bestFit="1" customWidth="1"/>
    <col min="2778" max="2778" width="14.375" style="35" bestFit="1" customWidth="1"/>
    <col min="2779" max="2779" width="10.5" style="35" bestFit="1" customWidth="1"/>
    <col min="2780" max="2780" width="8.625" style="35" bestFit="1" customWidth="1"/>
    <col min="2781" max="2781" width="14.125" style="35" bestFit="1" customWidth="1"/>
    <col min="2782" max="2782" width="10.5" style="35" bestFit="1" customWidth="1"/>
    <col min="2783" max="2783" width="16.125" style="35" bestFit="1" customWidth="1"/>
    <col min="2784" max="2784" width="15.5" style="35" bestFit="1" customWidth="1"/>
    <col min="2785" max="2785" width="16.25" style="35" bestFit="1" customWidth="1"/>
    <col min="2786" max="2786" width="19.125" style="35" bestFit="1" customWidth="1"/>
    <col min="2787" max="2787" width="12" style="35" bestFit="1" customWidth="1"/>
    <col min="2788" max="2788" width="12.625" style="35" bestFit="1" customWidth="1"/>
    <col min="2789" max="2789" width="17.125" style="35" bestFit="1" customWidth="1"/>
    <col min="2790" max="2790" width="22.625" style="35" bestFit="1" customWidth="1"/>
    <col min="2791" max="2791" width="15.5" style="35" bestFit="1" customWidth="1"/>
    <col min="2792" max="2792" width="12.5" style="35" bestFit="1" customWidth="1"/>
    <col min="2793" max="2793" width="12.125" style="35" bestFit="1" customWidth="1"/>
    <col min="2794" max="2794" width="17.625" style="35" bestFit="1" customWidth="1"/>
    <col min="2795" max="2795" width="23.375" style="35" bestFit="1" customWidth="1"/>
    <col min="2796" max="2797" width="10.5" style="35" bestFit="1" customWidth="1"/>
    <col min="2798" max="2798" width="17.875" style="35" bestFit="1" customWidth="1"/>
    <col min="2799" max="2799" width="10.5" style="35" bestFit="1" customWidth="1"/>
    <col min="2800" max="2800" width="21.75" style="35" bestFit="1" customWidth="1"/>
    <col min="2801" max="2801" width="11" style="35" bestFit="1" customWidth="1"/>
    <col min="2802" max="2802" width="10.5" style="35" bestFit="1" customWidth="1"/>
    <col min="2803" max="2803" width="11.5" style="35" bestFit="1" customWidth="1"/>
    <col min="2804" max="2804" width="7.125" style="35" bestFit="1" customWidth="1"/>
    <col min="2805" max="2805" width="17.125" style="35" bestFit="1" customWidth="1"/>
    <col min="2806" max="2806" width="16.375" style="35" bestFit="1" customWidth="1"/>
    <col min="2807" max="2808" width="10.5" style="35" bestFit="1" customWidth="1"/>
    <col min="2809" max="2809" width="21.125" style="35" bestFit="1" customWidth="1"/>
    <col min="2810" max="2810" width="21.625" style="35" bestFit="1" customWidth="1"/>
    <col min="2811" max="2811" width="13.125" style="35" bestFit="1" customWidth="1"/>
    <col min="2812" max="2812" width="11.75" style="35" bestFit="1" customWidth="1"/>
    <col min="2813" max="2813" width="18.25" style="35" bestFit="1" customWidth="1"/>
    <col min="2814" max="2814" width="23.125" style="35" bestFit="1" customWidth="1"/>
    <col min="2815" max="2815" width="19.75" style="35" bestFit="1" customWidth="1"/>
    <col min="2816" max="2816" width="18.125" style="35" bestFit="1" customWidth="1"/>
    <col min="2817" max="2817" width="18.25" style="35" bestFit="1" customWidth="1"/>
    <col min="2818" max="2818" width="19.125" style="35" bestFit="1" customWidth="1"/>
    <col min="2819" max="2819" width="18.75" style="35" bestFit="1" customWidth="1"/>
    <col min="2820" max="2820" width="18.125" style="35" bestFit="1" customWidth="1"/>
    <col min="2821" max="2821" width="19.25" style="35" bestFit="1" customWidth="1"/>
    <col min="2822" max="2822" width="21.25" style="35" bestFit="1" customWidth="1"/>
    <col min="2823" max="2823" width="19.5" style="35" bestFit="1" customWidth="1"/>
    <col min="2824" max="2824" width="23.375" style="35" bestFit="1" customWidth="1"/>
    <col min="2825" max="2825" width="11" style="35" bestFit="1" customWidth="1"/>
    <col min="2826" max="2826" width="11.125" style="35" bestFit="1" customWidth="1"/>
    <col min="2827" max="2828" width="10.5" style="35" bestFit="1" customWidth="1"/>
    <col min="2829" max="2829" width="18.875" style="35" bestFit="1" customWidth="1"/>
    <col min="2830" max="2830" width="10.75" style="35" bestFit="1" customWidth="1"/>
    <col min="2831" max="2831" width="22.375" style="35" bestFit="1" customWidth="1"/>
    <col min="2832" max="2832" width="11" style="35" bestFit="1" customWidth="1"/>
    <col min="2833" max="2833" width="23.875" style="35" bestFit="1" customWidth="1"/>
    <col min="2834" max="2834" width="14.625" style="35" bestFit="1" customWidth="1"/>
    <col min="2835" max="2835" width="14.5" style="35" bestFit="1" customWidth="1"/>
    <col min="2836" max="2836" width="19.25" style="35" bestFit="1" customWidth="1"/>
    <col min="2837" max="2837" width="16.625" style="35" bestFit="1" customWidth="1"/>
    <col min="2838" max="2838" width="17.375" style="35" bestFit="1" customWidth="1"/>
    <col min="2839" max="2839" width="21.875" style="35" bestFit="1" customWidth="1"/>
    <col min="2840" max="2840" width="19.5" style="35" bestFit="1" customWidth="1"/>
    <col min="2841" max="2841" width="24.125" style="35" bestFit="1" customWidth="1"/>
    <col min="2842" max="2842" width="20.125" style="35" bestFit="1" customWidth="1"/>
    <col min="2843" max="2843" width="18" style="35" bestFit="1" customWidth="1"/>
    <col min="2844" max="2844" width="13" style="35" bestFit="1" customWidth="1"/>
    <col min="2845" max="2845" width="10.5" style="35" bestFit="1" customWidth="1"/>
    <col min="2846" max="2846" width="23.375" style="35" bestFit="1" customWidth="1"/>
    <col min="2847" max="2847" width="23" style="35" bestFit="1" customWidth="1"/>
    <col min="2848" max="2848" width="18.25" style="35" bestFit="1" customWidth="1"/>
    <col min="2849" max="2849" width="22.5" style="35" bestFit="1" customWidth="1"/>
    <col min="2850" max="2850" width="14.25" style="35" bestFit="1" customWidth="1"/>
    <col min="2851" max="2851" width="15.875" style="35" bestFit="1" customWidth="1"/>
    <col min="2852" max="2852" width="10.5" style="35" bestFit="1" customWidth="1"/>
    <col min="2853" max="2853" width="19" style="35" bestFit="1" customWidth="1"/>
    <col min="2854" max="2854" width="10.5" style="35" bestFit="1" customWidth="1"/>
    <col min="2855" max="2855" width="17.75" style="35" bestFit="1" customWidth="1"/>
    <col min="2856" max="2856" width="17.125" style="35" bestFit="1" customWidth="1"/>
    <col min="2857" max="2857" width="15.375" style="35" bestFit="1" customWidth="1"/>
    <col min="2858" max="2858" width="18.875" style="35" bestFit="1" customWidth="1"/>
    <col min="2859" max="2859" width="19.5" style="35" bestFit="1" customWidth="1"/>
    <col min="2860" max="2860" width="12.25" style="35" bestFit="1" customWidth="1"/>
    <col min="2861" max="2861" width="25.375" style="35" bestFit="1" customWidth="1"/>
    <col min="2862" max="2862" width="16.375" style="35" bestFit="1" customWidth="1"/>
    <col min="2863" max="2863" width="10.625" style="35" bestFit="1" customWidth="1"/>
    <col min="2864" max="2864" width="17.625" style="35" bestFit="1" customWidth="1"/>
    <col min="2865" max="2865" width="20.25" style="35" bestFit="1" customWidth="1"/>
    <col min="2866" max="2866" width="13.5" style="35" bestFit="1" customWidth="1"/>
    <col min="2867" max="2867" width="10.5" style="35" bestFit="1" customWidth="1"/>
    <col min="2868" max="2868" width="20.875" style="35" bestFit="1" customWidth="1"/>
    <col min="2869" max="2869" width="10.5" style="35" bestFit="1" customWidth="1"/>
    <col min="2870" max="2870" width="14" style="35" bestFit="1" customWidth="1"/>
    <col min="2871" max="2871" width="10.5" style="35" bestFit="1" customWidth="1"/>
    <col min="2872" max="2872" width="13.375" style="35" bestFit="1" customWidth="1"/>
    <col min="2873" max="2873" width="13.75" style="35" bestFit="1" customWidth="1"/>
    <col min="2874" max="2874" width="13.125" style="35" bestFit="1" customWidth="1"/>
    <col min="2875" max="2875" width="11.625" style="35" bestFit="1" customWidth="1"/>
    <col min="2876" max="2876" width="23.75" style="35" bestFit="1" customWidth="1"/>
    <col min="2877" max="2877" width="25.75" style="35" bestFit="1" customWidth="1"/>
    <col min="2878" max="2878" width="23.25" style="35" bestFit="1" customWidth="1"/>
    <col min="2879" max="2879" width="19.5" style="35" bestFit="1" customWidth="1"/>
    <col min="2880" max="2880" width="20" style="35" bestFit="1" customWidth="1"/>
    <col min="2881" max="2881" width="12.375" style="35" bestFit="1" customWidth="1"/>
    <col min="2882" max="2882" width="12.125" style="35" bestFit="1" customWidth="1"/>
    <col min="2883" max="2883" width="24.125" style="35" bestFit="1" customWidth="1"/>
    <col min="2884" max="2884" width="16.25" style="35" bestFit="1" customWidth="1"/>
    <col min="2885" max="2885" width="17.75" style="35" bestFit="1" customWidth="1"/>
    <col min="2886" max="2886" width="13.5" style="35" bestFit="1" customWidth="1"/>
    <col min="2887" max="2887" width="12.875" style="35" bestFit="1" customWidth="1"/>
    <col min="2888" max="2888" width="9" style="35"/>
    <col min="2889" max="2889" width="10.5" style="35" bestFit="1" customWidth="1"/>
    <col min="2890" max="2890" width="13.375" style="35" bestFit="1" customWidth="1"/>
    <col min="2891" max="2891" width="22.625" style="35" bestFit="1" customWidth="1"/>
    <col min="2892" max="2892" width="16.75" style="35" bestFit="1" customWidth="1"/>
    <col min="2893" max="2893" width="18.125" style="35" bestFit="1" customWidth="1"/>
    <col min="2894" max="2894" width="10.5" style="35" bestFit="1" customWidth="1"/>
    <col min="2895" max="2895" width="15.625" style="35" bestFit="1" customWidth="1"/>
    <col min="2896" max="2896" width="10.5" style="35" bestFit="1" customWidth="1"/>
    <col min="2897" max="2897" width="10.75" style="35" bestFit="1" customWidth="1"/>
    <col min="2898" max="2898" width="10.5" style="35" bestFit="1" customWidth="1"/>
    <col min="2899" max="2899" width="12.75" style="35" bestFit="1" customWidth="1"/>
    <col min="2900" max="2901" width="10.5" style="35" bestFit="1" customWidth="1"/>
    <col min="2902" max="2902" width="6.375" style="35" bestFit="1" customWidth="1"/>
    <col min="2903" max="2903" width="11.625" style="35" bestFit="1" customWidth="1"/>
    <col min="2904" max="2904" width="14" style="35" bestFit="1" customWidth="1"/>
    <col min="2905" max="2905" width="16.75" style="35" bestFit="1" customWidth="1"/>
    <col min="2906" max="2906" width="17.375" style="35" bestFit="1" customWidth="1"/>
    <col min="2907" max="2907" width="10.5" style="35" bestFit="1" customWidth="1"/>
    <col min="2908" max="2908" width="16.375" style="35" bestFit="1" customWidth="1"/>
    <col min="2909" max="2909" width="19.75" style="35" bestFit="1" customWidth="1"/>
    <col min="2910" max="2910" width="16.5" style="35" bestFit="1" customWidth="1"/>
    <col min="2911" max="2911" width="14.75" style="35" bestFit="1" customWidth="1"/>
    <col min="2912" max="2912" width="12" style="35" bestFit="1" customWidth="1"/>
    <col min="2913" max="2913" width="14" style="35" bestFit="1" customWidth="1"/>
    <col min="2914" max="2914" width="17.625" style="35" bestFit="1" customWidth="1"/>
    <col min="2915" max="2915" width="18.5" style="35" bestFit="1" customWidth="1"/>
    <col min="2916" max="2916" width="24.125" style="35" bestFit="1" customWidth="1"/>
    <col min="2917" max="2917" width="11.75" style="35" bestFit="1" customWidth="1"/>
    <col min="2918" max="2918" width="10.5" style="35" bestFit="1" customWidth="1"/>
    <col min="2919" max="2919" width="22.125" style="35" bestFit="1" customWidth="1"/>
    <col min="2920" max="2920" width="18.5" style="35" bestFit="1" customWidth="1"/>
    <col min="2921" max="2921" width="15.875" style="35" bestFit="1" customWidth="1"/>
    <col min="2922" max="2922" width="17.5" style="35" bestFit="1" customWidth="1"/>
    <col min="2923" max="2923" width="10.5" style="35" bestFit="1" customWidth="1"/>
    <col min="2924" max="2924" width="19.125" style="35" bestFit="1" customWidth="1"/>
    <col min="2925" max="2925" width="10.5" style="35" bestFit="1" customWidth="1"/>
    <col min="2926" max="2926" width="16.75" style="35" bestFit="1" customWidth="1"/>
    <col min="2927" max="2927" width="15.5" style="35" bestFit="1" customWidth="1"/>
    <col min="2928" max="2928" width="18" style="35" bestFit="1" customWidth="1"/>
    <col min="2929" max="2929" width="8.875" style="35" bestFit="1" customWidth="1"/>
    <col min="2930" max="2930" width="16.75" style="35" bestFit="1" customWidth="1"/>
    <col min="2931" max="2931" width="19.875" style="35" bestFit="1" customWidth="1"/>
    <col min="2932" max="2932" width="10.5" style="35" bestFit="1" customWidth="1"/>
    <col min="2933" max="2933" width="22.125" style="35" bestFit="1" customWidth="1"/>
    <col min="2934" max="2934" width="17.625" style="35" bestFit="1" customWidth="1"/>
    <col min="2935" max="2935" width="10.5" style="35" bestFit="1" customWidth="1"/>
    <col min="2936" max="2936" width="15.625" style="35" bestFit="1" customWidth="1"/>
    <col min="2937" max="2937" width="10.5" style="35" bestFit="1" customWidth="1"/>
    <col min="2938" max="2938" width="14.875" style="35" bestFit="1" customWidth="1"/>
    <col min="2939" max="2939" width="4.75" style="35" bestFit="1" customWidth="1"/>
    <col min="2940" max="2940" width="25" style="35" bestFit="1" customWidth="1"/>
    <col min="2941" max="2941" width="12.5" style="35" bestFit="1" customWidth="1"/>
    <col min="2942" max="2942" width="20.625" style="35" bestFit="1" customWidth="1"/>
    <col min="2943" max="2943" width="13.375" style="35" bestFit="1" customWidth="1"/>
    <col min="2944" max="2944" width="13.125" style="35" bestFit="1" customWidth="1"/>
    <col min="2945" max="2945" width="17.375" style="35" bestFit="1" customWidth="1"/>
    <col min="2946" max="2946" width="8.625" style="35" bestFit="1" customWidth="1"/>
    <col min="2947" max="2947" width="16.125" style="35" bestFit="1" customWidth="1"/>
    <col min="2948" max="2948" width="21.5" style="35" bestFit="1" customWidth="1"/>
    <col min="2949" max="2949" width="18.5" style="35" bestFit="1" customWidth="1"/>
    <col min="2950" max="2950" width="18.875" style="35" bestFit="1" customWidth="1"/>
    <col min="2951" max="2951" width="20.625" style="35" bestFit="1" customWidth="1"/>
    <col min="2952" max="2952" width="25.25" style="35" bestFit="1" customWidth="1"/>
    <col min="2953" max="2953" width="23.625" style="35" bestFit="1" customWidth="1"/>
    <col min="2954" max="2954" width="22.625" style="35" bestFit="1" customWidth="1"/>
    <col min="2955" max="2955" width="10.5" style="35" bestFit="1" customWidth="1"/>
    <col min="2956" max="2956" width="18.5" style="35" bestFit="1" customWidth="1"/>
    <col min="2957" max="2957" width="14.625" style="35" bestFit="1" customWidth="1"/>
    <col min="2958" max="2958" width="15.625" style="35" bestFit="1" customWidth="1"/>
    <col min="2959" max="2959" width="16.375" style="35" bestFit="1" customWidth="1"/>
    <col min="2960" max="2960" width="8.625" style="35" bestFit="1" customWidth="1"/>
    <col min="2961" max="2961" width="9.125" style="35" bestFit="1" customWidth="1"/>
    <col min="2962" max="2962" width="19.375" style="35" bestFit="1" customWidth="1"/>
    <col min="2963" max="2963" width="13.875" style="35" bestFit="1" customWidth="1"/>
    <col min="2964" max="2965" width="10.5" style="35" bestFit="1" customWidth="1"/>
    <col min="2966" max="2966" width="15.875" style="35" bestFit="1" customWidth="1"/>
    <col min="2967" max="2967" width="16.625" style="35" bestFit="1" customWidth="1"/>
    <col min="2968" max="2968" width="16.75" style="35" bestFit="1" customWidth="1"/>
    <col min="2969" max="2969" width="16.25" style="35" bestFit="1" customWidth="1"/>
    <col min="2970" max="2970" width="13.125" style="35" bestFit="1" customWidth="1"/>
    <col min="2971" max="2971" width="15.625" style="35" bestFit="1" customWidth="1"/>
    <col min="2972" max="2972" width="23.375" style="35" bestFit="1" customWidth="1"/>
    <col min="2973" max="2973" width="15.125" style="35" bestFit="1" customWidth="1"/>
    <col min="2974" max="2974" width="19.875" style="35" bestFit="1" customWidth="1"/>
    <col min="2975" max="2975" width="12.5" style="35" bestFit="1" customWidth="1"/>
    <col min="2976" max="2976" width="10.5" style="35" bestFit="1" customWidth="1"/>
    <col min="2977" max="2977" width="18" style="35" bestFit="1" customWidth="1"/>
    <col min="2978" max="2978" width="17.125" style="35" bestFit="1" customWidth="1"/>
    <col min="2979" max="2979" width="20.625" style="35" bestFit="1" customWidth="1"/>
    <col min="2980" max="2980" width="10.5" style="35" bestFit="1" customWidth="1"/>
    <col min="2981" max="2981" width="16.5" style="35" bestFit="1" customWidth="1"/>
    <col min="2982" max="2982" width="16.875" style="35" bestFit="1" customWidth="1"/>
    <col min="2983" max="2983" width="18.125" style="35" bestFit="1" customWidth="1"/>
    <col min="2984" max="2984" width="17" style="35" bestFit="1" customWidth="1"/>
    <col min="2985" max="2985" width="16.375" style="35" bestFit="1" customWidth="1"/>
    <col min="2986" max="2986" width="17" style="35" bestFit="1" customWidth="1"/>
    <col min="2987" max="2987" width="16.375" style="35" bestFit="1" customWidth="1"/>
    <col min="2988" max="2988" width="11.625" style="35" bestFit="1" customWidth="1"/>
    <col min="2989" max="2989" width="20.25" style="35" bestFit="1" customWidth="1"/>
    <col min="2990" max="2990" width="16" style="35" bestFit="1" customWidth="1"/>
    <col min="2991" max="2991" width="14.875" style="35" bestFit="1" customWidth="1"/>
    <col min="2992" max="2992" width="10.5" style="35" bestFit="1" customWidth="1"/>
    <col min="2993" max="2993" width="16" style="35" bestFit="1" customWidth="1"/>
    <col min="2994" max="2994" width="16.875" style="35" bestFit="1" customWidth="1"/>
    <col min="2995" max="2995" width="13.5" style="35" bestFit="1" customWidth="1"/>
    <col min="2996" max="2996" width="12" style="35" bestFit="1" customWidth="1"/>
    <col min="2997" max="2997" width="10.75" style="35" bestFit="1" customWidth="1"/>
    <col min="2998" max="2998" width="13.5" style="35" bestFit="1" customWidth="1"/>
    <col min="2999" max="2999" width="10.5" style="35" bestFit="1" customWidth="1"/>
    <col min="3000" max="3000" width="17" style="35" bestFit="1" customWidth="1"/>
    <col min="3001" max="3001" width="13" style="35" bestFit="1" customWidth="1"/>
    <col min="3002" max="3002" width="10.5" style="35" bestFit="1" customWidth="1"/>
    <col min="3003" max="3003" width="13.125" style="35" bestFit="1" customWidth="1"/>
    <col min="3004" max="3004" width="14.375" style="35" bestFit="1" customWidth="1"/>
    <col min="3005" max="3005" width="10.5" style="35" bestFit="1" customWidth="1"/>
    <col min="3006" max="3006" width="8.625" style="35" bestFit="1" customWidth="1"/>
    <col min="3007" max="3007" width="14.125" style="35" bestFit="1" customWidth="1"/>
    <col min="3008" max="3008" width="10.5" style="35" bestFit="1" customWidth="1"/>
    <col min="3009" max="3009" width="16.125" style="35" bestFit="1" customWidth="1"/>
    <col min="3010" max="3010" width="15.5" style="35" bestFit="1" customWidth="1"/>
    <col min="3011" max="3011" width="16.25" style="35" bestFit="1" customWidth="1"/>
    <col min="3012" max="3012" width="19.125" style="35" bestFit="1" customWidth="1"/>
    <col min="3013" max="3013" width="12" style="35" bestFit="1" customWidth="1"/>
    <col min="3014" max="3014" width="12.625" style="35" bestFit="1" customWidth="1"/>
    <col min="3015" max="3015" width="17.125" style="35" bestFit="1" customWidth="1"/>
    <col min="3016" max="3016" width="22.625" style="35" bestFit="1" customWidth="1"/>
    <col min="3017" max="3017" width="15.5" style="35" bestFit="1" customWidth="1"/>
    <col min="3018" max="3018" width="12.5" style="35" bestFit="1" customWidth="1"/>
    <col min="3019" max="3019" width="12.125" style="35" bestFit="1" customWidth="1"/>
    <col min="3020" max="3020" width="17.625" style="35" bestFit="1" customWidth="1"/>
    <col min="3021" max="3021" width="23.375" style="35" bestFit="1" customWidth="1"/>
    <col min="3022" max="3023" width="10.5" style="35" bestFit="1" customWidth="1"/>
    <col min="3024" max="3024" width="17.875" style="35" bestFit="1" customWidth="1"/>
    <col min="3025" max="3025" width="10.5" style="35" bestFit="1" customWidth="1"/>
    <col min="3026" max="3026" width="21.75" style="35" bestFit="1" customWidth="1"/>
    <col min="3027" max="3027" width="11" style="35" bestFit="1" customWidth="1"/>
    <col min="3028" max="3028" width="10.5" style="35" bestFit="1" customWidth="1"/>
    <col min="3029" max="3029" width="11.5" style="35" bestFit="1" customWidth="1"/>
    <col min="3030" max="3030" width="7.125" style="35" bestFit="1" customWidth="1"/>
    <col min="3031" max="3031" width="17.125" style="35" bestFit="1" customWidth="1"/>
    <col min="3032" max="3032" width="16.375" style="35" bestFit="1" customWidth="1"/>
    <col min="3033" max="3033" width="10.5" style="35" bestFit="1" customWidth="1"/>
    <col min="3034" max="3034" width="9.625" style="35" bestFit="1" customWidth="1"/>
    <col min="3035" max="3035" width="21.125" style="35" bestFit="1" customWidth="1"/>
    <col min="3036" max="3036" width="21.625" style="35" bestFit="1" customWidth="1"/>
    <col min="3037" max="3037" width="13.125" style="35" bestFit="1" customWidth="1"/>
    <col min="3038" max="3038" width="11.75" style="35" bestFit="1" customWidth="1"/>
    <col min="3039" max="3039" width="18.25" style="35" bestFit="1" customWidth="1"/>
    <col min="3040" max="3040" width="23.125" style="35" bestFit="1" customWidth="1"/>
    <col min="3041" max="3041" width="19.75" style="35" bestFit="1" customWidth="1"/>
    <col min="3042" max="3042" width="18.125" style="35" bestFit="1" customWidth="1"/>
    <col min="3043" max="3043" width="18.25" style="35" bestFit="1" customWidth="1"/>
    <col min="3044" max="3044" width="19.125" style="35" bestFit="1" customWidth="1"/>
    <col min="3045" max="3045" width="18.75" style="35" bestFit="1" customWidth="1"/>
    <col min="3046" max="3046" width="18.125" style="35" bestFit="1" customWidth="1"/>
    <col min="3047" max="3047" width="19.25" style="35" bestFit="1" customWidth="1"/>
    <col min="3048" max="3048" width="21.25" style="35" bestFit="1" customWidth="1"/>
    <col min="3049" max="3049" width="19.5" style="35" bestFit="1" customWidth="1"/>
    <col min="3050" max="3050" width="23.375" style="35" bestFit="1" customWidth="1"/>
    <col min="3051" max="3051" width="11" style="35" bestFit="1" customWidth="1"/>
    <col min="3052" max="3052" width="11.125" style="35" bestFit="1" customWidth="1"/>
    <col min="3053" max="3053" width="9.625" style="35" bestFit="1" customWidth="1"/>
    <col min="3054" max="3054" width="10.5" style="35" bestFit="1" customWidth="1"/>
    <col min="3055" max="3055" width="18.875" style="35" bestFit="1" customWidth="1"/>
    <col min="3056" max="3056" width="10.75" style="35" bestFit="1" customWidth="1"/>
    <col min="3057" max="3057" width="22.375" style="35" bestFit="1" customWidth="1"/>
    <col min="3058" max="3058" width="11" style="35" bestFit="1" customWidth="1"/>
    <col min="3059" max="3059" width="23.875" style="35" bestFit="1" customWidth="1"/>
    <col min="3060" max="3060" width="14.625" style="35" bestFit="1" customWidth="1"/>
    <col min="3061" max="3061" width="14.5" style="35" bestFit="1" customWidth="1"/>
    <col min="3062" max="3062" width="19.25" style="35" bestFit="1" customWidth="1"/>
    <col min="3063" max="3063" width="16.625" style="35" bestFit="1" customWidth="1"/>
    <col min="3064" max="3064" width="17.375" style="35" bestFit="1" customWidth="1"/>
    <col min="3065" max="3065" width="21.875" style="35" bestFit="1" customWidth="1"/>
    <col min="3066" max="3066" width="19.5" style="35" bestFit="1" customWidth="1"/>
    <col min="3067" max="3067" width="24.125" style="35" bestFit="1" customWidth="1"/>
    <col min="3068" max="3068" width="20.125" style="35" bestFit="1" customWidth="1"/>
    <col min="3069" max="3069" width="18" style="35" bestFit="1" customWidth="1"/>
    <col min="3070" max="3070" width="13" style="35" bestFit="1" customWidth="1"/>
    <col min="3071" max="3071" width="10.5" style="35" bestFit="1" customWidth="1"/>
    <col min="3072" max="3072" width="23.375" style="35" bestFit="1" customWidth="1"/>
    <col min="3073" max="3073" width="23" style="35" bestFit="1" customWidth="1"/>
    <col min="3074" max="3074" width="18.25" style="35" bestFit="1" customWidth="1"/>
    <col min="3075" max="3075" width="22.5" style="35" bestFit="1" customWidth="1"/>
    <col min="3076" max="3076" width="14.25" style="35" bestFit="1" customWidth="1"/>
    <col min="3077" max="3077" width="15.875" style="35" bestFit="1" customWidth="1"/>
    <col min="3078" max="3078" width="10.5" style="35" bestFit="1" customWidth="1"/>
    <col min="3079" max="3079" width="19" style="35" bestFit="1" customWidth="1"/>
    <col min="3080" max="3080" width="10.5" style="35" bestFit="1" customWidth="1"/>
    <col min="3081" max="3081" width="17.75" style="35" bestFit="1" customWidth="1"/>
    <col min="3082" max="3082" width="17.125" style="35" bestFit="1" customWidth="1"/>
    <col min="3083" max="3083" width="15.375" style="35" bestFit="1" customWidth="1"/>
    <col min="3084" max="3084" width="18.875" style="35" bestFit="1" customWidth="1"/>
    <col min="3085" max="3085" width="19.5" style="35" bestFit="1" customWidth="1"/>
    <col min="3086" max="3086" width="12.25" style="35" bestFit="1" customWidth="1"/>
    <col min="3087" max="3087" width="25.375" style="35" bestFit="1" customWidth="1"/>
    <col min="3088" max="3088" width="16.375" style="35" bestFit="1" customWidth="1"/>
    <col min="3089" max="3089" width="10.625" style="35" bestFit="1" customWidth="1"/>
    <col min="3090" max="3090" width="17.625" style="35" bestFit="1" customWidth="1"/>
    <col min="3091" max="3091" width="20.25" style="35" bestFit="1" customWidth="1"/>
    <col min="3092" max="3092" width="13.5" style="35" bestFit="1" customWidth="1"/>
    <col min="3093" max="3093" width="10.5" style="35" bestFit="1" customWidth="1"/>
    <col min="3094" max="3094" width="20.875" style="35" bestFit="1" customWidth="1"/>
    <col min="3095" max="3095" width="10.5" style="35" bestFit="1" customWidth="1"/>
    <col min="3096" max="3096" width="14" style="35" bestFit="1" customWidth="1"/>
    <col min="3097" max="3097" width="9.625" style="35" bestFit="1" customWidth="1"/>
    <col min="3098" max="3098" width="13.375" style="35" bestFit="1" customWidth="1"/>
    <col min="3099" max="3099" width="13.75" style="35" bestFit="1" customWidth="1"/>
    <col min="3100" max="3100" width="13.125" style="35" bestFit="1" customWidth="1"/>
    <col min="3101" max="3101" width="11.625" style="35" bestFit="1" customWidth="1"/>
    <col min="3102" max="3102" width="23.75" style="35" bestFit="1" customWidth="1"/>
    <col min="3103" max="3103" width="25.75" style="35" bestFit="1" customWidth="1"/>
    <col min="3104" max="3104" width="23.25" style="35" bestFit="1" customWidth="1"/>
    <col min="3105" max="3105" width="19.5" style="35" bestFit="1" customWidth="1"/>
    <col min="3106" max="3106" width="20" style="35" bestFit="1" customWidth="1"/>
    <col min="3107" max="3107" width="12.375" style="35" bestFit="1" customWidth="1"/>
    <col min="3108" max="3108" width="12.125" style="35" bestFit="1" customWidth="1"/>
    <col min="3109" max="3109" width="24.125" style="35" bestFit="1" customWidth="1"/>
    <col min="3110" max="3110" width="16.25" style="35" bestFit="1" customWidth="1"/>
    <col min="3111" max="3111" width="17.75" style="35" bestFit="1" customWidth="1"/>
    <col min="3112" max="3112" width="13.5" style="35" bestFit="1" customWidth="1"/>
    <col min="3113" max="3113" width="12.875" style="35" bestFit="1" customWidth="1"/>
    <col min="3114" max="3115" width="10.5" style="35" bestFit="1" customWidth="1"/>
    <col min="3116" max="3116" width="13.375" style="35" bestFit="1" customWidth="1"/>
    <col min="3117" max="3117" width="22.625" style="35" bestFit="1" customWidth="1"/>
    <col min="3118" max="3118" width="16.75" style="35" bestFit="1" customWidth="1"/>
    <col min="3119" max="3119" width="18.125" style="35" bestFit="1" customWidth="1"/>
    <col min="3120" max="3120" width="10.5" style="35" bestFit="1" customWidth="1"/>
    <col min="3121" max="3121" width="15.625" style="35" bestFit="1" customWidth="1"/>
    <col min="3122" max="3122" width="10.5" style="35" bestFit="1" customWidth="1"/>
    <col min="3123" max="3123" width="10.75" style="35" bestFit="1" customWidth="1"/>
    <col min="3124" max="3124" width="10.5" style="35" bestFit="1" customWidth="1"/>
    <col min="3125" max="3125" width="12.75" style="35" bestFit="1" customWidth="1"/>
    <col min="3126" max="3126" width="9.625" style="35" bestFit="1" customWidth="1"/>
    <col min="3127" max="3128" width="10.5" style="35" bestFit="1" customWidth="1"/>
    <col min="3129" max="3129" width="11.625" style="35" bestFit="1" customWidth="1"/>
    <col min="3130" max="3130" width="14" style="35" bestFit="1" customWidth="1"/>
    <col min="3131" max="3131" width="16.75" style="35" bestFit="1" customWidth="1"/>
    <col min="3132" max="3132" width="17.375" style="35" bestFit="1" customWidth="1"/>
    <col min="3133" max="3133" width="10.5" style="35" bestFit="1" customWidth="1"/>
    <col min="3134" max="3134" width="16.375" style="35" bestFit="1" customWidth="1"/>
    <col min="3135" max="3135" width="19.75" style="35" bestFit="1" customWidth="1"/>
    <col min="3136" max="3136" width="16.5" style="35" bestFit="1" customWidth="1"/>
    <col min="3137" max="3137" width="14.75" style="35" bestFit="1" customWidth="1"/>
    <col min="3138" max="3138" width="12" style="35" bestFit="1" customWidth="1"/>
    <col min="3139" max="3139" width="14" style="35" bestFit="1" customWidth="1"/>
    <col min="3140" max="3140" width="17.625" style="35" bestFit="1" customWidth="1"/>
    <col min="3141" max="3141" width="18.5" style="35" bestFit="1" customWidth="1"/>
    <col min="3142" max="3142" width="24.125" style="35" bestFit="1" customWidth="1"/>
    <col min="3143" max="3143" width="11.75" style="35" bestFit="1" customWidth="1"/>
    <col min="3144" max="3144" width="9.625" style="35" bestFit="1" customWidth="1"/>
    <col min="3145" max="3145" width="22.125" style="35" bestFit="1" customWidth="1"/>
    <col min="3146" max="3146" width="18.5" style="35" bestFit="1" customWidth="1"/>
    <col min="3147" max="3147" width="15.875" style="35" bestFit="1" customWidth="1"/>
    <col min="3148" max="3148" width="17.5" style="35" bestFit="1" customWidth="1"/>
    <col min="3149" max="3149" width="10.5" style="35" bestFit="1" customWidth="1"/>
    <col min="3150" max="3150" width="19.125" style="35" bestFit="1" customWidth="1"/>
    <col min="3151" max="3151" width="10.5" style="35" bestFit="1" customWidth="1"/>
    <col min="3152" max="3152" width="16.75" style="35" bestFit="1" customWidth="1"/>
    <col min="3153" max="3153" width="15.5" style="35" bestFit="1" customWidth="1"/>
    <col min="3154" max="3154" width="18" style="35" bestFit="1" customWidth="1"/>
    <col min="3155" max="3155" width="8.875" style="35" bestFit="1" customWidth="1"/>
    <col min="3156" max="3156" width="16.75" style="35" bestFit="1" customWidth="1"/>
    <col min="3157" max="3157" width="19.875" style="35" bestFit="1" customWidth="1"/>
    <col min="3158" max="3158" width="10.5" style="35" bestFit="1" customWidth="1"/>
    <col min="3159" max="3159" width="22.125" style="35" bestFit="1" customWidth="1"/>
    <col min="3160" max="3160" width="17.625" style="35" bestFit="1" customWidth="1"/>
    <col min="3161" max="3161" width="10.5" style="35" bestFit="1" customWidth="1"/>
    <col min="3162" max="3162" width="15.625" style="35" bestFit="1" customWidth="1"/>
    <col min="3163" max="3163" width="10.5" style="35" bestFit="1" customWidth="1"/>
    <col min="3164" max="3164" width="14.875" style="35" bestFit="1" customWidth="1"/>
    <col min="3165" max="3165" width="10.5" style="35" bestFit="1" customWidth="1"/>
    <col min="3166" max="3166" width="25" style="35" bestFit="1" customWidth="1"/>
    <col min="3167" max="3167" width="12.5" style="35" bestFit="1" customWidth="1"/>
    <col min="3168" max="3168" width="20.625" style="35" bestFit="1" customWidth="1"/>
    <col min="3169" max="3169" width="13.375" style="35" bestFit="1" customWidth="1"/>
    <col min="3170" max="3170" width="13.125" style="35" bestFit="1" customWidth="1"/>
    <col min="3171" max="3171" width="17.375" style="35" bestFit="1" customWidth="1"/>
    <col min="3172" max="3172" width="8.625" style="35" bestFit="1" customWidth="1"/>
    <col min="3173" max="3173" width="16.125" style="35" bestFit="1" customWidth="1"/>
    <col min="3174" max="3174" width="21.5" style="35" bestFit="1" customWidth="1"/>
    <col min="3175" max="3175" width="18.5" style="35" bestFit="1" customWidth="1"/>
    <col min="3176" max="3176" width="18.875" style="35" bestFit="1" customWidth="1"/>
    <col min="3177" max="3177" width="20.625" style="35" bestFit="1" customWidth="1"/>
    <col min="3178" max="3178" width="25.25" style="35" bestFit="1" customWidth="1"/>
    <col min="3179" max="3179" width="23.625" style="35" bestFit="1" customWidth="1"/>
    <col min="3180" max="3180" width="22.625" style="35" bestFit="1" customWidth="1"/>
    <col min="3181" max="3181" width="10.5" style="35" bestFit="1" customWidth="1"/>
    <col min="3182" max="3182" width="18.5" style="35" bestFit="1" customWidth="1"/>
    <col min="3183" max="3183" width="14.625" style="35" bestFit="1" customWidth="1"/>
    <col min="3184" max="3184" width="15.625" style="35" bestFit="1" customWidth="1"/>
    <col min="3185" max="3185" width="16.375" style="35" bestFit="1" customWidth="1"/>
    <col min="3186" max="3186" width="8.625" style="35" bestFit="1" customWidth="1"/>
    <col min="3187" max="3187" width="9.125" style="35" bestFit="1" customWidth="1"/>
    <col min="3188" max="3188" width="19.375" style="35" bestFit="1" customWidth="1"/>
    <col min="3189" max="3189" width="13.875" style="35" bestFit="1" customWidth="1"/>
    <col min="3190" max="3190" width="9.625" style="35" bestFit="1" customWidth="1"/>
    <col min="3191" max="3191" width="10.5" style="35" bestFit="1" customWidth="1"/>
    <col min="3192" max="3192" width="15.875" style="35" bestFit="1" customWidth="1"/>
    <col min="3193" max="3193" width="16.625" style="35" bestFit="1" customWidth="1"/>
    <col min="3194" max="3194" width="16.75" style="35" bestFit="1" customWidth="1"/>
    <col min="3195" max="3195" width="16.25" style="35" bestFit="1" customWidth="1"/>
    <col min="3196" max="3196" width="13.125" style="35" bestFit="1" customWidth="1"/>
    <col min="3197" max="3197" width="15.625" style="35" bestFit="1" customWidth="1"/>
    <col min="3198" max="3198" width="23.375" style="35" bestFit="1" customWidth="1"/>
    <col min="3199" max="3199" width="15.125" style="35" bestFit="1" customWidth="1"/>
    <col min="3200" max="3200" width="19.875" style="35" bestFit="1" customWidth="1"/>
    <col min="3201" max="3201" width="12.5" style="35" bestFit="1" customWidth="1"/>
    <col min="3202" max="3202" width="8.75" style="35" bestFit="1" customWidth="1"/>
    <col min="3203" max="3203" width="18" style="35" bestFit="1" customWidth="1"/>
    <col min="3204" max="3204" width="17.125" style="35" bestFit="1" customWidth="1"/>
    <col min="3205" max="3205" width="20.625" style="35" bestFit="1" customWidth="1"/>
    <col min="3206" max="3206" width="10.5" style="35" bestFit="1" customWidth="1"/>
    <col min="3207" max="3207" width="16.5" style="35" bestFit="1" customWidth="1"/>
    <col min="3208" max="3208" width="16.875" style="35" bestFit="1" customWidth="1"/>
    <col min="3209" max="3209" width="18.125" style="35" bestFit="1" customWidth="1"/>
    <col min="3210" max="3210" width="17" style="35" bestFit="1" customWidth="1"/>
    <col min="3211" max="3211" width="16.375" style="35" bestFit="1" customWidth="1"/>
    <col min="3212" max="3212" width="17" style="35" bestFit="1" customWidth="1"/>
    <col min="3213" max="3213" width="16.375" style="35" bestFit="1" customWidth="1"/>
    <col min="3214" max="3214" width="11.625" style="35" bestFit="1" customWidth="1"/>
    <col min="3215" max="3215" width="20.25" style="35" bestFit="1" customWidth="1"/>
    <col min="3216" max="3216" width="16" style="35" bestFit="1" customWidth="1"/>
    <col min="3217" max="3217" width="14.875" style="35" bestFit="1" customWidth="1"/>
    <col min="3218" max="3218" width="10.5" style="35" bestFit="1" customWidth="1"/>
    <col min="3219" max="3219" width="16" style="35" bestFit="1" customWidth="1"/>
    <col min="3220" max="3220" width="16.875" style="35" bestFit="1" customWidth="1"/>
    <col min="3221" max="3221" width="13.5" style="35" bestFit="1" customWidth="1"/>
    <col min="3222" max="3222" width="12" style="35" bestFit="1" customWidth="1"/>
    <col min="3223" max="3223" width="10.75" style="35" bestFit="1" customWidth="1"/>
    <col min="3224" max="3224" width="13.5" style="35" bestFit="1" customWidth="1"/>
    <col min="3225" max="3225" width="10.5" style="35" bestFit="1" customWidth="1"/>
    <col min="3226" max="3226" width="17" style="35" bestFit="1" customWidth="1"/>
    <col min="3227" max="3227" width="13" style="35" bestFit="1" customWidth="1"/>
    <col min="3228" max="3228" width="9.625" style="35" bestFit="1" customWidth="1"/>
    <col min="3229" max="3229" width="13.125" style="35" bestFit="1" customWidth="1"/>
    <col min="3230" max="3230" width="14.375" style="35" bestFit="1" customWidth="1"/>
    <col min="3231" max="3231" width="10.5" style="35" bestFit="1" customWidth="1"/>
    <col min="3232" max="3232" width="8.625" style="35" bestFit="1" customWidth="1"/>
    <col min="3233" max="3233" width="14.125" style="35" bestFit="1" customWidth="1"/>
    <col min="3234" max="3234" width="10.5" style="35" bestFit="1" customWidth="1"/>
    <col min="3235" max="3235" width="16.125" style="35" bestFit="1" customWidth="1"/>
    <col min="3236" max="3236" width="15.5" style="35" bestFit="1" customWidth="1"/>
    <col min="3237" max="3237" width="16.25" style="35" bestFit="1" customWidth="1"/>
    <col min="3238" max="3238" width="19.125" style="35" bestFit="1" customWidth="1"/>
    <col min="3239" max="3239" width="12" style="35" bestFit="1" customWidth="1"/>
    <col min="3240" max="3240" width="12.625" style="35" bestFit="1" customWidth="1"/>
    <col min="3241" max="3241" width="17.125" style="35" bestFit="1" customWidth="1"/>
    <col min="3242" max="3242" width="22.625" style="35" bestFit="1" customWidth="1"/>
    <col min="3243" max="3243" width="15.5" style="35" bestFit="1" customWidth="1"/>
    <col min="3244" max="3244" width="12.5" style="35" bestFit="1" customWidth="1"/>
    <col min="3245" max="3245" width="12.125" style="35" bestFit="1" customWidth="1"/>
    <col min="3246" max="3246" width="17.625" style="35" bestFit="1" customWidth="1"/>
    <col min="3247" max="3247" width="23.375" style="35" bestFit="1" customWidth="1"/>
    <col min="3248" max="3249" width="10.5" style="35" bestFit="1" customWidth="1"/>
    <col min="3250" max="3250" width="17.875" style="35" bestFit="1" customWidth="1"/>
    <col min="3251" max="3251" width="10.5" style="35" bestFit="1" customWidth="1"/>
    <col min="3252" max="3252" width="21.75" style="35" bestFit="1" customWidth="1"/>
    <col min="3253" max="3253" width="11" style="35" bestFit="1" customWidth="1"/>
    <col min="3254" max="3254" width="10.5" style="35" bestFit="1" customWidth="1"/>
    <col min="3255" max="3255" width="11.5" style="35" bestFit="1" customWidth="1"/>
    <col min="3256" max="3256" width="7.125" style="35" bestFit="1" customWidth="1"/>
    <col min="3257" max="3257" width="17.125" style="35" bestFit="1" customWidth="1"/>
    <col min="3258" max="3258" width="16.375" style="35" bestFit="1" customWidth="1"/>
    <col min="3259" max="3260" width="10.5" style="35" bestFit="1" customWidth="1"/>
    <col min="3261" max="3261" width="21.125" style="35" bestFit="1" customWidth="1"/>
    <col min="3262" max="3262" width="21.625" style="35" bestFit="1" customWidth="1"/>
    <col min="3263" max="3263" width="13.125" style="35" bestFit="1" customWidth="1"/>
    <col min="3264" max="3264" width="11.75" style="35" bestFit="1" customWidth="1"/>
    <col min="3265" max="3265" width="18.25" style="35" bestFit="1" customWidth="1"/>
    <col min="3266" max="3266" width="23.125" style="35" bestFit="1" customWidth="1"/>
    <col min="3267" max="3267" width="19.75" style="35" bestFit="1" customWidth="1"/>
    <col min="3268" max="3268" width="18.125" style="35" bestFit="1" customWidth="1"/>
    <col min="3269" max="3269" width="18.25" style="35" bestFit="1" customWidth="1"/>
    <col min="3270" max="3270" width="19.125" style="35" bestFit="1" customWidth="1"/>
    <col min="3271" max="3271" width="18.75" style="35" bestFit="1" customWidth="1"/>
    <col min="3272" max="3272" width="18.125" style="35" bestFit="1" customWidth="1"/>
    <col min="3273" max="3273" width="19.25" style="35" bestFit="1" customWidth="1"/>
    <col min="3274" max="3274" width="21.25" style="35" bestFit="1" customWidth="1"/>
    <col min="3275" max="3275" width="19.5" style="35" bestFit="1" customWidth="1"/>
    <col min="3276" max="3276" width="23.375" style="35" bestFit="1" customWidth="1"/>
    <col min="3277" max="3277" width="11" style="35" bestFit="1" customWidth="1"/>
    <col min="3278" max="3278" width="11.125" style="35" bestFit="1" customWidth="1"/>
    <col min="3279" max="3280" width="10.5" style="35" bestFit="1" customWidth="1"/>
    <col min="3281" max="3281" width="18.875" style="35" bestFit="1" customWidth="1"/>
    <col min="3282" max="3282" width="10.75" style="35" bestFit="1" customWidth="1"/>
    <col min="3283" max="3283" width="22.375" style="35" bestFit="1" customWidth="1"/>
    <col min="3284" max="3284" width="11" style="35" bestFit="1" customWidth="1"/>
    <col min="3285" max="3285" width="23.875" style="35" bestFit="1" customWidth="1"/>
    <col min="3286" max="3286" width="14.625" style="35" bestFit="1" customWidth="1"/>
    <col min="3287" max="3287" width="14.5" style="35" bestFit="1" customWidth="1"/>
    <col min="3288" max="3288" width="19.25" style="35" bestFit="1" customWidth="1"/>
    <col min="3289" max="3289" width="16.625" style="35" bestFit="1" customWidth="1"/>
    <col min="3290" max="3290" width="17.375" style="35" bestFit="1" customWidth="1"/>
    <col min="3291" max="3291" width="21.875" style="35" bestFit="1" customWidth="1"/>
    <col min="3292" max="3292" width="19.5" style="35" bestFit="1" customWidth="1"/>
    <col min="3293" max="3293" width="24.125" style="35" bestFit="1" customWidth="1"/>
    <col min="3294" max="3294" width="20.125" style="35" bestFit="1" customWidth="1"/>
    <col min="3295" max="3295" width="18" style="35" bestFit="1" customWidth="1"/>
    <col min="3296" max="3296" width="13" style="35" bestFit="1" customWidth="1"/>
    <col min="3297" max="3297" width="10.5" style="35" bestFit="1" customWidth="1"/>
    <col min="3298" max="3298" width="23.375" style="35" bestFit="1" customWidth="1"/>
    <col min="3299" max="3299" width="23" style="35" bestFit="1" customWidth="1"/>
    <col min="3300" max="3300" width="18.25" style="35" bestFit="1" customWidth="1"/>
    <col min="3301" max="3301" width="22.5" style="35" bestFit="1" customWidth="1"/>
    <col min="3302" max="3302" width="14.25" style="35" bestFit="1" customWidth="1"/>
    <col min="3303" max="3303" width="15.875" style="35" bestFit="1" customWidth="1"/>
    <col min="3304" max="3304" width="9.625" style="35" bestFit="1" customWidth="1"/>
    <col min="3305" max="3305" width="19" style="35" bestFit="1" customWidth="1"/>
    <col min="3306" max="3306" width="10.5" style="35" bestFit="1" customWidth="1"/>
    <col min="3307" max="3307" width="17.75" style="35" bestFit="1" customWidth="1"/>
    <col min="3308" max="3308" width="17.125" style="35" bestFit="1" customWidth="1"/>
    <col min="3309" max="3309" width="15.375" style="35" bestFit="1" customWidth="1"/>
    <col min="3310" max="3310" width="18.875" style="35" bestFit="1" customWidth="1"/>
    <col min="3311" max="3311" width="19.5" style="35" bestFit="1" customWidth="1"/>
    <col min="3312" max="3312" width="12.25" style="35" bestFit="1" customWidth="1"/>
    <col min="3313" max="3313" width="25.375" style="35" bestFit="1" customWidth="1"/>
    <col min="3314" max="3314" width="16.375" style="35" bestFit="1" customWidth="1"/>
    <col min="3315" max="3315" width="10.625" style="35" bestFit="1" customWidth="1"/>
    <col min="3316" max="3316" width="17.625" style="35" bestFit="1" customWidth="1"/>
    <col min="3317" max="3317" width="20.25" style="35" bestFit="1" customWidth="1"/>
    <col min="3318" max="3318" width="13.5" style="35" bestFit="1" customWidth="1"/>
    <col min="3319" max="3319" width="10.5" style="35" bestFit="1" customWidth="1"/>
    <col min="3320" max="3320" width="20.875" style="35" bestFit="1" customWidth="1"/>
    <col min="3321" max="3321" width="10.5" style="35" bestFit="1" customWidth="1"/>
    <col min="3322" max="3322" width="14" style="35" bestFit="1" customWidth="1"/>
    <col min="3323" max="3323" width="10.5" style="35" bestFit="1" customWidth="1"/>
    <col min="3324" max="3324" width="13.375" style="35" bestFit="1" customWidth="1"/>
    <col min="3325" max="3325" width="13.75" style="35" bestFit="1" customWidth="1"/>
    <col min="3326" max="3326" width="13.125" style="35" bestFit="1" customWidth="1"/>
    <col min="3327" max="3327" width="11.625" style="35" bestFit="1" customWidth="1"/>
    <col min="3328" max="3328" width="23.75" style="35" bestFit="1" customWidth="1"/>
    <col min="3329" max="3329" width="25.75" style="35" bestFit="1" customWidth="1"/>
    <col min="3330" max="3330" width="23.25" style="35" bestFit="1" customWidth="1"/>
    <col min="3331" max="3331" width="19.5" style="35" bestFit="1" customWidth="1"/>
    <col min="3332" max="3332" width="20" style="35" bestFit="1" customWidth="1"/>
    <col min="3333" max="3333" width="12.375" style="35" bestFit="1" customWidth="1"/>
    <col min="3334" max="3334" width="12.125" style="35" bestFit="1" customWidth="1"/>
    <col min="3335" max="3335" width="24.125" style="35" bestFit="1" customWidth="1"/>
    <col min="3336" max="3336" width="16.25" style="35" bestFit="1" customWidth="1"/>
    <col min="3337" max="3337" width="17.75" style="35" bestFit="1" customWidth="1"/>
    <col min="3338" max="3338" width="13.5" style="35" bestFit="1" customWidth="1"/>
    <col min="3339" max="3339" width="12.875" style="35" bestFit="1" customWidth="1"/>
    <col min="3340" max="3341" width="10.5" style="35" bestFit="1" customWidth="1"/>
    <col min="3342" max="3342" width="13.375" style="35" bestFit="1" customWidth="1"/>
    <col min="3343" max="3343" width="22.625" style="35" bestFit="1" customWidth="1"/>
    <col min="3344" max="3344" width="16.75" style="35" bestFit="1" customWidth="1"/>
    <col min="3345" max="3345" width="18.125" style="35" bestFit="1" customWidth="1"/>
    <col min="3346" max="3346" width="10.5" style="35" bestFit="1" customWidth="1"/>
    <col min="3347" max="3347" width="15.625" style="35" bestFit="1" customWidth="1"/>
    <col min="3348" max="3348" width="10.5" style="35" bestFit="1" customWidth="1"/>
    <col min="3349" max="3349" width="10.75" style="35" bestFit="1" customWidth="1"/>
    <col min="3350" max="3350" width="10.5" style="35" bestFit="1" customWidth="1"/>
    <col min="3351" max="3351" width="12.75" style="35" bestFit="1" customWidth="1"/>
    <col min="3352" max="3354" width="10.5" style="35" bestFit="1" customWidth="1"/>
    <col min="3355" max="3355" width="11.625" style="35" bestFit="1" customWidth="1"/>
    <col min="3356" max="3356" width="14" style="35" bestFit="1" customWidth="1"/>
    <col min="3357" max="3357" width="16.75" style="35" bestFit="1" customWidth="1"/>
    <col min="3358" max="3358" width="17.375" style="35" bestFit="1" customWidth="1"/>
    <col min="3359" max="3359" width="10.5" style="35" bestFit="1" customWidth="1"/>
    <col min="3360" max="3360" width="16.375" style="35" bestFit="1" customWidth="1"/>
    <col min="3361" max="3361" width="19.75" style="35" bestFit="1" customWidth="1"/>
    <col min="3362" max="3362" width="16.5" style="35" bestFit="1" customWidth="1"/>
    <col min="3363" max="3363" width="14.75" style="35" bestFit="1" customWidth="1"/>
    <col min="3364" max="3364" width="12" style="35" bestFit="1" customWidth="1"/>
    <col min="3365" max="3365" width="14" style="35" bestFit="1" customWidth="1"/>
    <col min="3366" max="3366" width="17.625" style="35" bestFit="1" customWidth="1"/>
    <col min="3367" max="3367" width="18.5" style="35" bestFit="1" customWidth="1"/>
    <col min="3368" max="3368" width="24.125" style="35" bestFit="1" customWidth="1"/>
    <col min="3369" max="3369" width="11.75" style="35" bestFit="1" customWidth="1"/>
    <col min="3370" max="3370" width="10.5" style="35" bestFit="1" customWidth="1"/>
    <col min="3371" max="3371" width="22.125" style="35" bestFit="1" customWidth="1"/>
    <col min="3372" max="3372" width="18.5" style="35" bestFit="1" customWidth="1"/>
    <col min="3373" max="3373" width="15.875" style="35" bestFit="1" customWidth="1"/>
    <col min="3374" max="3374" width="17.5" style="35" bestFit="1" customWidth="1"/>
    <col min="3375" max="3375" width="10.5" style="35" bestFit="1" customWidth="1"/>
    <col min="3376" max="3376" width="19.125" style="35" bestFit="1" customWidth="1"/>
    <col min="3377" max="3377" width="10.5" style="35" bestFit="1" customWidth="1"/>
    <col min="3378" max="3378" width="16.75" style="35" bestFit="1" customWidth="1"/>
    <col min="3379" max="3379" width="15.5" style="35" bestFit="1" customWidth="1"/>
    <col min="3380" max="3380" width="18" style="35" bestFit="1" customWidth="1"/>
    <col min="3381" max="3381" width="8.875" style="35" bestFit="1" customWidth="1"/>
    <col min="3382" max="3382" width="16.75" style="35" bestFit="1" customWidth="1"/>
    <col min="3383" max="3383" width="19.875" style="35" bestFit="1" customWidth="1"/>
    <col min="3384" max="3384" width="10.5" style="35" bestFit="1" customWidth="1"/>
    <col min="3385" max="3385" width="22.125" style="35" bestFit="1" customWidth="1"/>
    <col min="3386" max="3386" width="17.625" style="35" bestFit="1" customWidth="1"/>
    <col min="3387" max="3387" width="10.5" style="35" bestFit="1" customWidth="1"/>
    <col min="3388" max="3388" width="15.625" style="35" bestFit="1" customWidth="1"/>
    <col min="3389" max="3389" width="10.5" style="35" bestFit="1" customWidth="1"/>
    <col min="3390" max="3390" width="14.875" style="35" bestFit="1" customWidth="1"/>
    <col min="3391" max="3391" width="10.5" style="35" bestFit="1" customWidth="1"/>
    <col min="3392" max="3392" width="18.25" style="35" bestFit="1" customWidth="1"/>
    <col min="3393" max="3393" width="32.125" style="35" bestFit="1" customWidth="1"/>
    <col min="3394" max="3394" width="22.5" style="35" bestFit="1" customWidth="1"/>
    <col min="3395" max="3395" width="24.5" style="35" bestFit="1" customWidth="1"/>
    <col min="3396" max="3396" width="21.875" style="35" bestFit="1" customWidth="1"/>
    <col min="3397" max="3397" width="22.125" style="35" bestFit="1" customWidth="1"/>
    <col min="3398" max="3399" width="21.25" style="35" bestFit="1" customWidth="1"/>
    <col min="3400" max="3400" width="18.75" style="35" bestFit="1" customWidth="1"/>
    <col min="3401" max="3401" width="22.375" style="35" bestFit="1" customWidth="1"/>
    <col min="3402" max="3402" width="21.75" style="35" bestFit="1" customWidth="1"/>
    <col min="3403" max="3403" width="21.875" style="35" bestFit="1" customWidth="1"/>
    <col min="3404" max="3404" width="27.5" style="35" bestFit="1" customWidth="1"/>
    <col min="3405" max="3405" width="23.5" style="35" bestFit="1" customWidth="1"/>
    <col min="3406" max="3406" width="23" style="35" bestFit="1" customWidth="1"/>
    <col min="3407" max="16384" width="9" style="35"/>
  </cols>
  <sheetData>
    <row r="3" spans="1:16" x14ac:dyDescent="0.25">
      <c r="A3" s="34" t="s">
        <v>3566</v>
      </c>
      <c r="B3" s="34" t="s">
        <v>3567</v>
      </c>
      <c r="C3" s="34" t="s">
        <v>3568</v>
      </c>
      <c r="D3" s="34" t="s">
        <v>3569</v>
      </c>
      <c r="E3" s="34" t="s">
        <v>3570</v>
      </c>
      <c r="F3" s="34" t="s">
        <v>3571</v>
      </c>
      <c r="G3" s="34" t="s">
        <v>3572</v>
      </c>
      <c r="H3" s="34" t="s">
        <v>3573</v>
      </c>
      <c r="I3" s="21" t="s">
        <v>3574</v>
      </c>
      <c r="J3" s="21" t="s">
        <v>3575</v>
      </c>
      <c r="K3" s="21" t="s">
        <v>3576</v>
      </c>
      <c r="L3" s="21" t="s">
        <v>3577</v>
      </c>
      <c r="M3" s="21" t="s">
        <v>3578</v>
      </c>
      <c r="N3" s="21" t="s">
        <v>3579</v>
      </c>
      <c r="O3" s="21" t="s">
        <v>3580</v>
      </c>
      <c r="P3" s="21" t="s">
        <v>3581</v>
      </c>
    </row>
    <row r="4" spans="1:16" x14ac:dyDescent="0.25">
      <c r="A4" s="36" t="s">
        <v>45</v>
      </c>
      <c r="B4" s="34">
        <v>190500</v>
      </c>
      <c r="C4" s="34">
        <v>592</v>
      </c>
      <c r="D4" s="34">
        <v>4010.3491666666669</v>
      </c>
      <c r="E4" s="34">
        <v>0</v>
      </c>
      <c r="F4" s="34">
        <v>5512.5000000000009</v>
      </c>
      <c r="G4" s="34">
        <v>3937.5000000000005</v>
      </c>
      <c r="H4" s="34">
        <v>900</v>
      </c>
      <c r="I4" s="21">
        <v>0</v>
      </c>
      <c r="J4" s="21">
        <v>433.33333333333337</v>
      </c>
      <c r="K4" s="21">
        <v>6466.6666666666661</v>
      </c>
      <c r="L4" s="21">
        <v>3413.1578947368421</v>
      </c>
      <c r="M4" s="21">
        <v>201.75438596491227</v>
      </c>
      <c r="N4" s="21">
        <v>3403.574705882354</v>
      </c>
      <c r="O4" s="21">
        <v>219370.83615325077</v>
      </c>
      <c r="P4" s="21">
        <v>2321382.8361532511</v>
      </c>
    </row>
    <row r="5" spans="1:16" x14ac:dyDescent="0.25">
      <c r="A5" s="36" t="s">
        <v>3565</v>
      </c>
      <c r="B5" s="34">
        <v>1800</v>
      </c>
      <c r="C5" s="34">
        <v>0</v>
      </c>
      <c r="D5" s="34">
        <v>0</v>
      </c>
      <c r="E5" s="34">
        <v>0</v>
      </c>
      <c r="F5" s="34">
        <v>105</v>
      </c>
      <c r="G5" s="34">
        <v>75</v>
      </c>
      <c r="H5" s="34">
        <v>75</v>
      </c>
      <c r="I5" s="21"/>
      <c r="J5" s="21">
        <v>50</v>
      </c>
      <c r="K5" s="21">
        <v>808.33333333333337</v>
      </c>
      <c r="L5" s="21">
        <v>0</v>
      </c>
      <c r="M5" s="21">
        <v>0</v>
      </c>
      <c r="N5" s="21">
        <v>0</v>
      </c>
      <c r="O5" s="21">
        <v>2913.3333333333335</v>
      </c>
      <c r="P5" s="21">
        <v>22713.333333333332</v>
      </c>
    </row>
    <row r="6" spans="1:16" x14ac:dyDescent="0.25">
      <c r="A6" s="36" t="s">
        <v>722</v>
      </c>
      <c r="B6" s="34">
        <v>23800</v>
      </c>
      <c r="C6" s="34">
        <v>2068</v>
      </c>
      <c r="D6" s="34">
        <v>46.833333333333329</v>
      </c>
      <c r="E6" s="34">
        <v>0</v>
      </c>
      <c r="F6" s="34">
        <v>1388.3333333333333</v>
      </c>
      <c r="G6" s="34">
        <v>991.66666666666652</v>
      </c>
      <c r="H6" s="34">
        <v>287.5</v>
      </c>
      <c r="I6" s="21">
        <v>0</v>
      </c>
      <c r="J6" s="21">
        <v>216.66666666666666</v>
      </c>
      <c r="K6" s="21">
        <v>3233.3333333333335</v>
      </c>
      <c r="L6" s="21">
        <v>1499.9999999999998</v>
      </c>
      <c r="M6" s="21">
        <v>500</v>
      </c>
      <c r="N6" s="21">
        <v>5391.5789473684208</v>
      </c>
      <c r="O6" s="21">
        <v>39423.912280701756</v>
      </c>
      <c r="P6" s="21">
        <v>323971.91228070174</v>
      </c>
    </row>
    <row r="7" spans="1:16" x14ac:dyDescent="0.25">
      <c r="A7" s="36" t="s">
        <v>203</v>
      </c>
      <c r="B7" s="34">
        <v>48210</v>
      </c>
      <c r="C7" s="34">
        <v>3684</v>
      </c>
      <c r="D7" s="34">
        <v>212</v>
      </c>
      <c r="E7" s="34">
        <v>658.25833333333333</v>
      </c>
      <c r="F7" s="34">
        <v>2812.2500000000005</v>
      </c>
      <c r="G7" s="34">
        <v>2008.7500000000007</v>
      </c>
      <c r="H7" s="34">
        <v>662.5</v>
      </c>
      <c r="I7" s="21">
        <v>166.66666666666666</v>
      </c>
      <c r="J7" s="21">
        <v>487.50000000000006</v>
      </c>
      <c r="K7" s="21">
        <v>7274.9999999999991</v>
      </c>
      <c r="L7" s="21">
        <v>1776.9230769230769</v>
      </c>
      <c r="M7" s="21">
        <v>375</v>
      </c>
      <c r="N7" s="21">
        <v>3829.0215441176483</v>
      </c>
      <c r="O7" s="21">
        <v>72157.869621040722</v>
      </c>
      <c r="P7" s="21">
        <v>642991.86962104065</v>
      </c>
    </row>
    <row r="8" spans="1:16" x14ac:dyDescent="0.25">
      <c r="A8" s="36" t="s">
        <v>306</v>
      </c>
      <c r="B8" s="34">
        <v>29700</v>
      </c>
      <c r="C8" s="34">
        <v>1756</v>
      </c>
      <c r="D8" s="34">
        <v>145.78</v>
      </c>
      <c r="E8" s="34">
        <v>331.29583333333329</v>
      </c>
      <c r="F8" s="34">
        <v>1732.5</v>
      </c>
      <c r="G8" s="34">
        <v>1237.5000000000002</v>
      </c>
      <c r="H8" s="34">
        <v>500</v>
      </c>
      <c r="I8" s="21">
        <v>166.66666666666666</v>
      </c>
      <c r="J8" s="21">
        <v>379.16666666666669</v>
      </c>
      <c r="K8" s="21">
        <v>5658.333333333333</v>
      </c>
      <c r="L8" s="21">
        <v>1541.6666666666665</v>
      </c>
      <c r="M8" s="21">
        <v>250.00000000000003</v>
      </c>
      <c r="N8" s="21">
        <v>3685.2631578947371</v>
      </c>
      <c r="O8" s="21">
        <v>47084.172324561405</v>
      </c>
      <c r="P8" s="21">
        <v>393100.1723245614</v>
      </c>
    </row>
    <row r="9" spans="1:16" x14ac:dyDescent="0.25">
      <c r="A9" s="36" t="s">
        <v>166</v>
      </c>
      <c r="B9" s="34">
        <v>24300</v>
      </c>
      <c r="C9" s="34">
        <v>1640</v>
      </c>
      <c r="D9" s="34">
        <v>193.91666666666669</v>
      </c>
      <c r="E9" s="34">
        <v>0</v>
      </c>
      <c r="F9" s="34">
        <v>1417.4999999999998</v>
      </c>
      <c r="G9" s="34">
        <v>1012.4999999999999</v>
      </c>
      <c r="H9" s="34">
        <v>437.5</v>
      </c>
      <c r="I9" s="21">
        <v>166.66666666666666</v>
      </c>
      <c r="J9" s="21">
        <v>325</v>
      </c>
      <c r="K9" s="21">
        <v>4850</v>
      </c>
      <c r="L9" s="21">
        <v>1950</v>
      </c>
      <c r="M9" s="21">
        <v>291.66666666666669</v>
      </c>
      <c r="N9" s="21">
        <v>2552.6810294117654</v>
      </c>
      <c r="O9" s="21">
        <v>39137.431029411768</v>
      </c>
      <c r="P9" s="21">
        <v>324477.43102941179</v>
      </c>
    </row>
    <row r="10" spans="1:16" x14ac:dyDescent="0.25">
      <c r="A10" s="36" t="s">
        <v>51</v>
      </c>
      <c r="B10" s="34">
        <v>4800</v>
      </c>
      <c r="C10" s="34">
        <v>76</v>
      </c>
      <c r="D10" s="34">
        <v>40</v>
      </c>
      <c r="E10" s="34">
        <v>0</v>
      </c>
      <c r="F10" s="34">
        <v>233.33333333333334</v>
      </c>
      <c r="G10" s="34">
        <v>166.66666666666666</v>
      </c>
      <c r="H10" s="34">
        <v>150</v>
      </c>
      <c r="I10" s="21">
        <v>333.33333333333331</v>
      </c>
      <c r="J10" s="21">
        <v>108.33333333333333</v>
      </c>
      <c r="K10" s="21">
        <v>1616.6666666666667</v>
      </c>
      <c r="L10" s="21">
        <v>0</v>
      </c>
      <c r="M10" s="21">
        <v>0</v>
      </c>
      <c r="N10" s="21">
        <v>1376</v>
      </c>
      <c r="O10" s="21">
        <v>8900.3333333333321</v>
      </c>
      <c r="P10" s="21">
        <v>62536.333333333343</v>
      </c>
    </row>
    <row r="11" spans="1:16" x14ac:dyDescent="0.25">
      <c r="A11" s="36" t="s">
        <v>249</v>
      </c>
      <c r="B11" s="34">
        <v>1800</v>
      </c>
      <c r="C11" s="34"/>
      <c r="D11" s="34">
        <v>0</v>
      </c>
      <c r="E11" s="34">
        <v>0</v>
      </c>
      <c r="F11" s="34">
        <v>105</v>
      </c>
      <c r="G11" s="34">
        <v>75</v>
      </c>
      <c r="H11" s="34">
        <v>75</v>
      </c>
      <c r="I11" s="21">
        <v>166.66666666666666</v>
      </c>
      <c r="J11" s="21">
        <v>50</v>
      </c>
      <c r="K11" s="21">
        <v>0</v>
      </c>
      <c r="L11" s="21">
        <v>96.491228070175438</v>
      </c>
      <c r="M11" s="21">
        <v>35.087719298245609</v>
      </c>
      <c r="N11" s="21">
        <v>0</v>
      </c>
      <c r="O11" s="21">
        <v>2403.2456140350878</v>
      </c>
      <c r="P11" s="21">
        <v>22203.245614035088</v>
      </c>
    </row>
    <row r="12" spans="1:16" x14ac:dyDescent="0.25">
      <c r="A12" s="36" t="s">
        <v>222</v>
      </c>
      <c r="B12" s="34">
        <v>20250</v>
      </c>
      <c r="C12" s="34">
        <v>226</v>
      </c>
      <c r="D12" s="34">
        <v>207.66666666666663</v>
      </c>
      <c r="E12" s="34">
        <v>0</v>
      </c>
      <c r="F12" s="34">
        <v>1181.25</v>
      </c>
      <c r="G12" s="34">
        <v>843.75</v>
      </c>
      <c r="H12" s="34">
        <v>600</v>
      </c>
      <c r="I12" s="21">
        <v>166.66666666666666</v>
      </c>
      <c r="J12" s="21">
        <v>433.33333333333337</v>
      </c>
      <c r="K12" s="21">
        <v>5666.6666666666661</v>
      </c>
      <c r="L12" s="21">
        <v>0</v>
      </c>
      <c r="M12" s="21">
        <v>0</v>
      </c>
      <c r="N12" s="21">
        <v>3240.4808578431384</v>
      </c>
      <c r="O12" s="21">
        <v>32815.814191176469</v>
      </c>
      <c r="P12" s="21">
        <v>258051.8141911765</v>
      </c>
    </row>
    <row r="13" spans="1:16" x14ac:dyDescent="0.25">
      <c r="A13" s="36" t="s">
        <v>466</v>
      </c>
      <c r="B13" s="34">
        <v>24400</v>
      </c>
      <c r="C13" s="34">
        <v>1680</v>
      </c>
      <c r="D13" s="34"/>
      <c r="E13" s="34">
        <v>0</v>
      </c>
      <c r="F13" s="34">
        <v>1423.3333333333333</v>
      </c>
      <c r="G13" s="34">
        <v>1016.6666666666666</v>
      </c>
      <c r="H13" s="34">
        <v>337.5</v>
      </c>
      <c r="I13" s="21">
        <v>0</v>
      </c>
      <c r="J13" s="21">
        <v>270.83333333333331</v>
      </c>
      <c r="K13" s="21">
        <v>4041.666666666667</v>
      </c>
      <c r="L13" s="21">
        <v>0</v>
      </c>
      <c r="M13" s="21">
        <v>0</v>
      </c>
      <c r="N13" s="21">
        <v>0</v>
      </c>
      <c r="O13" s="21">
        <v>33170</v>
      </c>
      <c r="P13" s="21">
        <v>320050</v>
      </c>
    </row>
    <row r="14" spans="1:16" x14ac:dyDescent="0.25">
      <c r="A14" s="36" t="s">
        <v>59</v>
      </c>
      <c r="B14" s="34">
        <v>10450</v>
      </c>
      <c r="C14" s="34">
        <v>578</v>
      </c>
      <c r="D14" s="34">
        <v>121.33333333333333</v>
      </c>
      <c r="E14" s="34">
        <v>0</v>
      </c>
      <c r="F14" s="34">
        <v>609.58333333333337</v>
      </c>
      <c r="G14" s="34">
        <v>435.41666666666663</v>
      </c>
      <c r="H14" s="34">
        <v>225</v>
      </c>
      <c r="I14" s="21">
        <v>0</v>
      </c>
      <c r="J14" s="21">
        <v>162.5</v>
      </c>
      <c r="K14" s="21">
        <v>2425</v>
      </c>
      <c r="L14" s="21">
        <v>875</v>
      </c>
      <c r="M14" s="21">
        <v>166.66666666666666</v>
      </c>
      <c r="N14" s="21">
        <v>1276.3405147058825</v>
      </c>
      <c r="O14" s="21">
        <v>17324.840514705884</v>
      </c>
      <c r="P14" s="21">
        <v>160968.36684640523</v>
      </c>
    </row>
    <row r="15" spans="1:16" x14ac:dyDescent="0.25">
      <c r="A15" s="36" t="s">
        <v>475</v>
      </c>
      <c r="B15" s="34">
        <v>31600</v>
      </c>
      <c r="C15" s="34">
        <v>1092</v>
      </c>
      <c r="D15" s="34">
        <v>0</v>
      </c>
      <c r="E15" s="34">
        <v>0</v>
      </c>
      <c r="F15" s="34">
        <v>968.33333333333348</v>
      </c>
      <c r="G15" s="34">
        <v>691.66666666666663</v>
      </c>
      <c r="H15" s="34">
        <v>262.5</v>
      </c>
      <c r="I15" s="21">
        <v>0</v>
      </c>
      <c r="J15" s="21">
        <v>216.66666666666666</v>
      </c>
      <c r="K15" s="21">
        <v>3233.3333333333335</v>
      </c>
      <c r="L15" s="21">
        <v>1250</v>
      </c>
      <c r="M15" s="21">
        <v>208.33333333333334</v>
      </c>
      <c r="N15" s="21">
        <v>0</v>
      </c>
      <c r="O15" s="21">
        <v>39522.833333333336</v>
      </c>
      <c r="P15" s="21">
        <v>399134.83333333331</v>
      </c>
    </row>
    <row r="16" spans="1:16" x14ac:dyDescent="0.25">
      <c r="A16" s="36" t="s">
        <v>135</v>
      </c>
      <c r="B16" s="34">
        <v>11100</v>
      </c>
      <c r="C16" s="34">
        <v>158</v>
      </c>
      <c r="D16" s="34">
        <v>195.86500000000001</v>
      </c>
      <c r="E16" s="34">
        <v>0</v>
      </c>
      <c r="F16" s="34">
        <v>647.5</v>
      </c>
      <c r="G16" s="34">
        <v>462.5</v>
      </c>
      <c r="H16" s="34">
        <v>350</v>
      </c>
      <c r="I16" s="21">
        <v>166.66666666666666</v>
      </c>
      <c r="J16" s="21">
        <v>270.83333333333331</v>
      </c>
      <c r="K16" s="21">
        <v>4041.666666666667</v>
      </c>
      <c r="L16" s="21">
        <v>385.96491228070175</v>
      </c>
      <c r="M16" s="21">
        <v>140.35087719298244</v>
      </c>
      <c r="N16" s="21">
        <v>2127.2341911764711</v>
      </c>
      <c r="O16" s="21">
        <v>20046.581647316823</v>
      </c>
      <c r="P16" s="21">
        <v>143884.58164731684</v>
      </c>
    </row>
    <row r="17" spans="1:16" x14ac:dyDescent="0.25">
      <c r="A17" s="36" t="s">
        <v>3559</v>
      </c>
      <c r="B17" s="34">
        <v>10700</v>
      </c>
      <c r="C17" s="34">
        <v>572</v>
      </c>
      <c r="D17" s="34">
        <v>768.14</v>
      </c>
      <c r="E17" s="34">
        <v>0</v>
      </c>
      <c r="F17" s="34">
        <v>624.16666666666674</v>
      </c>
      <c r="G17" s="34">
        <v>445.83333333333337</v>
      </c>
      <c r="H17" s="34">
        <v>137.5</v>
      </c>
      <c r="I17" s="21">
        <v>0</v>
      </c>
      <c r="J17" s="21">
        <v>108.33333333333333</v>
      </c>
      <c r="K17" s="21">
        <v>1616.6666666666667</v>
      </c>
      <c r="L17" s="21">
        <v>625</v>
      </c>
      <c r="M17" s="21">
        <v>208.33333333333334</v>
      </c>
      <c r="N17" s="21">
        <v>2173.8936764705886</v>
      </c>
      <c r="O17" s="21">
        <v>17979.867009803922</v>
      </c>
      <c r="P17" s="21">
        <v>141971.86700980391</v>
      </c>
    </row>
    <row r="18" spans="1:16" x14ac:dyDescent="0.25">
      <c r="A18" s="36" t="s">
        <v>292</v>
      </c>
      <c r="B18" s="34">
        <v>21400</v>
      </c>
      <c r="C18" s="34">
        <v>766</v>
      </c>
      <c r="D18" s="34">
        <v>195.33500000000004</v>
      </c>
      <c r="E18" s="34">
        <v>128.33333333333331</v>
      </c>
      <c r="F18" s="34">
        <v>1248.3333333333335</v>
      </c>
      <c r="G18" s="34">
        <v>891.66666666666663</v>
      </c>
      <c r="H18" s="34">
        <v>287.5</v>
      </c>
      <c r="I18" s="21"/>
      <c r="J18" s="21">
        <v>216.66666666666666</v>
      </c>
      <c r="K18" s="21">
        <v>3233.3333333333335</v>
      </c>
      <c r="L18" s="21">
        <v>750</v>
      </c>
      <c r="M18" s="21">
        <v>166.66666666666666</v>
      </c>
      <c r="N18" s="21">
        <v>1701.7873529411768</v>
      </c>
      <c r="O18" s="21">
        <v>30985.622352941173</v>
      </c>
      <c r="P18" s="21">
        <v>274811.62235294119</v>
      </c>
    </row>
    <row r="19" spans="1:16" x14ac:dyDescent="0.25">
      <c r="A19" s="36" t="s">
        <v>744</v>
      </c>
      <c r="B19" s="34">
        <v>19750</v>
      </c>
      <c r="C19" s="34">
        <v>1164</v>
      </c>
      <c r="D19" s="34">
        <v>138.49666666666667</v>
      </c>
      <c r="E19" s="34">
        <v>252.33333333333331</v>
      </c>
      <c r="F19" s="34">
        <v>1152.0833333333335</v>
      </c>
      <c r="G19" s="34">
        <v>822.91666666666663</v>
      </c>
      <c r="H19" s="34">
        <v>287.5</v>
      </c>
      <c r="I19" s="21">
        <v>0</v>
      </c>
      <c r="J19" s="21">
        <v>216.66666666666666</v>
      </c>
      <c r="K19" s="21">
        <v>3233.3333333333335</v>
      </c>
      <c r="L19" s="21">
        <v>2185</v>
      </c>
      <c r="M19" s="21">
        <v>125</v>
      </c>
      <c r="N19" s="21">
        <v>4241.5789473684208</v>
      </c>
      <c r="O19" s="21">
        <v>33568.908947368422</v>
      </c>
      <c r="P19" s="21">
        <v>263622.90894736844</v>
      </c>
    </row>
    <row r="20" spans="1:16" x14ac:dyDescent="0.25">
      <c r="A20" s="36" t="s">
        <v>3564</v>
      </c>
      <c r="B20" s="34">
        <v>1000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1000</v>
      </c>
      <c r="P20" s="21">
        <v>12000</v>
      </c>
    </row>
    <row r="21" spans="1:16" x14ac:dyDescent="0.25">
      <c r="A21" s="36" t="s">
        <v>3560</v>
      </c>
      <c r="B21" s="34">
        <v>21300</v>
      </c>
      <c r="C21" s="34">
        <v>294</v>
      </c>
      <c r="D21" s="34">
        <v>4955.5675000000001</v>
      </c>
      <c r="E21" s="34">
        <v>0</v>
      </c>
      <c r="F21" s="34">
        <v>1242.4999999999998</v>
      </c>
      <c r="G21" s="34">
        <v>887.5</v>
      </c>
      <c r="H21" s="34">
        <v>562.5</v>
      </c>
      <c r="I21" s="21">
        <v>166.66666666666666</v>
      </c>
      <c r="J21" s="21">
        <v>433.33333333333337</v>
      </c>
      <c r="K21" s="21">
        <v>6466.6666666666661</v>
      </c>
      <c r="L21" s="21">
        <v>1675.4385964912274</v>
      </c>
      <c r="M21" s="21">
        <v>245.61403508771929</v>
      </c>
      <c r="N21" s="21">
        <v>3403.574705882354</v>
      </c>
      <c r="O21" s="21">
        <v>41633.361504127963</v>
      </c>
      <c r="P21" s="21">
        <v>279167.36150412791</v>
      </c>
    </row>
    <row r="22" spans="1:16" x14ac:dyDescent="0.25">
      <c r="A22" s="36" t="s">
        <v>3562</v>
      </c>
      <c r="B22" s="34">
        <v>39200</v>
      </c>
      <c r="C22" s="34">
        <v>460</v>
      </c>
      <c r="D22" s="34">
        <v>1514.9166666666663</v>
      </c>
      <c r="E22" s="34">
        <v>0</v>
      </c>
      <c r="F22" s="34">
        <v>2286.666666666667</v>
      </c>
      <c r="G22" s="34">
        <v>1633.3333333333335</v>
      </c>
      <c r="H22" s="34">
        <v>812.5</v>
      </c>
      <c r="I22" s="21">
        <v>166.66666666666666</v>
      </c>
      <c r="J22" s="21">
        <v>645.83333333333326</v>
      </c>
      <c r="K22" s="21">
        <v>9700</v>
      </c>
      <c r="L22" s="21">
        <v>1688.7989203778677</v>
      </c>
      <c r="M22" s="21">
        <v>160.08771929824559</v>
      </c>
      <c r="N22" s="21">
        <v>4679.9152205882365</v>
      </c>
      <c r="O22" s="21">
        <v>62948.718526931021</v>
      </c>
      <c r="P22" s="21">
        <v>499208.71852693101</v>
      </c>
    </row>
    <row r="23" spans="1:16" x14ac:dyDescent="0.25">
      <c r="A23" s="36" t="s">
        <v>3582</v>
      </c>
      <c r="B23" s="34">
        <v>13300</v>
      </c>
      <c r="C23" s="34">
        <v>186</v>
      </c>
      <c r="D23" s="34">
        <v>2129.2016666666668</v>
      </c>
      <c r="E23" s="34">
        <v>0</v>
      </c>
      <c r="F23" s="34">
        <v>775.83333333333337</v>
      </c>
      <c r="G23" s="34">
        <v>554.16666666666663</v>
      </c>
      <c r="H23" s="34">
        <v>325</v>
      </c>
      <c r="I23" s="21"/>
      <c r="J23" s="21">
        <v>270.83333333333331</v>
      </c>
      <c r="K23" s="21">
        <v>4041.666666666667</v>
      </c>
      <c r="L23" s="21">
        <v>885.96491228070181</v>
      </c>
      <c r="M23" s="21">
        <v>140.35087719298244</v>
      </c>
      <c r="N23" s="21">
        <v>1899.6820897832818</v>
      </c>
      <c r="O23" s="21">
        <v>24508.699545923631</v>
      </c>
      <c r="P23" s="21">
        <v>172854.69954592362</v>
      </c>
    </row>
    <row r="24" spans="1:16" x14ac:dyDescent="0.25">
      <c r="A24" s="36" t="s">
        <v>115</v>
      </c>
      <c r="B24" s="34">
        <v>1800</v>
      </c>
      <c r="C24" s="34">
        <v>36</v>
      </c>
      <c r="D24" s="34">
        <v>3315.9166666666665</v>
      </c>
      <c r="E24" s="34">
        <v>0</v>
      </c>
      <c r="F24" s="34">
        <v>0</v>
      </c>
      <c r="G24" s="34">
        <v>0</v>
      </c>
      <c r="H24" s="34">
        <v>0</v>
      </c>
      <c r="I24" s="21"/>
      <c r="J24" s="21">
        <v>0</v>
      </c>
      <c r="K24" s="21">
        <v>0</v>
      </c>
      <c r="L24" s="21">
        <v>0</v>
      </c>
      <c r="M24" s="21">
        <v>0</v>
      </c>
      <c r="N24" s="21">
        <v>850.89367647058839</v>
      </c>
      <c r="O24" s="21">
        <v>6002.8103431372547</v>
      </c>
      <c r="P24" s="21">
        <v>26198.810343137251</v>
      </c>
    </row>
    <row r="25" spans="1:16" x14ac:dyDescent="0.25">
      <c r="A25" s="36" t="s">
        <v>431</v>
      </c>
      <c r="B25" s="34">
        <v>100750</v>
      </c>
      <c r="C25" s="34">
        <v>5634</v>
      </c>
      <c r="D25" s="34">
        <v>365.10833333333341</v>
      </c>
      <c r="E25" s="34">
        <v>2149.25</v>
      </c>
      <c r="F25" s="34">
        <v>5877.0833333333321</v>
      </c>
      <c r="G25" s="34">
        <v>4197.9166666666633</v>
      </c>
      <c r="H25" s="34">
        <v>2362.5</v>
      </c>
      <c r="I25" s="21">
        <v>3999.9999999999986</v>
      </c>
      <c r="J25" s="21">
        <v>1512.5000000000005</v>
      </c>
      <c r="K25" s="21">
        <v>21824.999999999996</v>
      </c>
      <c r="L25" s="21">
        <v>2975.2692307692305</v>
      </c>
      <c r="M25" s="21">
        <v>1430.5833333333333</v>
      </c>
      <c r="N25" s="21">
        <v>12337.958308823525</v>
      </c>
      <c r="O25" s="21">
        <v>165417.16920625948</v>
      </c>
      <c r="P25" s="21">
        <v>1335641.1692062598</v>
      </c>
    </row>
    <row r="26" spans="1:16" x14ac:dyDescent="0.25">
      <c r="A26" s="36" t="s">
        <v>899</v>
      </c>
      <c r="B26" s="34">
        <v>60400</v>
      </c>
      <c r="C26" s="34">
        <v>206</v>
      </c>
      <c r="D26" s="34">
        <v>0</v>
      </c>
      <c r="E26" s="34">
        <v>0</v>
      </c>
      <c r="F26" s="34">
        <v>3523.3333333333339</v>
      </c>
      <c r="G26" s="34">
        <v>2516.6666666666665</v>
      </c>
      <c r="H26" s="34">
        <v>1275</v>
      </c>
      <c r="I26" s="21">
        <v>999.99999999999989</v>
      </c>
      <c r="J26" s="21">
        <v>1083.3333333333333</v>
      </c>
      <c r="K26" s="21">
        <v>16166.666666666672</v>
      </c>
      <c r="L26" s="21">
        <v>0</v>
      </c>
      <c r="M26" s="21">
        <v>0</v>
      </c>
      <c r="N26" s="21">
        <v>7519.9999999999991</v>
      </c>
      <c r="O26" s="21">
        <v>93691</v>
      </c>
      <c r="P26" s="21">
        <v>760357</v>
      </c>
    </row>
    <row r="27" spans="1:16" x14ac:dyDescent="0.25">
      <c r="A27" s="36" t="s">
        <v>3563</v>
      </c>
      <c r="B27" s="34">
        <v>76379</v>
      </c>
      <c r="C27" s="34">
        <v>1492</v>
      </c>
      <c r="D27" s="34">
        <v>1918.6458333333333</v>
      </c>
      <c r="E27" s="34">
        <v>0</v>
      </c>
      <c r="F27" s="34">
        <v>2887.4999999999995</v>
      </c>
      <c r="G27" s="34">
        <v>2062.5</v>
      </c>
      <c r="H27" s="34">
        <v>500</v>
      </c>
      <c r="I27" s="21">
        <v>666.66666666666663</v>
      </c>
      <c r="J27" s="21">
        <v>162.5</v>
      </c>
      <c r="K27" s="21">
        <v>825.00000000000011</v>
      </c>
      <c r="L27" s="21">
        <v>1972.5000000000002</v>
      </c>
      <c r="M27" s="21">
        <v>694.58333333333337</v>
      </c>
      <c r="N27" s="21">
        <v>2552.6810294117654</v>
      </c>
      <c r="O27" s="21">
        <v>92113.576862745103</v>
      </c>
      <c r="P27" s="21">
        <v>948694.57686274522</v>
      </c>
    </row>
    <row r="28" spans="1:16" x14ac:dyDescent="0.25">
      <c r="A28" s="37" t="s">
        <v>3583</v>
      </c>
      <c r="B28" s="34">
        <v>788689</v>
      </c>
      <c r="C28" s="34">
        <v>24360</v>
      </c>
      <c r="D28" s="34">
        <v>20475.072500000002</v>
      </c>
      <c r="E28" s="34">
        <v>3519.4708333333328</v>
      </c>
      <c r="F28" s="34">
        <v>37753.916666666664</v>
      </c>
      <c r="G28" s="34">
        <v>26967.083333333332</v>
      </c>
      <c r="H28" s="34">
        <v>11412.5</v>
      </c>
      <c r="I28" s="21">
        <v>7333.3333333333321</v>
      </c>
      <c r="J28" s="21">
        <v>8054.166666666667</v>
      </c>
      <c r="K28" s="21">
        <v>116425</v>
      </c>
      <c r="L28" s="21">
        <v>25547.175438596492</v>
      </c>
      <c r="M28" s="21">
        <v>5340.0789473684208</v>
      </c>
      <c r="N28" s="21">
        <v>68244.139956140338</v>
      </c>
      <c r="O28" s="21">
        <v>1144120.9376754388</v>
      </c>
      <c r="P28" s="21">
        <v>10109995.464007137</v>
      </c>
    </row>
    <row r="29" spans="1:16" x14ac:dyDescent="0.25">
      <c r="I29" s="35"/>
      <c r="J29" s="35"/>
      <c r="K29" s="35"/>
      <c r="L29" s="35"/>
      <c r="M29" s="35"/>
      <c r="N29" s="35"/>
      <c r="O29" s="35"/>
      <c r="P29" s="35"/>
    </row>
    <row r="30" spans="1:16" x14ac:dyDescent="0.25">
      <c r="I30" s="35"/>
      <c r="J30" s="35"/>
      <c r="K30" s="35"/>
      <c r="L30" s="35"/>
      <c r="M30" s="35"/>
      <c r="N30" s="35"/>
      <c r="O30" s="35"/>
      <c r="P30" s="35"/>
    </row>
    <row r="31" spans="1:16" x14ac:dyDescent="0.25">
      <c r="I31" s="35"/>
      <c r="J31" s="35"/>
      <c r="K31" s="35"/>
      <c r="L31" s="35"/>
      <c r="M31" s="35"/>
      <c r="N31" s="35"/>
      <c r="O31" s="35"/>
      <c r="P31" s="35"/>
    </row>
    <row r="32" spans="1:16" x14ac:dyDescent="0.25">
      <c r="I32" s="35"/>
      <c r="J32" s="35"/>
      <c r="K32" s="35"/>
      <c r="L32" s="35"/>
      <c r="M32" s="35"/>
      <c r="N32" s="35"/>
      <c r="O32" s="35"/>
      <c r="P32" s="35"/>
    </row>
    <row r="33" s="35" customFormat="1" x14ac:dyDescent="0.25"/>
    <row r="34" s="35" customFormat="1" x14ac:dyDescent="0.25"/>
    <row r="35" s="35" customFormat="1" x14ac:dyDescent="0.25"/>
    <row r="36" s="35" customFormat="1" x14ac:dyDescent="0.25"/>
    <row r="37" s="35" customFormat="1" x14ac:dyDescent="0.25"/>
    <row r="38" s="35" customFormat="1" x14ac:dyDescent="0.25"/>
    <row r="39" s="35" customFormat="1" x14ac:dyDescent="0.25"/>
    <row r="40" s="35" customFormat="1" x14ac:dyDescent="0.25"/>
    <row r="41" s="35" customFormat="1" x14ac:dyDescent="0.25"/>
    <row r="42" s="35" customFormat="1" x14ac:dyDescent="0.25"/>
    <row r="43" s="35" customFormat="1" x14ac:dyDescent="0.25"/>
    <row r="44" s="35" customFormat="1" x14ac:dyDescent="0.25"/>
    <row r="45" s="35" customFormat="1" x14ac:dyDescent="0.25"/>
    <row r="46" s="35" customFormat="1" x14ac:dyDescent="0.25"/>
    <row r="47" s="35" customFormat="1" x14ac:dyDescent="0.25"/>
    <row r="48" s="35" customFormat="1" x14ac:dyDescent="0.25"/>
    <row r="49" s="35" customFormat="1" x14ac:dyDescent="0.25"/>
    <row r="50" s="35" customFormat="1" x14ac:dyDescent="0.25"/>
    <row r="51" s="35" customFormat="1" x14ac:dyDescent="0.25"/>
    <row r="52" s="35" customFormat="1" x14ac:dyDescent="0.25"/>
    <row r="53" s="35" customFormat="1" x14ac:dyDescent="0.25"/>
    <row r="54" s="35" customFormat="1" x14ac:dyDescent="0.25"/>
    <row r="55" s="35" customFormat="1" x14ac:dyDescent="0.25"/>
    <row r="56" s="35" customFormat="1" x14ac:dyDescent="0.25"/>
    <row r="57" s="35" customFormat="1" x14ac:dyDescent="0.25"/>
    <row r="58" s="35" customFormat="1" x14ac:dyDescent="0.25"/>
    <row r="59" s="35" customFormat="1" x14ac:dyDescent="0.25"/>
    <row r="60" s="35" customFormat="1" x14ac:dyDescent="0.25"/>
    <row r="61" s="35" customFormat="1" x14ac:dyDescent="0.25"/>
    <row r="62" s="35" customFormat="1" x14ac:dyDescent="0.25"/>
    <row r="63" s="35" customFormat="1" x14ac:dyDescent="0.25"/>
    <row r="64" s="35" customFormat="1" x14ac:dyDescent="0.25"/>
    <row r="65" s="35" customFormat="1" x14ac:dyDescent="0.25"/>
    <row r="66" s="35" customFormat="1" x14ac:dyDescent="0.25"/>
    <row r="67" s="35" customFormat="1" x14ac:dyDescent="0.25"/>
    <row r="68" s="35" customFormat="1" x14ac:dyDescent="0.25"/>
    <row r="69" s="35" customFormat="1" x14ac:dyDescent="0.25"/>
    <row r="70" s="35" customFormat="1" x14ac:dyDescent="0.25"/>
    <row r="71" s="35" customFormat="1" x14ac:dyDescent="0.25"/>
    <row r="72" s="35" customFormat="1" x14ac:dyDescent="0.25"/>
    <row r="73" s="35" customFormat="1" x14ac:dyDescent="0.25"/>
    <row r="74" s="35" customFormat="1" x14ac:dyDescent="0.25"/>
    <row r="75" s="35" customFormat="1" x14ac:dyDescent="0.25"/>
    <row r="76" s="35" customFormat="1" x14ac:dyDescent="0.25"/>
    <row r="77" s="35" customFormat="1" x14ac:dyDescent="0.25"/>
    <row r="78" s="35" customFormat="1" x14ac:dyDescent="0.25"/>
    <row r="79" s="35" customFormat="1" x14ac:dyDescent="0.25"/>
    <row r="80" s="35" customFormat="1" x14ac:dyDescent="0.25"/>
    <row r="81" s="35" customFormat="1" x14ac:dyDescent="0.25"/>
    <row r="82" s="35" customFormat="1" x14ac:dyDescent="0.25"/>
    <row r="83" s="35" customFormat="1" x14ac:dyDescent="0.25"/>
    <row r="84" s="35" customFormat="1" x14ac:dyDescent="0.25"/>
    <row r="85" s="35" customFormat="1" x14ac:dyDescent="0.25"/>
    <row r="86" s="35" customFormat="1" x14ac:dyDescent="0.25"/>
    <row r="87" s="35" customFormat="1" x14ac:dyDescent="0.25"/>
    <row r="88" s="35" customFormat="1" x14ac:dyDescent="0.25"/>
    <row r="89" s="35" customFormat="1" x14ac:dyDescent="0.25"/>
    <row r="90" s="35" customFormat="1" x14ac:dyDescent="0.25"/>
    <row r="91" s="35" customFormat="1" x14ac:dyDescent="0.25"/>
    <row r="92" s="35" customFormat="1" x14ac:dyDescent="0.25"/>
    <row r="93" s="35" customFormat="1" x14ac:dyDescent="0.25"/>
    <row r="94" s="35" customFormat="1" x14ac:dyDescent="0.25"/>
    <row r="95" s="35" customFormat="1" x14ac:dyDescent="0.25"/>
    <row r="96" s="35" customFormat="1" x14ac:dyDescent="0.25"/>
    <row r="97" s="35" customFormat="1" x14ac:dyDescent="0.25"/>
    <row r="98" s="35" customFormat="1" x14ac:dyDescent="0.25"/>
    <row r="99" s="35" customFormat="1" x14ac:dyDescent="0.25"/>
    <row r="100" s="35" customFormat="1" x14ac:dyDescent="0.25"/>
    <row r="101" s="35" customFormat="1" x14ac:dyDescent="0.25"/>
    <row r="102" s="35" customFormat="1" x14ac:dyDescent="0.25"/>
    <row r="103" s="35" customFormat="1" x14ac:dyDescent="0.25"/>
    <row r="104" s="35" customFormat="1" x14ac:dyDescent="0.25"/>
    <row r="105" s="35" customFormat="1" x14ac:dyDescent="0.25"/>
    <row r="106" s="35" customFormat="1" x14ac:dyDescent="0.25"/>
    <row r="107" s="35" customFormat="1" x14ac:dyDescent="0.25"/>
    <row r="108" s="35" customFormat="1" x14ac:dyDescent="0.25"/>
    <row r="109" s="35" customFormat="1" x14ac:dyDescent="0.25"/>
    <row r="110" s="35" customFormat="1" x14ac:dyDescent="0.25"/>
    <row r="111" s="35" customFormat="1" x14ac:dyDescent="0.25"/>
    <row r="112" s="35" customFormat="1" x14ac:dyDescent="0.25"/>
    <row r="113" s="35" customFormat="1" x14ac:dyDescent="0.25"/>
    <row r="114" s="35" customFormat="1" x14ac:dyDescent="0.25"/>
    <row r="115" s="35" customFormat="1" x14ac:dyDescent="0.25"/>
    <row r="116" s="35" customFormat="1" x14ac:dyDescent="0.25"/>
    <row r="117" s="35" customFormat="1" x14ac:dyDescent="0.25"/>
    <row r="118" s="35" customFormat="1" x14ac:dyDescent="0.25"/>
    <row r="119" s="35" customFormat="1" x14ac:dyDescent="0.25"/>
    <row r="120" s="35" customFormat="1" x14ac:dyDescent="0.25"/>
    <row r="121" s="35" customFormat="1" x14ac:dyDescent="0.25"/>
    <row r="122" s="35" customFormat="1" x14ac:dyDescent="0.25"/>
    <row r="123" s="35" customFormat="1" x14ac:dyDescent="0.25"/>
    <row r="124" s="35" customFormat="1" x14ac:dyDescent="0.25"/>
    <row r="125" s="35" customFormat="1" x14ac:dyDescent="0.25"/>
    <row r="126" s="35" customFormat="1" x14ac:dyDescent="0.25"/>
    <row r="127" s="35" customFormat="1" x14ac:dyDescent="0.25"/>
    <row r="128" s="35" customFormat="1" x14ac:dyDescent="0.25"/>
    <row r="129" s="35" customFormat="1" x14ac:dyDescent="0.25"/>
    <row r="130" s="35" customFormat="1" x14ac:dyDescent="0.25"/>
    <row r="131" s="35" customFormat="1" x14ac:dyDescent="0.25"/>
    <row r="132" s="35" customFormat="1" x14ac:dyDescent="0.25"/>
    <row r="133" s="35" customFormat="1" x14ac:dyDescent="0.25"/>
    <row r="134" s="35" customFormat="1" x14ac:dyDescent="0.25"/>
    <row r="135" s="35" customFormat="1" x14ac:dyDescent="0.25"/>
    <row r="136" s="35" customFormat="1" x14ac:dyDescent="0.25"/>
    <row r="137" s="35" customFormat="1" x14ac:dyDescent="0.25"/>
    <row r="138" s="35" customFormat="1" x14ac:dyDescent="0.25"/>
    <row r="139" s="35" customFormat="1" x14ac:dyDescent="0.25"/>
    <row r="140" s="35" customFormat="1" x14ac:dyDescent="0.25"/>
    <row r="141" s="35" customFormat="1" x14ac:dyDescent="0.25"/>
    <row r="142" s="35" customFormat="1" x14ac:dyDescent="0.25"/>
    <row r="143" s="35" customFormat="1" x14ac:dyDescent="0.25"/>
    <row r="144" s="35" customFormat="1" x14ac:dyDescent="0.25"/>
    <row r="145" s="35" customFormat="1" x14ac:dyDescent="0.25"/>
    <row r="146" s="35" customFormat="1" x14ac:dyDescent="0.25"/>
    <row r="147" s="35" customFormat="1" x14ac:dyDescent="0.25"/>
    <row r="148" s="35" customFormat="1" x14ac:dyDescent="0.25"/>
    <row r="149" s="35" customFormat="1" x14ac:dyDescent="0.25"/>
    <row r="150" s="35" customFormat="1" x14ac:dyDescent="0.25"/>
    <row r="151" s="35" customFormat="1" x14ac:dyDescent="0.25"/>
    <row r="152" s="35" customFormat="1" x14ac:dyDescent="0.25"/>
    <row r="153" s="35" customFormat="1" x14ac:dyDescent="0.25"/>
    <row r="154" s="35" customFormat="1" x14ac:dyDescent="0.25"/>
    <row r="155" s="35" customFormat="1" x14ac:dyDescent="0.25"/>
    <row r="156" s="35" customFormat="1" x14ac:dyDescent="0.25"/>
    <row r="157" s="35" customFormat="1" x14ac:dyDescent="0.25"/>
    <row r="158" s="35" customFormat="1" x14ac:dyDescent="0.25"/>
    <row r="159" s="35" customFormat="1" x14ac:dyDescent="0.25"/>
    <row r="160" s="35" customFormat="1" x14ac:dyDescent="0.25"/>
    <row r="161" s="35" customFormat="1" x14ac:dyDescent="0.25"/>
    <row r="162" s="35" customFormat="1" x14ac:dyDescent="0.25"/>
    <row r="163" s="35" customFormat="1" x14ac:dyDescent="0.25"/>
    <row r="164" s="35" customFormat="1" x14ac:dyDescent="0.25"/>
    <row r="165" s="35" customFormat="1" x14ac:dyDescent="0.25"/>
    <row r="166" s="35" customFormat="1" x14ac:dyDescent="0.25"/>
    <row r="167" s="35" customFormat="1" x14ac:dyDescent="0.25"/>
    <row r="168" s="35" customFormat="1" x14ac:dyDescent="0.25"/>
    <row r="169" s="35" customFormat="1" x14ac:dyDescent="0.25"/>
    <row r="170" s="35" customFormat="1" x14ac:dyDescent="0.25"/>
    <row r="171" s="35" customFormat="1" x14ac:dyDescent="0.25"/>
    <row r="172" s="35" customFormat="1" x14ac:dyDescent="0.25"/>
    <row r="173" s="35" customFormat="1" x14ac:dyDescent="0.25"/>
    <row r="174" s="35" customFormat="1" x14ac:dyDescent="0.25"/>
    <row r="175" s="35" customFormat="1" x14ac:dyDescent="0.25"/>
    <row r="176" s="35" customFormat="1" x14ac:dyDescent="0.25"/>
    <row r="177" s="35" customFormat="1" x14ac:dyDescent="0.25"/>
    <row r="178" s="35" customFormat="1" x14ac:dyDescent="0.25"/>
    <row r="179" s="35" customFormat="1" x14ac:dyDescent="0.25"/>
    <row r="180" s="35" customFormat="1" x14ac:dyDescent="0.25"/>
    <row r="181" s="35" customFormat="1" x14ac:dyDescent="0.25"/>
    <row r="182" s="35" customFormat="1" x14ac:dyDescent="0.25"/>
    <row r="183" s="35" customFormat="1" x14ac:dyDescent="0.25"/>
    <row r="184" s="35" customFormat="1" x14ac:dyDescent="0.25"/>
    <row r="185" s="35" customFormat="1" x14ac:dyDescent="0.25"/>
    <row r="186" s="35" customFormat="1" x14ac:dyDescent="0.25"/>
    <row r="187" s="35" customFormat="1" x14ac:dyDescent="0.25"/>
    <row r="188" s="35" customFormat="1" x14ac:dyDescent="0.25"/>
    <row r="189" s="35" customFormat="1" x14ac:dyDescent="0.25"/>
    <row r="190" s="35" customFormat="1" x14ac:dyDescent="0.25"/>
    <row r="191" s="35" customFormat="1" x14ac:dyDescent="0.25"/>
    <row r="192" s="35" customFormat="1" x14ac:dyDescent="0.25"/>
    <row r="193" s="35" customFormat="1" x14ac:dyDescent="0.25"/>
    <row r="194" s="35" customFormat="1" x14ac:dyDescent="0.25"/>
    <row r="195" s="35" customFormat="1" x14ac:dyDescent="0.25"/>
    <row r="196" s="35" customFormat="1" x14ac:dyDescent="0.25"/>
    <row r="197" s="35" customFormat="1" x14ac:dyDescent="0.25"/>
    <row r="198" s="35" customFormat="1" x14ac:dyDescent="0.25"/>
    <row r="199" s="35" customFormat="1" x14ac:dyDescent="0.25"/>
    <row r="200" s="35" customFormat="1" x14ac:dyDescent="0.25"/>
    <row r="201" s="35" customFormat="1" x14ac:dyDescent="0.25"/>
    <row r="202" s="35" customFormat="1" x14ac:dyDescent="0.25"/>
    <row r="203" s="35" customFormat="1" x14ac:dyDescent="0.25"/>
    <row r="204" s="35" customFormat="1" x14ac:dyDescent="0.25"/>
    <row r="205" s="35" customFormat="1" x14ac:dyDescent="0.25"/>
    <row r="206" s="35" customFormat="1" x14ac:dyDescent="0.25"/>
    <row r="207" s="35" customFormat="1" x14ac:dyDescent="0.25"/>
    <row r="208" s="35" customFormat="1" x14ac:dyDescent="0.25"/>
    <row r="209" s="35" customFormat="1" x14ac:dyDescent="0.25"/>
    <row r="210" s="35" customFormat="1" x14ac:dyDescent="0.25"/>
    <row r="211" s="35" customFormat="1" x14ac:dyDescent="0.25"/>
    <row r="212" s="35" customFormat="1" x14ac:dyDescent="0.25"/>
    <row r="213" s="35" customFormat="1" x14ac:dyDescent="0.25"/>
    <row r="214" s="35" customFormat="1" x14ac:dyDescent="0.25"/>
    <row r="215" s="35" customFormat="1" x14ac:dyDescent="0.25"/>
    <row r="216" s="35" customFormat="1" x14ac:dyDescent="0.25"/>
    <row r="217" s="35" customFormat="1" x14ac:dyDescent="0.25"/>
    <row r="218" s="35" customFormat="1" x14ac:dyDescent="0.25"/>
    <row r="219" s="35" customFormat="1" x14ac:dyDescent="0.25"/>
    <row r="220" s="35" customFormat="1" x14ac:dyDescent="0.25"/>
    <row r="221" s="35" customFormat="1" x14ac:dyDescent="0.25"/>
    <row r="222" s="35" customFormat="1" x14ac:dyDescent="0.25"/>
    <row r="223" s="35" customFormat="1" x14ac:dyDescent="0.25"/>
    <row r="224" s="35" customFormat="1" x14ac:dyDescent="0.25"/>
    <row r="225" s="35" customFormat="1" x14ac:dyDescent="0.25"/>
    <row r="226" s="35" customFormat="1" x14ac:dyDescent="0.25"/>
    <row r="227" s="35" customFormat="1" x14ac:dyDescent="0.25"/>
    <row r="228" s="35" customFormat="1" x14ac:dyDescent="0.25"/>
    <row r="229" s="35" customFormat="1" x14ac:dyDescent="0.25"/>
    <row r="230" s="35" customFormat="1" x14ac:dyDescent="0.25"/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</vt:i4>
      </vt:variant>
    </vt:vector>
  </HeadingPairs>
  <TitlesOfParts>
    <vt:vector size="6" baseType="lpstr">
      <vt:lpstr>اسماء الموظفين</vt:lpstr>
      <vt:lpstr>بـيـان مرتبات</vt:lpstr>
      <vt:lpstr>تكاليف السعودة</vt:lpstr>
      <vt:lpstr>تكاليف المقيمين</vt:lpstr>
      <vt:lpstr>تقارير</vt:lpstr>
      <vt:lpstr>'تكاليف المقيمين'!Print_Titles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Office</cp:lastModifiedBy>
  <cp:revision>0</cp:revision>
  <dcterms:created xsi:type="dcterms:W3CDTF">2023-10-29T06:29:45Z</dcterms:created>
  <dcterms:modified xsi:type="dcterms:W3CDTF">2023-10-29T07:54:15Z</dcterms:modified>
</cp:coreProperties>
</file>